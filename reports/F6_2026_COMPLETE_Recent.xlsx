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queryTables/queryTable5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schoolofstjude-my.sharepoint.com/personal/stephen_a_schoolofstjude_co_tz/Documents/Desktop/DESKTOP/2. ANALYSIS/1. NATIONAL RESULTS/F6/2026/FinaL  Analysis/"/>
    </mc:Choice>
  </mc:AlternateContent>
  <xr:revisionPtr revIDLastSave="45" documentId="13_ncr:1_{ADB177AD-EAAC-41E2-9FB0-2F3D78D250A7}" xr6:coauthVersionLast="47" xr6:coauthVersionMax="47" xr10:uidLastSave="{32AE1050-2D0A-4502-AC7D-FABFB25C5161}"/>
  <bookViews>
    <workbookView xWindow="-108" yWindow="-108" windowWidth="23256" windowHeight="13896" tabRatio="918" xr2:uid="{00000000-000D-0000-FFFF-FFFF00000000}"/>
  </bookViews>
  <sheets>
    <sheet name="RESULTS" sheetId="3" r:id="rId1"/>
    <sheet name="DIV" sheetId="25" r:id="rId2"/>
    <sheet name="Fact_Student_Result" sheetId="21" r:id="rId3"/>
    <sheet name="Dim_Student" sheetId="23" r:id="rId4"/>
    <sheet name="Fact_Subject_Grade" sheetId="22" r:id="rId5"/>
    <sheet name="📊 COMB GRADE SUMMARY" sheetId="5" r:id="rId6"/>
    <sheet name="SUBJ BY SCHOOL" sheetId="8" r:id="rId7"/>
    <sheet name="LEGEND &amp; NOTES" sheetId="11" r:id="rId8"/>
    <sheet name="TOP 10 BY GROUP" sheetId="12" r:id="rId9"/>
    <sheet name="📊 Raw Data" sheetId="14" r:id="rId10"/>
    <sheet name="Departments" sheetId="18" r:id="rId11"/>
    <sheet name="CSEE" sheetId="19" r:id="rId12"/>
    <sheet name="FTNA" sheetId="20" r:id="rId13"/>
    <sheet name="Slides" sheetId="24" r:id="rId14"/>
  </sheets>
  <definedNames>
    <definedName name="AlevelPts" comment="Division Poits for Grades">RESULTS!$AU$10:$AV$19</definedName>
    <definedName name="DivPTSOlevel">#REF!</definedName>
    <definedName name="Exams">#REF!</definedName>
    <definedName name="ExternalData_1" localSheetId="1" hidden="1">DIV!$A$24:$G$32</definedName>
    <definedName name="ExternalData_1" localSheetId="2" hidden="1">Fact_Student_Result!$A$1:$N$191</definedName>
    <definedName name="ExternalData_1" localSheetId="4" hidden="1">Fact_Subject_Grade!$A$1:$H$761</definedName>
    <definedName name="ExternalData_1" localSheetId="7" hidden="1">'LEGEND &amp; NOTES'!$B$22:$C$30</definedName>
    <definedName name="ExternalData_2" localSheetId="3" hidden="1">Dim_Student!$A$1:$F$191</definedName>
    <definedName name="OLevelpt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9" i="25" l="1"/>
  <c r="H69" i="25" s="1"/>
  <c r="C69" i="25"/>
  <c r="D69" i="25"/>
  <c r="E69" i="25"/>
  <c r="F69" i="25"/>
  <c r="L107" i="25"/>
  <c r="K107" i="25"/>
  <c r="L106" i="25"/>
  <c r="K106" i="25"/>
  <c r="L105" i="25"/>
  <c r="K105" i="25"/>
  <c r="L104" i="25"/>
  <c r="K104" i="25"/>
  <c r="L103" i="25"/>
  <c r="K103" i="25"/>
  <c r="L102" i="25"/>
  <c r="K102" i="25"/>
  <c r="L101" i="25"/>
  <c r="K101" i="25"/>
  <c r="L100" i="25"/>
  <c r="K100" i="25"/>
  <c r="L99" i="25"/>
  <c r="K99" i="25"/>
  <c r="L98" i="25"/>
  <c r="K98" i="25"/>
  <c r="L97" i="25"/>
  <c r="K97" i="25"/>
  <c r="L96" i="25"/>
  <c r="K96" i="25"/>
  <c r="L95" i="25"/>
  <c r="K95" i="25"/>
  <c r="L94" i="25"/>
  <c r="K94" i="25"/>
  <c r="L89" i="25"/>
  <c r="K89" i="25"/>
  <c r="H89" i="25"/>
  <c r="H93" i="25" s="1"/>
  <c r="F89" i="25"/>
  <c r="F93" i="25" s="1"/>
  <c r="E89" i="25"/>
  <c r="E93" i="25" s="1"/>
  <c r="D89" i="25"/>
  <c r="D93" i="25" s="1"/>
  <c r="C89" i="25"/>
  <c r="C106" i="25" s="1"/>
  <c r="F68" i="25"/>
  <c r="E68" i="25"/>
  <c r="D68" i="25"/>
  <c r="C68" i="25"/>
  <c r="B68" i="25"/>
  <c r="H56" i="25"/>
  <c r="L56" i="25" s="1"/>
  <c r="H55" i="25"/>
  <c r="F66" i="25" s="1"/>
  <c r="H54" i="25"/>
  <c r="L54" i="25" s="1"/>
  <c r="H53" i="25"/>
  <c r="F64" i="25" s="1"/>
  <c r="H52" i="25"/>
  <c r="B63" i="25" s="1"/>
  <c r="H51" i="25"/>
  <c r="E62" i="25" s="1"/>
  <c r="F62" i="25" l="1"/>
  <c r="H100" i="25"/>
  <c r="H95" i="25"/>
  <c r="F95" i="25"/>
  <c r="F101" i="25"/>
  <c r="H96" i="25"/>
  <c r="F100" i="25"/>
  <c r="C95" i="25"/>
  <c r="F106" i="25"/>
  <c r="H105" i="25"/>
  <c r="D105" i="25"/>
  <c r="E106" i="25"/>
  <c r="D101" i="25"/>
  <c r="D96" i="25"/>
  <c r="C63" i="25"/>
  <c r="C96" i="25"/>
  <c r="H104" i="25"/>
  <c r="E100" i="25"/>
  <c r="H94" i="25"/>
  <c r="D63" i="25"/>
  <c r="K108" i="25"/>
  <c r="C97" i="25"/>
  <c r="F104" i="25"/>
  <c r="H99" i="25"/>
  <c r="F94" i="25"/>
  <c r="E63" i="25"/>
  <c r="L108" i="25"/>
  <c r="C100" i="25"/>
  <c r="D104" i="25"/>
  <c r="D99" i="25"/>
  <c r="F63" i="25"/>
  <c r="C107" i="25"/>
  <c r="H103" i="25"/>
  <c r="H98" i="25"/>
  <c r="C65" i="25"/>
  <c r="H107" i="25"/>
  <c r="F103" i="25"/>
  <c r="F98" i="25"/>
  <c r="D65" i="25"/>
  <c r="F107" i="25"/>
  <c r="H102" i="25"/>
  <c r="D98" i="25"/>
  <c r="C67" i="25"/>
  <c r="D107" i="25"/>
  <c r="D102" i="25"/>
  <c r="H97" i="25"/>
  <c r="H68" i="25"/>
  <c r="H106" i="25"/>
  <c r="H101" i="25"/>
  <c r="F97" i="25"/>
  <c r="C98" i="25"/>
  <c r="E107" i="25"/>
  <c r="E104" i="25"/>
  <c r="E101" i="25"/>
  <c r="E98" i="25"/>
  <c r="E95" i="25"/>
  <c r="C99" i="25"/>
  <c r="D95" i="25"/>
  <c r="C101" i="25"/>
  <c r="E94" i="25"/>
  <c r="L55" i="25"/>
  <c r="N55" i="25" s="1"/>
  <c r="C103" i="25"/>
  <c r="D106" i="25"/>
  <c r="D103" i="25"/>
  <c r="D100" i="25"/>
  <c r="D97" i="25"/>
  <c r="D94" i="25"/>
  <c r="C104" i="25"/>
  <c r="L51" i="25"/>
  <c r="M51" i="25" s="1"/>
  <c r="C102" i="25"/>
  <c r="E103" i="25"/>
  <c r="E97" i="25"/>
  <c r="L52" i="25"/>
  <c r="M52" i="25" s="1"/>
  <c r="E65" i="25"/>
  <c r="C93" i="25"/>
  <c r="C105" i="25"/>
  <c r="F105" i="25"/>
  <c r="F102" i="25"/>
  <c r="F99" i="25"/>
  <c r="F96" i="25"/>
  <c r="F65" i="25"/>
  <c r="C94" i="25"/>
  <c r="E105" i="25"/>
  <c r="E102" i="25"/>
  <c r="E99" i="25"/>
  <c r="E96" i="25"/>
  <c r="M54" i="25"/>
  <c r="M56" i="25"/>
  <c r="B65" i="25"/>
  <c r="B67" i="25"/>
  <c r="D67" i="25"/>
  <c r="E67" i="25"/>
  <c r="F67" i="25"/>
  <c r="B62" i="25"/>
  <c r="B64" i="25"/>
  <c r="B66" i="25"/>
  <c r="L53" i="25"/>
  <c r="C62" i="25"/>
  <c r="C64" i="25"/>
  <c r="C66" i="25"/>
  <c r="D62" i="25"/>
  <c r="D64" i="25"/>
  <c r="D66" i="25"/>
  <c r="E64" i="25"/>
  <c r="E66" i="25"/>
  <c r="H63" i="25" l="1"/>
  <c r="M55" i="25"/>
  <c r="N56" i="25"/>
  <c r="H108" i="25"/>
  <c r="F108" i="25"/>
  <c r="D108" i="25"/>
  <c r="C108" i="25"/>
  <c r="E108" i="25"/>
  <c r="N52" i="25"/>
  <c r="H65" i="25"/>
  <c r="H67" i="25"/>
  <c r="M53" i="25"/>
  <c r="N53" i="25"/>
  <c r="H66" i="25"/>
  <c r="H64" i="25"/>
  <c r="N54" i="25"/>
  <c r="H62" i="25"/>
  <c r="E40" i="25" l="1"/>
  <c r="E44" i="25" l="1"/>
  <c r="E47" i="25"/>
  <c r="E43" i="25"/>
  <c r="E46" i="25"/>
  <c r="E42" i="25"/>
  <c r="E41" i="25"/>
  <c r="E39" i="25"/>
  <c r="E45" i="25"/>
  <c r="A1" i="24" l="1"/>
  <c r="A7" i="24" s="1"/>
  <c r="B1" i="24"/>
  <c r="B7" i="24" s="1"/>
  <c r="C1" i="24"/>
  <c r="C7" i="24" s="1"/>
  <c r="D1" i="24"/>
  <c r="D7" i="24" s="1"/>
  <c r="E1" i="24"/>
  <c r="E7" i="24" s="1"/>
  <c r="F1" i="24"/>
  <c r="F7" i="24" s="1"/>
  <c r="G1" i="24"/>
  <c r="H1" i="24"/>
  <c r="I1" i="24"/>
  <c r="J1" i="24"/>
  <c r="K1" i="24"/>
  <c r="L1" i="24"/>
  <c r="M1" i="24"/>
  <c r="A2" i="24"/>
  <c r="A8" i="24" s="1"/>
  <c r="L2" i="24"/>
  <c r="A3" i="24"/>
  <c r="A9" i="24" s="1"/>
  <c r="L3" i="24"/>
  <c r="A4" i="24"/>
  <c r="A10" i="24" s="1"/>
  <c r="L4" i="24"/>
  <c r="N12" i="14"/>
  <c r="N13" i="14" s="1"/>
  <c r="M12" i="14"/>
  <c r="M13" i="14" s="1"/>
  <c r="L12" i="14"/>
  <c r="L13" i="14" s="1"/>
  <c r="K12" i="14"/>
  <c r="K13" i="14" s="1"/>
  <c r="J12" i="14"/>
  <c r="J13" i="14" s="1"/>
  <c r="I12" i="14"/>
  <c r="I13" i="14" s="1"/>
  <c r="H12" i="14"/>
  <c r="H13" i="14" s="1"/>
  <c r="G12" i="14"/>
  <c r="G13" i="14" s="1"/>
  <c r="F12" i="14"/>
  <c r="F13" i="14" s="1"/>
  <c r="E12" i="14"/>
  <c r="E13" i="14" s="1"/>
  <c r="D12" i="14"/>
  <c r="D13" i="14" s="1"/>
  <c r="C12" i="14"/>
  <c r="C13" i="14" s="1"/>
  <c r="B12" i="14"/>
  <c r="B13" i="14" s="1"/>
  <c r="O11" i="14"/>
  <c r="O10" i="14"/>
  <c r="O9" i="14"/>
  <c r="O8" i="14"/>
  <c r="O7" i="14"/>
  <c r="O6" i="14"/>
  <c r="O5" i="14"/>
  <c r="AC90" i="3"/>
  <c r="AN45" i="3"/>
  <c r="AN46" i="3"/>
  <c r="AL22" i="3"/>
  <c r="AR36" i="3"/>
  <c r="AQ36" i="3"/>
  <c r="AP36" i="3"/>
  <c r="AO36" i="3"/>
  <c r="AN36" i="3"/>
  <c r="AM36" i="3"/>
  <c r="AL36" i="3"/>
  <c r="AR35" i="3"/>
  <c r="AQ35" i="3"/>
  <c r="AP35" i="3"/>
  <c r="AO35" i="3"/>
  <c r="AN35" i="3"/>
  <c r="AM35" i="3"/>
  <c r="AL35" i="3"/>
  <c r="AR34" i="3"/>
  <c r="AQ34" i="3"/>
  <c r="AP34" i="3"/>
  <c r="AO34" i="3"/>
  <c r="AN34" i="3"/>
  <c r="AM34" i="3"/>
  <c r="AL34" i="3"/>
  <c r="AR33" i="3"/>
  <c r="AQ33" i="3"/>
  <c r="AP33" i="3"/>
  <c r="AO33" i="3"/>
  <c r="AN33" i="3"/>
  <c r="AM33" i="3"/>
  <c r="AL33" i="3"/>
  <c r="AR32" i="3"/>
  <c r="AQ32" i="3"/>
  <c r="AP32" i="3"/>
  <c r="AO32" i="3"/>
  <c r="AN32" i="3"/>
  <c r="AM32" i="3"/>
  <c r="AL32" i="3"/>
  <c r="AR31" i="3"/>
  <c r="AQ31" i="3"/>
  <c r="AP31" i="3"/>
  <c r="AO31" i="3"/>
  <c r="AN31" i="3"/>
  <c r="AM31" i="3"/>
  <c r="AL31" i="3"/>
  <c r="AR30" i="3"/>
  <c r="AQ30" i="3"/>
  <c r="AP30" i="3"/>
  <c r="AO30" i="3"/>
  <c r="AN30" i="3"/>
  <c r="AM30" i="3"/>
  <c r="AL30" i="3"/>
  <c r="AR29" i="3"/>
  <c r="AQ29" i="3"/>
  <c r="AP29" i="3"/>
  <c r="AO29" i="3"/>
  <c r="AN29" i="3"/>
  <c r="AM29" i="3"/>
  <c r="AL29" i="3"/>
  <c r="AR28" i="3"/>
  <c r="AQ28" i="3"/>
  <c r="AP28" i="3"/>
  <c r="AO28" i="3"/>
  <c r="AN28" i="3"/>
  <c r="AM28" i="3"/>
  <c r="AL28" i="3"/>
  <c r="AR27" i="3"/>
  <c r="AQ27" i="3"/>
  <c r="AP27" i="3"/>
  <c r="AO27" i="3"/>
  <c r="AN27" i="3"/>
  <c r="AM27" i="3"/>
  <c r="AL27" i="3"/>
  <c r="AR26" i="3"/>
  <c r="AQ26" i="3"/>
  <c r="AP26" i="3"/>
  <c r="AO26" i="3"/>
  <c r="AN26" i="3"/>
  <c r="AM26" i="3"/>
  <c r="AL26" i="3"/>
  <c r="AR25" i="3"/>
  <c r="AQ25" i="3"/>
  <c r="AP25" i="3"/>
  <c r="AO25" i="3"/>
  <c r="AN25" i="3"/>
  <c r="AM25" i="3"/>
  <c r="AL25" i="3"/>
  <c r="AR24" i="3"/>
  <c r="AQ24" i="3"/>
  <c r="AP24" i="3"/>
  <c r="AO24" i="3"/>
  <c r="AN24" i="3"/>
  <c r="AM24" i="3"/>
  <c r="AL24" i="3"/>
  <c r="AR23" i="3"/>
  <c r="AQ23" i="3"/>
  <c r="AP23" i="3"/>
  <c r="AO23" i="3"/>
  <c r="AN23" i="3"/>
  <c r="AM23" i="3"/>
  <c r="AL23" i="3"/>
  <c r="AR22" i="3"/>
  <c r="AQ22" i="3"/>
  <c r="AP22" i="3"/>
  <c r="AO22" i="3"/>
  <c r="AN22" i="3"/>
  <c r="AM22" i="3"/>
  <c r="H169" i="3" a="1"/>
  <c r="H169" i="3" s="1"/>
  <c r="H19" i="3" a="1"/>
  <c r="H19" i="3" s="1"/>
  <c r="H192" i="3" a="1"/>
  <c r="H192" i="3" s="1"/>
  <c r="H175" i="3" a="1"/>
  <c r="H175" i="3" s="1"/>
  <c r="H189" i="3" a="1"/>
  <c r="H189" i="3" s="1"/>
  <c r="H170" i="3" a="1"/>
  <c r="H170" i="3" s="1"/>
  <c r="H123" i="3" a="1"/>
  <c r="H123" i="3" s="1"/>
  <c r="H126" i="3" a="1"/>
  <c r="H126" i="3" s="1"/>
  <c r="H146" i="3" a="1"/>
  <c r="H146" i="3" s="1"/>
  <c r="H133" i="3" a="1"/>
  <c r="H133" i="3" s="1"/>
  <c r="H36" i="3" a="1"/>
  <c r="H36" i="3" s="1"/>
  <c r="H111" i="3" a="1"/>
  <c r="H111" i="3" s="1"/>
  <c r="H46" i="3" a="1"/>
  <c r="H46" i="3" s="1"/>
  <c r="H173" i="3" a="1"/>
  <c r="H173" i="3" s="1"/>
  <c r="H120" i="3" a="1"/>
  <c r="H120" i="3" s="1"/>
  <c r="H112" i="3" a="1"/>
  <c r="H112" i="3" s="1"/>
  <c r="H76" i="3" a="1"/>
  <c r="H76" i="3" s="1"/>
  <c r="H148" i="3" a="1"/>
  <c r="H148" i="3" s="1"/>
  <c r="H131" i="3" a="1"/>
  <c r="H131" i="3" s="1"/>
  <c r="H40" i="3" a="1"/>
  <c r="H40" i="3" s="1"/>
  <c r="H42" i="3" a="1"/>
  <c r="H42" i="3" s="1"/>
  <c r="H44" i="3" a="1"/>
  <c r="H44" i="3" s="1"/>
  <c r="H193" i="3" a="1"/>
  <c r="H193" i="3" s="1"/>
  <c r="AU33" i="3" l="1"/>
  <c r="AU26" i="3"/>
  <c r="AR37" i="3"/>
  <c r="AK46" i="3" s="1"/>
  <c r="AP37" i="3"/>
  <c r="AK44" i="3" s="1"/>
  <c r="AQ37" i="3"/>
  <c r="AK45" i="3" s="1"/>
  <c r="AL37" i="3"/>
  <c r="AK40" i="3" s="1"/>
  <c r="AN37" i="3"/>
  <c r="AK42" i="3" s="1"/>
  <c r="AM37" i="3"/>
  <c r="AK41" i="3" s="1"/>
  <c r="AU22" i="3"/>
  <c r="AS24" i="3"/>
  <c r="AT24" i="3" s="1"/>
  <c r="AU34" i="3"/>
  <c r="AS36" i="3"/>
  <c r="AT36" i="3" s="1"/>
  <c r="AU29" i="3"/>
  <c r="AU24" i="3"/>
  <c r="AU27" i="3"/>
  <c r="AS34" i="3"/>
  <c r="AV34" i="3" s="1"/>
  <c r="AU36" i="3"/>
  <c r="AS28" i="3"/>
  <c r="AV28" i="3" s="1"/>
  <c r="AW28" i="3" s="1"/>
  <c r="AU31" i="3"/>
  <c r="AO37" i="3"/>
  <c r="AK43" i="3" s="1"/>
  <c r="AS23" i="3"/>
  <c r="AV23" i="3" s="1"/>
  <c r="AW23" i="3" s="1"/>
  <c r="AU28" i="3"/>
  <c r="AU23" i="3"/>
  <c r="AS27" i="3"/>
  <c r="AV27" i="3" s="1"/>
  <c r="AU30" i="3"/>
  <c r="AU35" i="3"/>
  <c r="AU25" i="3"/>
  <c r="AS22" i="3"/>
  <c r="AU32" i="3"/>
  <c r="AS35" i="3"/>
  <c r="AT35" i="3" s="1"/>
  <c r="O13" i="14"/>
  <c r="O12" i="14"/>
  <c r="AT32" i="3"/>
  <c r="AS26" i="3"/>
  <c r="AV26" i="3" s="1"/>
  <c r="AW26" i="3" s="1"/>
  <c r="AS25" i="3"/>
  <c r="AV25" i="3" s="1"/>
  <c r="AS33" i="3"/>
  <c r="AV33" i="3" s="1"/>
  <c r="AS32" i="3"/>
  <c r="AV32" i="3" s="1"/>
  <c r="AS31" i="3"/>
  <c r="AT31" i="3" s="1"/>
  <c r="AS30" i="3"/>
  <c r="AT30" i="3" s="1"/>
  <c r="AS29" i="3"/>
  <c r="AT29" i="3" s="1"/>
  <c r="Z58" i="3" a="1"/>
  <c r="Z58" i="3" s="1"/>
  <c r="H58" i="3" a="1"/>
  <c r="H58" i="3" s="1"/>
  <c r="I169" i="3"/>
  <c r="I19" i="3"/>
  <c r="I192" i="3"/>
  <c r="I175" i="3"/>
  <c r="I189" i="3"/>
  <c r="I170" i="3"/>
  <c r="I123" i="3"/>
  <c r="I126" i="3"/>
  <c r="I146" i="3"/>
  <c r="I133" i="3"/>
  <c r="I36" i="3"/>
  <c r="I111" i="3"/>
  <c r="I46" i="3"/>
  <c r="I173" i="3"/>
  <c r="I120" i="3"/>
  <c r="I112" i="3"/>
  <c r="I76" i="3"/>
  <c r="I148" i="3"/>
  <c r="I131" i="3"/>
  <c r="I40" i="3"/>
  <c r="I42" i="3"/>
  <c r="I44" i="3"/>
  <c r="I193" i="3"/>
  <c r="AA169" i="3"/>
  <c r="AA19" i="3"/>
  <c r="AA192" i="3"/>
  <c r="AA175" i="3"/>
  <c r="AA189" i="3"/>
  <c r="AA170" i="3"/>
  <c r="AA173" i="3"/>
  <c r="AA120" i="3"/>
  <c r="AA112" i="3"/>
  <c r="AB169" i="3"/>
  <c r="AB19" i="3"/>
  <c r="AB192" i="3"/>
  <c r="AB175" i="3"/>
  <c r="AB189" i="3"/>
  <c r="AB170" i="3"/>
  <c r="AB173" i="3"/>
  <c r="AB120" i="3"/>
  <c r="AB112" i="3"/>
  <c r="AC169" i="3"/>
  <c r="AC19" i="3"/>
  <c r="AC192" i="3"/>
  <c r="AC175" i="3"/>
  <c r="AC189" i="3"/>
  <c r="AC170" i="3"/>
  <c r="AC173" i="3"/>
  <c r="AC120" i="3"/>
  <c r="AC112" i="3"/>
  <c r="AD169" i="3"/>
  <c r="AD19" i="3"/>
  <c r="AD192" i="3"/>
  <c r="AD175" i="3"/>
  <c r="AD189" i="3"/>
  <c r="AD170" i="3"/>
  <c r="AD173" i="3"/>
  <c r="AD120" i="3"/>
  <c r="AD112" i="3"/>
  <c r="AD76" i="3"/>
  <c r="AD148" i="3"/>
  <c r="AD131" i="3"/>
  <c r="AD40" i="3"/>
  <c r="AD42" i="3"/>
  <c r="AD44" i="3"/>
  <c r="AD193" i="3"/>
  <c r="AE169" i="3"/>
  <c r="AE19" i="3"/>
  <c r="AE192" i="3"/>
  <c r="AE175" i="3"/>
  <c r="AE189" i="3"/>
  <c r="AE170" i="3"/>
  <c r="AE173" i="3"/>
  <c r="AE120" i="3"/>
  <c r="AE112" i="3"/>
  <c r="AE76" i="3"/>
  <c r="AE148" i="3"/>
  <c r="AE131" i="3"/>
  <c r="AE40" i="3"/>
  <c r="AE42" i="3"/>
  <c r="AE44" i="3"/>
  <c r="AE193" i="3"/>
  <c r="AF169" i="3"/>
  <c r="AF19" i="3"/>
  <c r="AF192" i="3"/>
  <c r="AF175" i="3"/>
  <c r="AF189" i="3"/>
  <c r="AF170" i="3"/>
  <c r="AF173" i="3"/>
  <c r="AF120" i="3"/>
  <c r="AF112" i="3"/>
  <c r="AG169" i="3"/>
  <c r="AG19" i="3"/>
  <c r="AG192" i="3"/>
  <c r="AG175" i="3"/>
  <c r="AG189" i="3"/>
  <c r="AG170" i="3"/>
  <c r="AG173" i="3"/>
  <c r="AG120" i="3"/>
  <c r="AG112" i="3"/>
  <c r="AH169" i="3"/>
  <c r="AH19" i="3"/>
  <c r="AH192" i="3"/>
  <c r="AH175" i="3"/>
  <c r="AH189" i="3"/>
  <c r="AH170" i="3"/>
  <c r="AH173" i="3"/>
  <c r="AH120" i="3"/>
  <c r="AH112" i="3"/>
  <c r="H60" i="3" a="1"/>
  <c r="H60" i="3" s="1"/>
  <c r="H190" i="3" a="1"/>
  <c r="H190" i="3" s="1"/>
  <c r="H67" i="3" a="1"/>
  <c r="H67" i="3" s="1"/>
  <c r="H69" i="3" a="1"/>
  <c r="H69" i="3" s="1"/>
  <c r="H70" i="3" a="1"/>
  <c r="H70" i="3" s="1"/>
  <c r="H71" i="3" a="1"/>
  <c r="H71" i="3" s="1"/>
  <c r="H75" i="3" a="1"/>
  <c r="H75" i="3" s="1"/>
  <c r="H77" i="3" a="1"/>
  <c r="H77" i="3" s="1"/>
  <c r="H79" i="3" a="1"/>
  <c r="H79" i="3" s="1"/>
  <c r="H80" i="3" a="1"/>
  <c r="H80" i="3" s="1"/>
  <c r="H124" i="3" a="1"/>
  <c r="H124" i="3" s="1"/>
  <c r="H85" i="3" a="1"/>
  <c r="H85" i="3" s="1"/>
  <c r="H89" i="3" a="1"/>
  <c r="H89" i="3" s="1"/>
  <c r="H90" i="3" a="1"/>
  <c r="H90" i="3" s="1"/>
  <c r="H92" i="3" a="1"/>
  <c r="H92" i="3" s="1"/>
  <c r="H93" i="3" a="1"/>
  <c r="H93" i="3" s="1"/>
  <c r="H96" i="3" a="1"/>
  <c r="H96" i="3" s="1"/>
  <c r="H99" i="3" a="1"/>
  <c r="H99" i="3" s="1"/>
  <c r="H100" i="3" a="1"/>
  <c r="H100" i="3" s="1"/>
  <c r="H17" i="3" a="1"/>
  <c r="H17" i="3" s="1"/>
  <c r="H37" i="3" a="1"/>
  <c r="H37" i="3" s="1"/>
  <c r="H43" i="3" a="1"/>
  <c r="H43" i="3" s="1"/>
  <c r="H51" i="3" a="1"/>
  <c r="H51" i="3" s="1"/>
  <c r="H52" i="3" a="1"/>
  <c r="H52" i="3" s="1"/>
  <c r="H179" i="3" a="1"/>
  <c r="H179" i="3" s="1"/>
  <c r="H61" i="3" a="1"/>
  <c r="H61" i="3" s="1"/>
  <c r="H106" i="3" a="1"/>
  <c r="H106" i="3" s="1"/>
  <c r="H156" i="3" a="1"/>
  <c r="H156" i="3" s="1"/>
  <c r="H147" i="3" a="1"/>
  <c r="H147" i="3" s="1"/>
  <c r="H197" i="3" a="1"/>
  <c r="H197" i="3" s="1"/>
  <c r="H134" i="3" a="1"/>
  <c r="H134" i="3" s="1"/>
  <c r="H109" i="3" a="1"/>
  <c r="H109" i="3" s="1"/>
  <c r="H122" i="3" a="1"/>
  <c r="H122" i="3" s="1"/>
  <c r="H129" i="3" a="1"/>
  <c r="H129" i="3" s="1"/>
  <c r="H154" i="3" a="1"/>
  <c r="H154" i="3" s="1"/>
  <c r="H78" i="3" a="1"/>
  <c r="H78" i="3" s="1"/>
  <c r="H24" i="3" a="1"/>
  <c r="H24" i="3" s="1"/>
  <c r="H184" i="3" a="1"/>
  <c r="H184" i="3" s="1"/>
  <c r="H185" i="3" a="1"/>
  <c r="H185" i="3" s="1"/>
  <c r="H110" i="3" a="1"/>
  <c r="H110" i="3" s="1"/>
  <c r="H91" i="3" a="1"/>
  <c r="H91" i="3" s="1"/>
  <c r="H136" i="3" a="1"/>
  <c r="H136" i="3" s="1"/>
  <c r="H14" i="3" a="1"/>
  <c r="H14" i="3" s="1"/>
  <c r="H11" i="3" a="1"/>
  <c r="H11" i="3" s="1"/>
  <c r="H199" i="3" a="1"/>
  <c r="H199" i="3" s="1"/>
  <c r="H104" i="3" a="1"/>
  <c r="H104" i="3" s="1"/>
  <c r="H153" i="3" a="1"/>
  <c r="H153" i="3" s="1"/>
  <c r="H152" i="3" a="1"/>
  <c r="H152" i="3" s="1"/>
  <c r="H10" i="3" a="1"/>
  <c r="H10" i="3" s="1"/>
  <c r="H16" i="3" a="1"/>
  <c r="H16" i="3" s="1"/>
  <c r="H176" i="3" a="1"/>
  <c r="H176" i="3" s="1"/>
  <c r="H155" i="3" a="1"/>
  <c r="H155" i="3" s="1"/>
  <c r="H57" i="3" a="1"/>
  <c r="H57" i="3" s="1"/>
  <c r="H59" i="3" a="1"/>
  <c r="H59" i="3" s="1"/>
  <c r="H62" i="3" a="1"/>
  <c r="H62" i="3" s="1"/>
  <c r="H63" i="3" a="1"/>
  <c r="H63" i="3" s="1"/>
  <c r="H65" i="3" a="1"/>
  <c r="H65" i="3" s="1"/>
  <c r="H68" i="3" a="1"/>
  <c r="H68" i="3" s="1"/>
  <c r="H72" i="3" a="1"/>
  <c r="H72" i="3" s="1"/>
  <c r="H73" i="3" a="1"/>
  <c r="H73" i="3" s="1"/>
  <c r="H83" i="3" a="1"/>
  <c r="H83" i="3" s="1"/>
  <c r="H87" i="3" a="1"/>
  <c r="H87" i="3" s="1"/>
  <c r="H97" i="3" a="1"/>
  <c r="H97" i="3" s="1"/>
  <c r="H98" i="3" a="1"/>
  <c r="H98" i="3" s="1"/>
  <c r="H103" i="3" a="1"/>
  <c r="H103" i="3" s="1"/>
  <c r="H145" i="3" a="1"/>
  <c r="H145" i="3" s="1"/>
  <c r="H30" i="3" a="1"/>
  <c r="H30" i="3" s="1"/>
  <c r="H31" i="3" a="1"/>
  <c r="H31" i="3" s="1"/>
  <c r="H32" i="3" a="1"/>
  <c r="H32" i="3" s="1"/>
  <c r="H27" i="3" a="1"/>
  <c r="H27" i="3" s="1"/>
  <c r="H35" i="3" a="1"/>
  <c r="H35" i="3" s="1"/>
  <c r="H38" i="3" a="1"/>
  <c r="H38" i="3" s="1"/>
  <c r="H114" i="3" a="1"/>
  <c r="H114" i="3" s="1"/>
  <c r="H117" i="3" a="1"/>
  <c r="H117" i="3" s="1"/>
  <c r="H47" i="3" a="1"/>
  <c r="H47" i="3" s="1"/>
  <c r="H195" i="3" a="1"/>
  <c r="H195" i="3" s="1"/>
  <c r="H49" i="3" a="1"/>
  <c r="H49" i="3" s="1"/>
  <c r="H115" i="3" a="1"/>
  <c r="H115" i="3" s="1"/>
  <c r="H54" i="3" a="1"/>
  <c r="H54" i="3" s="1"/>
  <c r="H56" i="3" a="1"/>
  <c r="H56" i="3" s="1"/>
  <c r="H64" i="3" a="1"/>
  <c r="H64" i="3" s="1"/>
  <c r="H139" i="3" a="1"/>
  <c r="H139" i="3" s="1"/>
  <c r="H191" i="3" a="1"/>
  <c r="H191" i="3" s="1"/>
  <c r="H196" i="3" a="1"/>
  <c r="H196" i="3" s="1"/>
  <c r="H18" i="3" a="1"/>
  <c r="H18" i="3" s="1"/>
  <c r="H198" i="3" a="1"/>
  <c r="H198" i="3" s="1"/>
  <c r="H135" i="3" a="1"/>
  <c r="H135" i="3" s="1"/>
  <c r="H22" i="3" a="1"/>
  <c r="H22" i="3" s="1"/>
  <c r="H138" i="3" a="1"/>
  <c r="H138" i="3" s="1"/>
  <c r="H88" i="3" a="1"/>
  <c r="H88" i="3" s="1"/>
  <c r="H187" i="3" a="1"/>
  <c r="H187" i="3" s="1"/>
  <c r="H26" i="3" a="1"/>
  <c r="H26" i="3" s="1"/>
  <c r="H25" i="3" a="1"/>
  <c r="H25" i="3" s="1"/>
  <c r="H33" i="3" a="1"/>
  <c r="H33" i="3" s="1"/>
  <c r="H163" i="3" a="1"/>
  <c r="H163" i="3" s="1"/>
  <c r="H164" i="3" a="1"/>
  <c r="H164" i="3" s="1"/>
  <c r="H113" i="3" a="1"/>
  <c r="H113" i="3" s="1"/>
  <c r="H41" i="3" a="1"/>
  <c r="H41" i="3" s="1"/>
  <c r="H167" i="3" a="1"/>
  <c r="H167" i="3" s="1"/>
  <c r="H121" i="3" a="1"/>
  <c r="H121" i="3" s="1"/>
  <c r="H20" i="3" a="1"/>
  <c r="H20" i="3" s="1"/>
  <c r="H28" i="3" a="1"/>
  <c r="H28" i="3" s="1"/>
  <c r="H128" i="3" a="1"/>
  <c r="H128" i="3" s="1"/>
  <c r="H166" i="3" a="1"/>
  <c r="H166" i="3" s="1"/>
  <c r="H48" i="3" a="1"/>
  <c r="H48" i="3" s="1"/>
  <c r="H137" i="3" a="1"/>
  <c r="H137" i="3" s="1"/>
  <c r="H55" i="3" a="1"/>
  <c r="H55" i="3" s="1"/>
  <c r="H140" i="3" a="1"/>
  <c r="H140" i="3" s="1"/>
  <c r="H107" i="3" a="1"/>
  <c r="H107" i="3" s="1"/>
  <c r="H142" i="3" a="1"/>
  <c r="H142" i="3" s="1"/>
  <c r="H151" i="3" a="1"/>
  <c r="H151" i="3" s="1"/>
  <c r="H66" i="3" a="1"/>
  <c r="H66" i="3" s="1"/>
  <c r="H116" i="3" a="1"/>
  <c r="H116" i="3" s="1"/>
  <c r="H174" i="3" a="1"/>
  <c r="H174" i="3" s="1"/>
  <c r="H181" i="3" a="1"/>
  <c r="H181" i="3" s="1"/>
  <c r="H13" i="3" a="1"/>
  <c r="H13" i="3" s="1"/>
  <c r="H186" i="3" a="1"/>
  <c r="H186" i="3" s="1"/>
  <c r="H108" i="3" a="1"/>
  <c r="H108" i="3" s="1"/>
  <c r="H188" i="3" a="1"/>
  <c r="H188" i="3" s="1"/>
  <c r="H194" i="3" a="1"/>
  <c r="H194" i="3" s="1"/>
  <c r="H132" i="3" a="1"/>
  <c r="H132" i="3" s="1"/>
  <c r="H81" i="3" a="1"/>
  <c r="H81" i="3" s="1"/>
  <c r="H82" i="3" a="1"/>
  <c r="H82" i="3" s="1"/>
  <c r="H84" i="3" a="1"/>
  <c r="H84" i="3" s="1"/>
  <c r="H86" i="3" a="1"/>
  <c r="H86" i="3" s="1"/>
  <c r="H150" i="3" a="1"/>
  <c r="H150" i="3" s="1"/>
  <c r="H94" i="3" a="1"/>
  <c r="H94" i="3" s="1"/>
  <c r="H95" i="3" a="1"/>
  <c r="H95" i="3" s="1"/>
  <c r="H101" i="3" a="1"/>
  <c r="H101" i="3" s="1"/>
  <c r="H180" i="3" a="1"/>
  <c r="H180" i="3" s="1"/>
  <c r="H127" i="3" a="1"/>
  <c r="H127" i="3" s="1"/>
  <c r="H15" i="3" a="1"/>
  <c r="H15" i="3" s="1"/>
  <c r="H168" i="3" a="1"/>
  <c r="H168" i="3" s="1"/>
  <c r="H125" i="3" a="1"/>
  <c r="H125" i="3" s="1"/>
  <c r="H172" i="3" a="1"/>
  <c r="H172" i="3" s="1"/>
  <c r="H21" i="3" a="1"/>
  <c r="H21" i="3" s="1"/>
  <c r="H171" i="3" a="1"/>
  <c r="H171" i="3" s="1"/>
  <c r="H161" i="3" a="1"/>
  <c r="H161" i="3" s="1"/>
  <c r="H39" i="3" a="1"/>
  <c r="H39" i="3" s="1"/>
  <c r="H149" i="3" a="1"/>
  <c r="H149" i="3" s="1"/>
  <c r="H143" i="3" a="1"/>
  <c r="H143" i="3" s="1"/>
  <c r="H178" i="3" a="1"/>
  <c r="H178" i="3" s="1"/>
  <c r="H157" i="3" a="1"/>
  <c r="H157" i="3" s="1"/>
  <c r="H165" i="3" a="1"/>
  <c r="H165" i="3" s="1"/>
  <c r="H144" i="3" a="1"/>
  <c r="H144" i="3" s="1"/>
  <c r="H160" i="3" a="1"/>
  <c r="H160" i="3" s="1"/>
  <c r="H45" i="3" a="1"/>
  <c r="H45" i="3" s="1"/>
  <c r="H159" i="3" a="1"/>
  <c r="H159" i="3" s="1"/>
  <c r="H162" i="3" a="1"/>
  <c r="H162" i="3" s="1"/>
  <c r="H177" i="3" a="1"/>
  <c r="H177" i="3" s="1"/>
  <c r="H118" i="3" a="1"/>
  <c r="H118" i="3" s="1"/>
  <c r="H158" i="3" a="1"/>
  <c r="H158" i="3" s="1"/>
  <c r="H141" i="3" a="1"/>
  <c r="H141" i="3" s="1"/>
  <c r="H130" i="3" a="1"/>
  <c r="H130" i="3" s="1"/>
  <c r="H12" i="3" a="1"/>
  <c r="H12" i="3" s="1"/>
  <c r="H119" i="3" a="1"/>
  <c r="H119" i="3" s="1"/>
  <c r="H23" i="3" a="1"/>
  <c r="H23" i="3" s="1"/>
  <c r="H74" i="3" a="1"/>
  <c r="H74" i="3" s="1"/>
  <c r="H182" i="3" a="1"/>
  <c r="H182" i="3" s="1"/>
  <c r="H102" i="3" a="1"/>
  <c r="H102" i="3" s="1"/>
  <c r="H29" i="3" a="1"/>
  <c r="H29" i="3" s="1"/>
  <c r="H105" i="3" a="1"/>
  <c r="H105" i="3" s="1"/>
  <c r="H34" i="3" a="1"/>
  <c r="H34" i="3" s="1"/>
  <c r="H183" i="3" a="1"/>
  <c r="H183" i="3" s="1"/>
  <c r="H50" i="3" a="1"/>
  <c r="H50" i="3" s="1"/>
  <c r="H53" i="3" a="1"/>
  <c r="H53" i="3" s="1"/>
  <c r="AT28" i="3" l="1"/>
  <c r="AT34" i="3"/>
  <c r="AV35" i="3"/>
  <c r="AW35" i="3" s="1"/>
  <c r="AV24" i="3"/>
  <c r="AW24" i="3" s="1"/>
  <c r="AT23" i="3"/>
  <c r="AV36" i="3"/>
  <c r="AW36" i="3" s="1"/>
  <c r="AT25" i="3"/>
  <c r="AT27" i="3"/>
  <c r="AS37" i="3"/>
  <c r="AT22" i="3"/>
  <c r="AV22" i="3"/>
  <c r="AW22" i="3" s="1"/>
  <c r="P7" i="14"/>
  <c r="P6" i="14"/>
  <c r="P11" i="14"/>
  <c r="P5" i="14"/>
  <c r="P10" i="14"/>
  <c r="P9" i="14"/>
  <c r="P8" i="14"/>
  <c r="AV29" i="3"/>
  <c r="AW29" i="3" s="1"/>
  <c r="AV30" i="3"/>
  <c r="AW30" i="3" s="1"/>
  <c r="AT33" i="3"/>
  <c r="AV31" i="3"/>
  <c r="AW31" i="3" s="1"/>
  <c r="AT26" i="3"/>
  <c r="AW32" i="3"/>
  <c r="AW27" i="3"/>
  <c r="AK47" i="3"/>
  <c r="AW33" i="3"/>
  <c r="AW25" i="3"/>
  <c r="AW34" i="3"/>
  <c r="I60" i="3"/>
  <c r="I190" i="3"/>
  <c r="I67" i="3"/>
  <c r="I69" i="3"/>
  <c r="I70" i="3"/>
  <c r="I71" i="3"/>
  <c r="I75" i="3"/>
  <c r="I77" i="3"/>
  <c r="I79" i="3"/>
  <c r="I80" i="3"/>
  <c r="I124" i="3"/>
  <c r="I85" i="3"/>
  <c r="I89" i="3"/>
  <c r="I90" i="3"/>
  <c r="I92" i="3"/>
  <c r="I93" i="3"/>
  <c r="I96" i="3"/>
  <c r="I99" i="3"/>
  <c r="I100" i="3"/>
  <c r="I17" i="3"/>
  <c r="I37" i="3"/>
  <c r="I43" i="3"/>
  <c r="I51" i="3"/>
  <c r="I52" i="3"/>
  <c r="I179" i="3"/>
  <c r="I61" i="3"/>
  <c r="I106" i="3"/>
  <c r="I156" i="3"/>
  <c r="I147" i="3"/>
  <c r="I197" i="3"/>
  <c r="I134" i="3"/>
  <c r="I109" i="3"/>
  <c r="I122" i="3"/>
  <c r="I129" i="3"/>
  <c r="I154" i="3"/>
  <c r="I78" i="3"/>
  <c r="I24" i="3"/>
  <c r="I184" i="3"/>
  <c r="I185" i="3"/>
  <c r="I110" i="3"/>
  <c r="I91" i="3"/>
  <c r="I136" i="3"/>
  <c r="I14" i="3"/>
  <c r="I11" i="3"/>
  <c r="I199" i="3"/>
  <c r="I104" i="3"/>
  <c r="I153" i="3"/>
  <c r="I152" i="3"/>
  <c r="I10" i="3"/>
  <c r="I16" i="3"/>
  <c r="I176" i="3"/>
  <c r="I155" i="3"/>
  <c r="I57" i="3"/>
  <c r="I59" i="3"/>
  <c r="I62" i="3"/>
  <c r="I63" i="3"/>
  <c r="I65" i="3"/>
  <c r="I68" i="3"/>
  <c r="I72" i="3"/>
  <c r="I73" i="3"/>
  <c r="I83" i="3"/>
  <c r="I87" i="3"/>
  <c r="I97" i="3"/>
  <c r="I98" i="3"/>
  <c r="I103" i="3"/>
  <c r="I145" i="3"/>
  <c r="I30" i="3"/>
  <c r="I31" i="3"/>
  <c r="I32" i="3"/>
  <c r="I27" i="3"/>
  <c r="I35" i="3"/>
  <c r="I38" i="3"/>
  <c r="I114" i="3"/>
  <c r="I117" i="3"/>
  <c r="I47" i="3"/>
  <c r="I195" i="3"/>
  <c r="I49" i="3"/>
  <c r="I115" i="3"/>
  <c r="I54" i="3"/>
  <c r="I56" i="3"/>
  <c r="I64" i="3"/>
  <c r="I139" i="3"/>
  <c r="I191" i="3"/>
  <c r="I196" i="3"/>
  <c r="I18" i="3"/>
  <c r="I198" i="3"/>
  <c r="I135" i="3"/>
  <c r="I22" i="3"/>
  <c r="I138" i="3"/>
  <c r="I88" i="3"/>
  <c r="I187" i="3"/>
  <c r="I26" i="3"/>
  <c r="I25" i="3"/>
  <c r="I33" i="3"/>
  <c r="I163" i="3"/>
  <c r="I164" i="3"/>
  <c r="I113" i="3"/>
  <c r="I41" i="3"/>
  <c r="I167" i="3"/>
  <c r="I121" i="3"/>
  <c r="I20" i="3"/>
  <c r="I28" i="3"/>
  <c r="I128" i="3"/>
  <c r="I166" i="3"/>
  <c r="I48" i="3"/>
  <c r="I137" i="3"/>
  <c r="I55" i="3"/>
  <c r="I140" i="3"/>
  <c r="I107" i="3"/>
  <c r="I142" i="3"/>
  <c r="I151" i="3"/>
  <c r="I66" i="3"/>
  <c r="I116" i="3"/>
  <c r="I174" i="3"/>
  <c r="I181" i="3"/>
  <c r="I13" i="3"/>
  <c r="I186" i="3"/>
  <c r="I108" i="3"/>
  <c r="I188" i="3"/>
  <c r="I194" i="3"/>
  <c r="I132" i="3"/>
  <c r="I81" i="3"/>
  <c r="I82" i="3"/>
  <c r="I84" i="3"/>
  <c r="I86" i="3"/>
  <c r="I150" i="3"/>
  <c r="I94" i="3"/>
  <c r="I95" i="3"/>
  <c r="I101" i="3"/>
  <c r="I180" i="3"/>
  <c r="I127" i="3"/>
  <c r="I15" i="3"/>
  <c r="I168" i="3"/>
  <c r="I125" i="3"/>
  <c r="I172" i="3"/>
  <c r="I21" i="3"/>
  <c r="I171" i="3"/>
  <c r="I161" i="3"/>
  <c r="I39" i="3"/>
  <c r="I149" i="3"/>
  <c r="I143" i="3"/>
  <c r="I178" i="3"/>
  <c r="I157" i="3"/>
  <c r="I165" i="3"/>
  <c r="I144" i="3"/>
  <c r="I160" i="3"/>
  <c r="I45" i="3"/>
  <c r="I159" i="3"/>
  <c r="I162" i="3"/>
  <c r="I177" i="3"/>
  <c r="I118" i="3"/>
  <c r="I158" i="3"/>
  <c r="I141" i="3"/>
  <c r="I130" i="3"/>
  <c r="I12" i="3"/>
  <c r="I119" i="3"/>
  <c r="I23" i="3"/>
  <c r="I74" i="3"/>
  <c r="I182" i="3"/>
  <c r="I102" i="3"/>
  <c r="I29" i="3"/>
  <c r="I105" i="3"/>
  <c r="I34" i="3"/>
  <c r="I183" i="3"/>
  <c r="I50" i="3"/>
  <c r="I53" i="3"/>
  <c r="I58" i="3"/>
  <c r="AK48" i="3" l="1"/>
  <c r="B14" i="25"/>
  <c r="D14" i="25"/>
  <c r="C19" i="25"/>
  <c r="C14" i="25"/>
  <c r="B19" i="25"/>
  <c r="D19" i="25"/>
  <c r="B6" i="25"/>
  <c r="B7" i="25"/>
  <c r="B5" i="25"/>
  <c r="D12" i="25"/>
  <c r="C12" i="25"/>
  <c r="B12" i="25"/>
  <c r="D20" i="25"/>
  <c r="D13" i="25"/>
  <c r="C7" i="25"/>
  <c r="C6" i="25"/>
  <c r="C5" i="25"/>
  <c r="C13" i="25"/>
  <c r="B13" i="25"/>
  <c r="C20" i="25"/>
  <c r="B20" i="25"/>
  <c r="E4" i="3"/>
  <c r="B2" i="24" s="1"/>
  <c r="AL44" i="3"/>
  <c r="AL43" i="3"/>
  <c r="AL42" i="3"/>
  <c r="AL41" i="3"/>
  <c r="AL40" i="3"/>
  <c r="AM44" i="3"/>
  <c r="AM43" i="3"/>
  <c r="AM42" i="3"/>
  <c r="AM41" i="3"/>
  <c r="AM40" i="3"/>
  <c r="J5" i="3"/>
  <c r="G3" i="24" s="1"/>
  <c r="J4" i="3"/>
  <c r="G2" i="24" s="1"/>
  <c r="I78" i="5"/>
  <c r="K78" i="5" s="1"/>
  <c r="AF56" i="3"/>
  <c r="AF80" i="3"/>
  <c r="AF179" i="3"/>
  <c r="AF156" i="3"/>
  <c r="AF147" i="3"/>
  <c r="AF197" i="3"/>
  <c r="AF24" i="3"/>
  <c r="AF11" i="3"/>
  <c r="AF199" i="3"/>
  <c r="AF153" i="3"/>
  <c r="AF152" i="3"/>
  <c r="AF10" i="3"/>
  <c r="AF16" i="3"/>
  <c r="AF176" i="3"/>
  <c r="AF155" i="3"/>
  <c r="AF138" i="3"/>
  <c r="AF187" i="3"/>
  <c r="AF163" i="3"/>
  <c r="AF164" i="3"/>
  <c r="AF167" i="3"/>
  <c r="AF20" i="3"/>
  <c r="AF28" i="3"/>
  <c r="AF128" i="3"/>
  <c r="AF166" i="3"/>
  <c r="AF137" i="3"/>
  <c r="AF140" i="3"/>
  <c r="AF142" i="3"/>
  <c r="AF151" i="3"/>
  <c r="AF116" i="3"/>
  <c r="AF174" i="3"/>
  <c r="AF181" i="3"/>
  <c r="AF13" i="3"/>
  <c r="AF186" i="3"/>
  <c r="AF188" i="3"/>
  <c r="AF132" i="3"/>
  <c r="AF150" i="3"/>
  <c r="AF180" i="3"/>
  <c r="AF127" i="3"/>
  <c r="AF15" i="3"/>
  <c r="AF168" i="3"/>
  <c r="AF125" i="3"/>
  <c r="AF172" i="3"/>
  <c r="AF21" i="3"/>
  <c r="AF171" i="3"/>
  <c r="AF161" i="3"/>
  <c r="AF149" i="3"/>
  <c r="AF143" i="3"/>
  <c r="AF178" i="3"/>
  <c r="AF157" i="3"/>
  <c r="AF165" i="3"/>
  <c r="AF144" i="3"/>
  <c r="AF160" i="3"/>
  <c r="AF159" i="3"/>
  <c r="AF162" i="3"/>
  <c r="AF177" i="3"/>
  <c r="AF158" i="3"/>
  <c r="AF141" i="3"/>
  <c r="AC179" i="3"/>
  <c r="AC156" i="3"/>
  <c r="AC147" i="3"/>
  <c r="AC197" i="3"/>
  <c r="AC24" i="3"/>
  <c r="AC110" i="3"/>
  <c r="AC11" i="3"/>
  <c r="AC199" i="3"/>
  <c r="AC153" i="3"/>
  <c r="AC152" i="3"/>
  <c r="AC10" i="3"/>
  <c r="AC16" i="3"/>
  <c r="AC176" i="3"/>
  <c r="AC155" i="3"/>
  <c r="AC72" i="3"/>
  <c r="AC138" i="3"/>
  <c r="AC187" i="3"/>
  <c r="AC163" i="3"/>
  <c r="AC164" i="3"/>
  <c r="AC113" i="3"/>
  <c r="AC167" i="3"/>
  <c r="AC20" i="3"/>
  <c r="AC28" i="3"/>
  <c r="AC128" i="3"/>
  <c r="AC166" i="3"/>
  <c r="AC137" i="3"/>
  <c r="AC140" i="3"/>
  <c r="AC142" i="3"/>
  <c r="AC151" i="3"/>
  <c r="AC116" i="3"/>
  <c r="AC174" i="3"/>
  <c r="AC181" i="3"/>
  <c r="AC13" i="3"/>
  <c r="AC186" i="3"/>
  <c r="AC188" i="3"/>
  <c r="AC132" i="3"/>
  <c r="AC180" i="3"/>
  <c r="AC127" i="3"/>
  <c r="AC15" i="3"/>
  <c r="AC168" i="3"/>
  <c r="AC125" i="3"/>
  <c r="AC172" i="3"/>
  <c r="AC21" i="3"/>
  <c r="AC171" i="3"/>
  <c r="AC161" i="3"/>
  <c r="AC149" i="3"/>
  <c r="AC143" i="3"/>
  <c r="AC178" i="3"/>
  <c r="AC157" i="3"/>
  <c r="AC165" i="3"/>
  <c r="AC144" i="3"/>
  <c r="AC160" i="3"/>
  <c r="AC159" i="3"/>
  <c r="AC162" i="3"/>
  <c r="AC177" i="3"/>
  <c r="AC158" i="3"/>
  <c r="AC141" i="3"/>
  <c r="AC12" i="3"/>
  <c r="AG179" i="3"/>
  <c r="AG156" i="3"/>
  <c r="AG147" i="3"/>
  <c r="AG197" i="3"/>
  <c r="AG24" i="3"/>
  <c r="AG110" i="3"/>
  <c r="AG11" i="3"/>
  <c r="AG199" i="3"/>
  <c r="AG153" i="3"/>
  <c r="AG152" i="3"/>
  <c r="AG10" i="3"/>
  <c r="AG16" i="3"/>
  <c r="AG176" i="3"/>
  <c r="AG155" i="3"/>
  <c r="AG72" i="3"/>
  <c r="AG138" i="3"/>
  <c r="AG187" i="3"/>
  <c r="AG163" i="3"/>
  <c r="AG164" i="3"/>
  <c r="AG113" i="3"/>
  <c r="AG167" i="3"/>
  <c r="AG20" i="3"/>
  <c r="AG28" i="3"/>
  <c r="AG128" i="3"/>
  <c r="AG166" i="3"/>
  <c r="AG137" i="3"/>
  <c r="AG140" i="3"/>
  <c r="AG142" i="3"/>
  <c r="AG151" i="3"/>
  <c r="AG116" i="3"/>
  <c r="AG174" i="3"/>
  <c r="AG181" i="3"/>
  <c r="AG13" i="3"/>
  <c r="AG186" i="3"/>
  <c r="AG188" i="3"/>
  <c r="AG132" i="3"/>
  <c r="AG180" i="3"/>
  <c r="AG127" i="3"/>
  <c r="AG15" i="3"/>
  <c r="AG168" i="3"/>
  <c r="AG125" i="3"/>
  <c r="AG172" i="3"/>
  <c r="AG21" i="3"/>
  <c r="AG171" i="3"/>
  <c r="AG161" i="3"/>
  <c r="AG149" i="3"/>
  <c r="AG143" i="3"/>
  <c r="AG178" i="3"/>
  <c r="AG157" i="3"/>
  <c r="AG165" i="3"/>
  <c r="AG144" i="3"/>
  <c r="AG160" i="3"/>
  <c r="AG159" i="3"/>
  <c r="AG162" i="3"/>
  <c r="AG177" i="3"/>
  <c r="AG158" i="3"/>
  <c r="AG141" i="3"/>
  <c r="AG12" i="3"/>
  <c r="AH179" i="3"/>
  <c r="AH156" i="3"/>
  <c r="AH147" i="3"/>
  <c r="AH197" i="3"/>
  <c r="AH24" i="3"/>
  <c r="AH110" i="3"/>
  <c r="AH11" i="3"/>
  <c r="AH199" i="3"/>
  <c r="AH153" i="3"/>
  <c r="AH152" i="3"/>
  <c r="AH10" i="3"/>
  <c r="AH16" i="3"/>
  <c r="AH176" i="3"/>
  <c r="AH155" i="3"/>
  <c r="AH72" i="3"/>
  <c r="AH138" i="3"/>
  <c r="AH187" i="3"/>
  <c r="AH163" i="3"/>
  <c r="AH164" i="3"/>
  <c r="AH113" i="3"/>
  <c r="AH167" i="3"/>
  <c r="AH20" i="3"/>
  <c r="AH28" i="3"/>
  <c r="AH128" i="3"/>
  <c r="AH166" i="3"/>
  <c r="AH137" i="3"/>
  <c r="AH140" i="3"/>
  <c r="AH142" i="3"/>
  <c r="AH151" i="3"/>
  <c r="AH116" i="3"/>
  <c r="AH174" i="3"/>
  <c r="AH181" i="3"/>
  <c r="AH13" i="3"/>
  <c r="AH186" i="3"/>
  <c r="AH188" i="3"/>
  <c r="AH132" i="3"/>
  <c r="AH180" i="3"/>
  <c r="AH127" i="3"/>
  <c r="AH15" i="3"/>
  <c r="AH168" i="3"/>
  <c r="AH125" i="3"/>
  <c r="AH172" i="3"/>
  <c r="AH21" i="3"/>
  <c r="AH171" i="3"/>
  <c r="AH161" i="3"/>
  <c r="AH149" i="3"/>
  <c r="AH143" i="3"/>
  <c r="AH178" i="3"/>
  <c r="AH157" i="3"/>
  <c r="AH165" i="3"/>
  <c r="AH144" i="3"/>
  <c r="AH160" i="3"/>
  <c r="AH159" i="3"/>
  <c r="AH162" i="3"/>
  <c r="AH177" i="3"/>
  <c r="AH158" i="3"/>
  <c r="AH141" i="3"/>
  <c r="AH12" i="3"/>
  <c r="Y211" i="20"/>
  <c r="Y212" i="20"/>
  <c r="Y213" i="20"/>
  <c r="Y214" i="20"/>
  <c r="Y215" i="20"/>
  <c r="Y216" i="20"/>
  <c r="Y217" i="20"/>
  <c r="Y218" i="20"/>
  <c r="Y128" i="20"/>
  <c r="Y129" i="20"/>
  <c r="Y130" i="20"/>
  <c r="Y131" i="20"/>
  <c r="Y132" i="20"/>
  <c r="Y133" i="20"/>
  <c r="Y134" i="20"/>
  <c r="Y135" i="20"/>
  <c r="Y136" i="20"/>
  <c r="Y137" i="20"/>
  <c r="Y138" i="20"/>
  <c r="Y139" i="20"/>
  <c r="Y140" i="20"/>
  <c r="Y141" i="20"/>
  <c r="Y142" i="20"/>
  <c r="Y143" i="20"/>
  <c r="Y144" i="20"/>
  <c r="Y145" i="20"/>
  <c r="Y146" i="20"/>
  <c r="Y147" i="20"/>
  <c r="Y148" i="20"/>
  <c r="Y149" i="20"/>
  <c r="Y150" i="20"/>
  <c r="Y151" i="20"/>
  <c r="Y152" i="20"/>
  <c r="Y153" i="20"/>
  <c r="Y154" i="20"/>
  <c r="Y155" i="20"/>
  <c r="Y156" i="20"/>
  <c r="Y157" i="20"/>
  <c r="Y158" i="20"/>
  <c r="Y159" i="20"/>
  <c r="Y160" i="20"/>
  <c r="Y161" i="20"/>
  <c r="Y162" i="20"/>
  <c r="Y163" i="20"/>
  <c r="Y164" i="20"/>
  <c r="Y165" i="20"/>
  <c r="Y166" i="20"/>
  <c r="Y167" i="20"/>
  <c r="Y168" i="20"/>
  <c r="Y169" i="20"/>
  <c r="Y170" i="20"/>
  <c r="Y171" i="20"/>
  <c r="Y172" i="20"/>
  <c r="Y173" i="20"/>
  <c r="Y174" i="20"/>
  <c r="Y175" i="20"/>
  <c r="Y176" i="20"/>
  <c r="Y177" i="20"/>
  <c r="Y178" i="20"/>
  <c r="Y179" i="20"/>
  <c r="Y180" i="20"/>
  <c r="Y181" i="20"/>
  <c r="Y182" i="20"/>
  <c r="Y183" i="20"/>
  <c r="Y184" i="20"/>
  <c r="Y185" i="20"/>
  <c r="Y186" i="20"/>
  <c r="Y187" i="20"/>
  <c r="Y188" i="20"/>
  <c r="Y189" i="20"/>
  <c r="Y190" i="20"/>
  <c r="Y191" i="20"/>
  <c r="Y192" i="20"/>
  <c r="Y193" i="20"/>
  <c r="Y194" i="20"/>
  <c r="Y195" i="20"/>
  <c r="Y196" i="20"/>
  <c r="Y197" i="20"/>
  <c r="Y198" i="20"/>
  <c r="Y199" i="20"/>
  <c r="Y200" i="20"/>
  <c r="Y201" i="20"/>
  <c r="Y202" i="20"/>
  <c r="Y203" i="20"/>
  <c r="Y204" i="20"/>
  <c r="Y205" i="20"/>
  <c r="Y206" i="20"/>
  <c r="Y207" i="20"/>
  <c r="Y208" i="20"/>
  <c r="Y209" i="20"/>
  <c r="Y210" i="20"/>
  <c r="Y11" i="20"/>
  <c r="AG58" i="3"/>
  <c r="Y12" i="20"/>
  <c r="Y13" i="20"/>
  <c r="Y14" i="20"/>
  <c r="Y15" i="20"/>
  <c r="Y16" i="20"/>
  <c r="Y17" i="20"/>
  <c r="Y18" i="20"/>
  <c r="Y19" i="20"/>
  <c r="Y20" i="20"/>
  <c r="Y21" i="20"/>
  <c r="Y22" i="20"/>
  <c r="Y23" i="20"/>
  <c r="Y24" i="20"/>
  <c r="Y25" i="20"/>
  <c r="Y26" i="20"/>
  <c r="Y27" i="20"/>
  <c r="Y28" i="20"/>
  <c r="Y29" i="20"/>
  <c r="Y30" i="20"/>
  <c r="Y31" i="20"/>
  <c r="Y32" i="20"/>
  <c r="Y33" i="20"/>
  <c r="Y34" i="20"/>
  <c r="Y35" i="20"/>
  <c r="Y36" i="20"/>
  <c r="Y37" i="20"/>
  <c r="Y38" i="20"/>
  <c r="Y39" i="20"/>
  <c r="Y40" i="20"/>
  <c r="Y41" i="20"/>
  <c r="Y42" i="20"/>
  <c r="Y43" i="20"/>
  <c r="Y44" i="20"/>
  <c r="Y45" i="20"/>
  <c r="Y46" i="20"/>
  <c r="Y47" i="20"/>
  <c r="Y48" i="20"/>
  <c r="Y49" i="20"/>
  <c r="Y50" i="20"/>
  <c r="Y51" i="20"/>
  <c r="Y52" i="20"/>
  <c r="Y53" i="20"/>
  <c r="Y54" i="20"/>
  <c r="Y55" i="20"/>
  <c r="Y56" i="20"/>
  <c r="Y57" i="20"/>
  <c r="Y58" i="20"/>
  <c r="Y59" i="20"/>
  <c r="Y60" i="20"/>
  <c r="Y61" i="20"/>
  <c r="Y62" i="20"/>
  <c r="Y63" i="20"/>
  <c r="Y64" i="20"/>
  <c r="Y65" i="20"/>
  <c r="Y66" i="20"/>
  <c r="Y67" i="20"/>
  <c r="Y68" i="20"/>
  <c r="Y69" i="20"/>
  <c r="Y70" i="20"/>
  <c r="Y71" i="20"/>
  <c r="Y72" i="20"/>
  <c r="Y73" i="20"/>
  <c r="Y74" i="20"/>
  <c r="Y75" i="20"/>
  <c r="Y76" i="20"/>
  <c r="Y77" i="20"/>
  <c r="Y78" i="20"/>
  <c r="Y79" i="20"/>
  <c r="Y80" i="20"/>
  <c r="Y81" i="20"/>
  <c r="Y82" i="20"/>
  <c r="Y83" i="20"/>
  <c r="Y84" i="20"/>
  <c r="Y85" i="20"/>
  <c r="Y86" i="20"/>
  <c r="Y87" i="20"/>
  <c r="Y88" i="20"/>
  <c r="Y89" i="20"/>
  <c r="Y90" i="20"/>
  <c r="Y91" i="20"/>
  <c r="Y92" i="20"/>
  <c r="Y93" i="20"/>
  <c r="Y94" i="20"/>
  <c r="Y95" i="20"/>
  <c r="Y96" i="20"/>
  <c r="Y97" i="20"/>
  <c r="Y98" i="20"/>
  <c r="Y99" i="20"/>
  <c r="Y100" i="20"/>
  <c r="Y101" i="20"/>
  <c r="Y102" i="20"/>
  <c r="Y103" i="20"/>
  <c r="Y104" i="20"/>
  <c r="Y105" i="20"/>
  <c r="Y106" i="20"/>
  <c r="Y107" i="20"/>
  <c r="Y108" i="20"/>
  <c r="Y109" i="20"/>
  <c r="Y110" i="20"/>
  <c r="Y111" i="20"/>
  <c r="Y112" i="20"/>
  <c r="Y113" i="20"/>
  <c r="Y114" i="20"/>
  <c r="Y115" i="20"/>
  <c r="Y116" i="20"/>
  <c r="Y117" i="20"/>
  <c r="Y118" i="20"/>
  <c r="Y119" i="20"/>
  <c r="Y120" i="20"/>
  <c r="Y121" i="20"/>
  <c r="Y122" i="20"/>
  <c r="Y123" i="20"/>
  <c r="Y124" i="20"/>
  <c r="Y125" i="20"/>
  <c r="Y126" i="20"/>
  <c r="Y127" i="20"/>
  <c r="Y10" i="20"/>
  <c r="AE179" i="3"/>
  <c r="AE156" i="3"/>
  <c r="AE147" i="3"/>
  <c r="AE197" i="3"/>
  <c r="AE24" i="3"/>
  <c r="AE110" i="3"/>
  <c r="AE11" i="3"/>
  <c r="AE199" i="3"/>
  <c r="AE153" i="3"/>
  <c r="AE152" i="3"/>
  <c r="AE10" i="3"/>
  <c r="AE16" i="3"/>
  <c r="AE176" i="3"/>
  <c r="AE155" i="3"/>
  <c r="AE72" i="3"/>
  <c r="AE138" i="3"/>
  <c r="AE187" i="3"/>
  <c r="AE163" i="3"/>
  <c r="AE164" i="3"/>
  <c r="AE113" i="3"/>
  <c r="AE167" i="3"/>
  <c r="AE20" i="3"/>
  <c r="AE28" i="3"/>
  <c r="AE128" i="3"/>
  <c r="AE166" i="3"/>
  <c r="AE137" i="3"/>
  <c r="AE140" i="3"/>
  <c r="AE142" i="3"/>
  <c r="AE151" i="3"/>
  <c r="AE116" i="3"/>
  <c r="AE174" i="3"/>
  <c r="AE181" i="3"/>
  <c r="AE13" i="3"/>
  <c r="AE186" i="3"/>
  <c r="AE188" i="3"/>
  <c r="AE132" i="3"/>
  <c r="AE180" i="3"/>
  <c r="AE127" i="3"/>
  <c r="AE15" i="3"/>
  <c r="AE168" i="3"/>
  <c r="AE125" i="3"/>
  <c r="AE172" i="3"/>
  <c r="AE21" i="3"/>
  <c r="AE171" i="3"/>
  <c r="AE161" i="3"/>
  <c r="AE149" i="3"/>
  <c r="AE143" i="3"/>
  <c r="AE178" i="3"/>
  <c r="AE157" i="3"/>
  <c r="AE165" i="3"/>
  <c r="AE144" i="3"/>
  <c r="AE160" i="3"/>
  <c r="AE159" i="3"/>
  <c r="AE162" i="3"/>
  <c r="AE177" i="3"/>
  <c r="AE158" i="3"/>
  <c r="AE141" i="3"/>
  <c r="AE12" i="3"/>
  <c r="AE119" i="3"/>
  <c r="AE23" i="3"/>
  <c r="AE74" i="3"/>
  <c r="AE182" i="3"/>
  <c r="AE102" i="3"/>
  <c r="AE29" i="3"/>
  <c r="AE105" i="3"/>
  <c r="AE34" i="3"/>
  <c r="AE183" i="3"/>
  <c r="AE50" i="3"/>
  <c r="AE53" i="3"/>
  <c r="L78" i="5" l="1" a="1"/>
  <c r="L78" i="5" s="1"/>
  <c r="M78" i="5" s="1"/>
  <c r="E13" i="25"/>
  <c r="F13" i="25" s="1"/>
  <c r="D15" i="25"/>
  <c r="C8" i="25"/>
  <c r="D6" i="25"/>
  <c r="D7" i="25"/>
  <c r="E14" i="25"/>
  <c r="F14" i="25" s="1"/>
  <c r="E12" i="25"/>
  <c r="B15" i="25"/>
  <c r="C15" i="25"/>
  <c r="E20" i="25"/>
  <c r="F20" i="25" s="1"/>
  <c r="B8" i="25"/>
  <c r="D5" i="25"/>
  <c r="D21" i="25"/>
  <c r="E19" i="25"/>
  <c r="B21" i="25"/>
  <c r="C21" i="25"/>
  <c r="AM47" i="3"/>
  <c r="AN41" i="3"/>
  <c r="AN43" i="3"/>
  <c r="AL47" i="3"/>
  <c r="AN40" i="3"/>
  <c r="AN42" i="3"/>
  <c r="AN44" i="3"/>
  <c r="AF131" i="3"/>
  <c r="AF111" i="3"/>
  <c r="AF193" i="3"/>
  <c r="AF133" i="3"/>
  <c r="AF148" i="3"/>
  <c r="AF123" i="3"/>
  <c r="AF146" i="3"/>
  <c r="AF76" i="3"/>
  <c r="AF36" i="3"/>
  <c r="AF126" i="3"/>
  <c r="AF42" i="3"/>
  <c r="AF44" i="3"/>
  <c r="AF46" i="3"/>
  <c r="AF40" i="3"/>
  <c r="AB58" i="3"/>
  <c r="AF50" i="3"/>
  <c r="AF101" i="3"/>
  <c r="AF48" i="3"/>
  <c r="AF25" i="3"/>
  <c r="AF64" i="3"/>
  <c r="AF32" i="3"/>
  <c r="AF65" i="3"/>
  <c r="AF122" i="3"/>
  <c r="AF37" i="3"/>
  <c r="AF79" i="3"/>
  <c r="AF183" i="3"/>
  <c r="AF95" i="3"/>
  <c r="AF26" i="3"/>
  <c r="AF31" i="3"/>
  <c r="AF63" i="3"/>
  <c r="AF109" i="3"/>
  <c r="AF17" i="3"/>
  <c r="AF77" i="3"/>
  <c r="AF34" i="3"/>
  <c r="AF118" i="3"/>
  <c r="AF39" i="3"/>
  <c r="AF94" i="3"/>
  <c r="AF54" i="3"/>
  <c r="AF30" i="3"/>
  <c r="AF62" i="3"/>
  <c r="AF14" i="3"/>
  <c r="AF134" i="3"/>
  <c r="AF100" i="3"/>
  <c r="AF75" i="3"/>
  <c r="AF105" i="3"/>
  <c r="AF88" i="3"/>
  <c r="AF115" i="3"/>
  <c r="AF145" i="3"/>
  <c r="AF59" i="3"/>
  <c r="AF136" i="3"/>
  <c r="AF99" i="3"/>
  <c r="AF71" i="3"/>
  <c r="AF29" i="3"/>
  <c r="AF86" i="3"/>
  <c r="AF49" i="3"/>
  <c r="AF103" i="3"/>
  <c r="AF57" i="3"/>
  <c r="AF91" i="3"/>
  <c r="AF96" i="3"/>
  <c r="AF70" i="3"/>
  <c r="AF102" i="3"/>
  <c r="AF84" i="3"/>
  <c r="AF66" i="3"/>
  <c r="AF121" i="3"/>
  <c r="AF22" i="3"/>
  <c r="AF195" i="3"/>
  <c r="AF98" i="3"/>
  <c r="AF110" i="3"/>
  <c r="AF93" i="3"/>
  <c r="AF69" i="3"/>
  <c r="AF182" i="3"/>
  <c r="AF45" i="3"/>
  <c r="AF82" i="3"/>
  <c r="AF135" i="3"/>
  <c r="AF47" i="3"/>
  <c r="AF97" i="3"/>
  <c r="AF185" i="3"/>
  <c r="AF106" i="3"/>
  <c r="AF92" i="3"/>
  <c r="AF67" i="3"/>
  <c r="AF74" i="3"/>
  <c r="AF81" i="3"/>
  <c r="AF41" i="3"/>
  <c r="AF198" i="3"/>
  <c r="AF117" i="3"/>
  <c r="AF87" i="3"/>
  <c r="AF184" i="3"/>
  <c r="AF61" i="3"/>
  <c r="AF90" i="3"/>
  <c r="AF190" i="3"/>
  <c r="AF23" i="3"/>
  <c r="AF107" i="3"/>
  <c r="AF113" i="3"/>
  <c r="AF18" i="3"/>
  <c r="AF114" i="3"/>
  <c r="AF83" i="3"/>
  <c r="AF89" i="3"/>
  <c r="AF60" i="3"/>
  <c r="AF119" i="3"/>
  <c r="AF194" i="3"/>
  <c r="AF196" i="3"/>
  <c r="AF38" i="3"/>
  <c r="AF73" i="3"/>
  <c r="AF78" i="3"/>
  <c r="AF52" i="3"/>
  <c r="AF85" i="3"/>
  <c r="AF58" i="3"/>
  <c r="AF12" i="3"/>
  <c r="AF55" i="3"/>
  <c r="AF191" i="3"/>
  <c r="AF35" i="3"/>
  <c r="AF72" i="3"/>
  <c r="AF154" i="3"/>
  <c r="AF51" i="3"/>
  <c r="AF124" i="3"/>
  <c r="AA58" i="3"/>
  <c r="AC58" i="3"/>
  <c r="AF53" i="3"/>
  <c r="AF130" i="3"/>
  <c r="AF108" i="3"/>
  <c r="AF33" i="3"/>
  <c r="AF139" i="3"/>
  <c r="AF27" i="3"/>
  <c r="AF68" i="3"/>
  <c r="AF104" i="3"/>
  <c r="AF129" i="3"/>
  <c r="AF43" i="3"/>
  <c r="R5" i="20"/>
  <c r="S5" i="20"/>
  <c r="E6" i="25" l="1"/>
  <c r="E21" i="25"/>
  <c r="F21" i="25" s="1"/>
  <c r="F19" i="25"/>
  <c r="E7" i="25"/>
  <c r="E5" i="25"/>
  <c r="D8" i="25"/>
  <c r="E8" i="25" s="1"/>
  <c r="E15" i="25"/>
  <c r="F15" i="25" s="1"/>
  <c r="F12" i="25"/>
  <c r="AN47" i="3"/>
  <c r="J5" i="20"/>
  <c r="N5" i="20"/>
  <c r="M5" i="20"/>
  <c r="L5" i="20"/>
  <c r="K5" i="20"/>
  <c r="O5" i="20"/>
  <c r="P5" i="20" l="1"/>
  <c r="AD179" i="3" l="1"/>
  <c r="AD156" i="3"/>
  <c r="AD147" i="3"/>
  <c r="AD197" i="3"/>
  <c r="AD24" i="3"/>
  <c r="AD110" i="3"/>
  <c r="AD11" i="3"/>
  <c r="AD199" i="3"/>
  <c r="AD153" i="3"/>
  <c r="AD152" i="3"/>
  <c r="AD10" i="3"/>
  <c r="AD16" i="3"/>
  <c r="AD176" i="3"/>
  <c r="AD155" i="3"/>
  <c r="AD72" i="3"/>
  <c r="AD138" i="3"/>
  <c r="AD187" i="3"/>
  <c r="AD163" i="3"/>
  <c r="AD164" i="3"/>
  <c r="AD113" i="3"/>
  <c r="AD167" i="3"/>
  <c r="AD20" i="3"/>
  <c r="AD28" i="3"/>
  <c r="AD128" i="3"/>
  <c r="AD166" i="3"/>
  <c r="AD137" i="3"/>
  <c r="AD140" i="3"/>
  <c r="AD142" i="3"/>
  <c r="AD151" i="3"/>
  <c r="AD116" i="3"/>
  <c r="AD174" i="3"/>
  <c r="AD181" i="3"/>
  <c r="AD13" i="3"/>
  <c r="AD186" i="3"/>
  <c r="AD188" i="3"/>
  <c r="AD132" i="3"/>
  <c r="AD180" i="3"/>
  <c r="AD127" i="3"/>
  <c r="AD15" i="3"/>
  <c r="AD168" i="3"/>
  <c r="AD125" i="3"/>
  <c r="AD172" i="3"/>
  <c r="AD21" i="3"/>
  <c r="AD171" i="3"/>
  <c r="AD161" i="3"/>
  <c r="AD149" i="3"/>
  <c r="AD143" i="3"/>
  <c r="AD178" i="3"/>
  <c r="AD157" i="3"/>
  <c r="AD165" i="3"/>
  <c r="AD144" i="3"/>
  <c r="AD160" i="3"/>
  <c r="AD159" i="3"/>
  <c r="AD162" i="3"/>
  <c r="AD177" i="3"/>
  <c r="AD158" i="3"/>
  <c r="AD141" i="3"/>
  <c r="AD12" i="3"/>
  <c r="AD119" i="3"/>
  <c r="AD23" i="3"/>
  <c r="AD74" i="3"/>
  <c r="AD182" i="3"/>
  <c r="AD102" i="3"/>
  <c r="AD29" i="3"/>
  <c r="AD105" i="3"/>
  <c r="AD34" i="3"/>
  <c r="AD183" i="3"/>
  <c r="AD50" i="3"/>
  <c r="AD53" i="3"/>
  <c r="AJ5" i="19" a="1"/>
  <c r="AJ5" i="19" s="1"/>
  <c r="AB179" i="3"/>
  <c r="AB156" i="3"/>
  <c r="AB147" i="3"/>
  <c r="AB197" i="3"/>
  <c r="AB24" i="3"/>
  <c r="AB110" i="3"/>
  <c r="AB11" i="3"/>
  <c r="AB199" i="3"/>
  <c r="AB153" i="3"/>
  <c r="AB152" i="3"/>
  <c r="AB10" i="3"/>
  <c r="AB16" i="3"/>
  <c r="AB176" i="3"/>
  <c r="AB155" i="3"/>
  <c r="AB72" i="3"/>
  <c r="AB138" i="3"/>
  <c r="AB187" i="3"/>
  <c r="AB163" i="3"/>
  <c r="AB164" i="3"/>
  <c r="AB113" i="3"/>
  <c r="AB167" i="3"/>
  <c r="AB20" i="3"/>
  <c r="AB28" i="3"/>
  <c r="AB128" i="3"/>
  <c r="AB166" i="3"/>
  <c r="AB137" i="3"/>
  <c r="AB140" i="3"/>
  <c r="AB142" i="3"/>
  <c r="AB151" i="3"/>
  <c r="AB116" i="3"/>
  <c r="AB174" i="3"/>
  <c r="AB181" i="3"/>
  <c r="AB13" i="3"/>
  <c r="AB186" i="3"/>
  <c r="AB188" i="3"/>
  <c r="AB132" i="3"/>
  <c r="AB180" i="3"/>
  <c r="AB127" i="3"/>
  <c r="AB15" i="3"/>
  <c r="AB168" i="3"/>
  <c r="AB125" i="3"/>
  <c r="AB172" i="3"/>
  <c r="AB21" i="3"/>
  <c r="AB171" i="3"/>
  <c r="AB161" i="3"/>
  <c r="AB149" i="3"/>
  <c r="AB143" i="3"/>
  <c r="AB178" i="3"/>
  <c r="AB157" i="3"/>
  <c r="AB165" i="3"/>
  <c r="AB144" i="3"/>
  <c r="AB160" i="3"/>
  <c r="AB159" i="3"/>
  <c r="AB162" i="3"/>
  <c r="AB177" i="3"/>
  <c r="AB158" i="3"/>
  <c r="AB141" i="3"/>
  <c r="AB12" i="3"/>
  <c r="AA179" i="3"/>
  <c r="AA156" i="3"/>
  <c r="AA147" i="3"/>
  <c r="AA197" i="3"/>
  <c r="AA24" i="3"/>
  <c r="AA110" i="3"/>
  <c r="AA11" i="3"/>
  <c r="AA199" i="3"/>
  <c r="AA153" i="3"/>
  <c r="AA152" i="3"/>
  <c r="AA10" i="3"/>
  <c r="AA16" i="3"/>
  <c r="AA176" i="3"/>
  <c r="AA155" i="3"/>
  <c r="AA72" i="3"/>
  <c r="AA138" i="3"/>
  <c r="AA187" i="3"/>
  <c r="AA163" i="3"/>
  <c r="AA164" i="3"/>
  <c r="AA113" i="3"/>
  <c r="AA167" i="3"/>
  <c r="AA20" i="3"/>
  <c r="AA28" i="3"/>
  <c r="AA128" i="3"/>
  <c r="AA166" i="3"/>
  <c r="AA137" i="3"/>
  <c r="AA140" i="3"/>
  <c r="AA142" i="3"/>
  <c r="AA151" i="3"/>
  <c r="AA116" i="3"/>
  <c r="AA174" i="3"/>
  <c r="AA181" i="3"/>
  <c r="AA13" i="3"/>
  <c r="AA186" i="3"/>
  <c r="AA188" i="3"/>
  <c r="AA132" i="3"/>
  <c r="AA180" i="3"/>
  <c r="AA127" i="3"/>
  <c r="AA15" i="3"/>
  <c r="AA168" i="3"/>
  <c r="AA125" i="3"/>
  <c r="AA172" i="3"/>
  <c r="AA21" i="3"/>
  <c r="AA171" i="3"/>
  <c r="AA161" i="3"/>
  <c r="AA149" i="3"/>
  <c r="AA143" i="3"/>
  <c r="AA178" i="3"/>
  <c r="AA157" i="3"/>
  <c r="AA165" i="3"/>
  <c r="AA144" i="3"/>
  <c r="AA160" i="3"/>
  <c r="AA159" i="3"/>
  <c r="AA162" i="3"/>
  <c r="AA177" i="3"/>
  <c r="AA158" i="3"/>
  <c r="AA141" i="3"/>
  <c r="AA12" i="3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M112" i="5"/>
  <c r="M46" i="5"/>
  <c r="B146" i="5"/>
  <c r="B145" i="5"/>
  <c r="B144" i="5"/>
  <c r="B143" i="5"/>
  <c r="B142" i="5"/>
  <c r="B141" i="5"/>
  <c r="B140" i="5"/>
  <c r="B139" i="5"/>
  <c r="B124" i="5"/>
  <c r="C124" i="5"/>
  <c r="D124" i="5"/>
  <c r="E124" i="5"/>
  <c r="F124" i="5"/>
  <c r="G124" i="5"/>
  <c r="H124" i="5"/>
  <c r="B125" i="5"/>
  <c r="C125" i="5"/>
  <c r="D125" i="5"/>
  <c r="E125" i="5"/>
  <c r="F125" i="5"/>
  <c r="G125" i="5"/>
  <c r="H125" i="5"/>
  <c r="B126" i="5"/>
  <c r="C126" i="5"/>
  <c r="D126" i="5"/>
  <c r="E126" i="5"/>
  <c r="F126" i="5"/>
  <c r="G126" i="5"/>
  <c r="H126" i="5"/>
  <c r="B127" i="5"/>
  <c r="C127" i="5"/>
  <c r="D127" i="5"/>
  <c r="E127" i="5"/>
  <c r="F127" i="5"/>
  <c r="G127" i="5"/>
  <c r="H127" i="5"/>
  <c r="B74" i="5"/>
  <c r="C74" i="5"/>
  <c r="D74" i="5"/>
  <c r="E74" i="5"/>
  <c r="F74" i="5"/>
  <c r="G74" i="5"/>
  <c r="H74" i="5"/>
  <c r="B75" i="5"/>
  <c r="C75" i="5"/>
  <c r="D75" i="5"/>
  <c r="E75" i="5"/>
  <c r="F75" i="5"/>
  <c r="G75" i="5"/>
  <c r="H75" i="5"/>
  <c r="B76" i="5"/>
  <c r="C76" i="5"/>
  <c r="D76" i="5"/>
  <c r="E76" i="5"/>
  <c r="F76" i="5"/>
  <c r="G76" i="5"/>
  <c r="H76" i="5"/>
  <c r="B77" i="5"/>
  <c r="C77" i="5"/>
  <c r="D77" i="5"/>
  <c r="E77" i="5"/>
  <c r="F77" i="5"/>
  <c r="G77" i="5"/>
  <c r="H77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94" i="5"/>
  <c r="G94" i="5"/>
  <c r="F94" i="5"/>
  <c r="E94" i="5"/>
  <c r="D94" i="5"/>
  <c r="C94" i="5"/>
  <c r="B94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H45" i="5"/>
  <c r="G45" i="5"/>
  <c r="F45" i="5"/>
  <c r="E45" i="5"/>
  <c r="D45" i="5"/>
  <c r="C45" i="5"/>
  <c r="B45" i="5"/>
  <c r="H43" i="5"/>
  <c r="G43" i="5"/>
  <c r="F43" i="5"/>
  <c r="E43" i="5"/>
  <c r="D43" i="5"/>
  <c r="C43" i="5"/>
  <c r="B43" i="5"/>
  <c r="H108" i="5"/>
  <c r="G108" i="5"/>
  <c r="F108" i="5"/>
  <c r="E108" i="5"/>
  <c r="D108" i="5"/>
  <c r="C108" i="5"/>
  <c r="B108" i="5"/>
  <c r="H90" i="5"/>
  <c r="G90" i="5"/>
  <c r="F90" i="5"/>
  <c r="E90" i="5"/>
  <c r="D90" i="5"/>
  <c r="C90" i="5"/>
  <c r="B90" i="5"/>
  <c r="H58" i="5"/>
  <c r="G58" i="5"/>
  <c r="F58" i="5"/>
  <c r="E58" i="5"/>
  <c r="D58" i="5"/>
  <c r="C58" i="5"/>
  <c r="B58" i="5"/>
  <c r="H42" i="5"/>
  <c r="G42" i="5"/>
  <c r="F42" i="5"/>
  <c r="E42" i="5"/>
  <c r="D42" i="5"/>
  <c r="C42" i="5"/>
  <c r="B42" i="5"/>
  <c r="H24" i="5"/>
  <c r="G24" i="5"/>
  <c r="F24" i="5"/>
  <c r="E24" i="5"/>
  <c r="D24" i="5"/>
  <c r="C24" i="5"/>
  <c r="B24" i="5"/>
  <c r="H6" i="5"/>
  <c r="G6" i="5"/>
  <c r="F6" i="5"/>
  <c r="E6" i="5"/>
  <c r="D6" i="5"/>
  <c r="C6" i="5"/>
  <c r="B6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H8" i="5"/>
  <c r="G8" i="5"/>
  <c r="F8" i="5"/>
  <c r="E8" i="5"/>
  <c r="D8" i="5"/>
  <c r="C8" i="5"/>
  <c r="B8" i="5"/>
  <c r="H93" i="5"/>
  <c r="G93" i="5"/>
  <c r="F93" i="5"/>
  <c r="E93" i="5"/>
  <c r="D93" i="5"/>
  <c r="C93" i="5"/>
  <c r="B93" i="5"/>
  <c r="H44" i="5"/>
  <c r="G44" i="5"/>
  <c r="F44" i="5"/>
  <c r="E44" i="5"/>
  <c r="D44" i="5"/>
  <c r="C44" i="5"/>
  <c r="B44" i="5"/>
  <c r="H7" i="5"/>
  <c r="G7" i="5"/>
  <c r="F7" i="5"/>
  <c r="E7" i="5"/>
  <c r="D7" i="5"/>
  <c r="C7" i="5"/>
  <c r="B7" i="5"/>
  <c r="H92" i="5"/>
  <c r="G92" i="5"/>
  <c r="F92" i="5"/>
  <c r="E92" i="5"/>
  <c r="D92" i="5"/>
  <c r="C92" i="5"/>
  <c r="B92" i="5"/>
  <c r="H91" i="5"/>
  <c r="G91" i="5"/>
  <c r="F91" i="5"/>
  <c r="E91" i="5"/>
  <c r="D91" i="5"/>
  <c r="C91" i="5"/>
  <c r="B91" i="5"/>
  <c r="H111" i="5"/>
  <c r="G111" i="5"/>
  <c r="F111" i="5"/>
  <c r="E111" i="5"/>
  <c r="D111" i="5"/>
  <c r="C111" i="5"/>
  <c r="B111" i="5"/>
  <c r="H110" i="5"/>
  <c r="G110" i="5"/>
  <c r="F110" i="5"/>
  <c r="E110" i="5"/>
  <c r="D110" i="5"/>
  <c r="C110" i="5"/>
  <c r="B110" i="5"/>
  <c r="H109" i="5"/>
  <c r="G109" i="5"/>
  <c r="F109" i="5"/>
  <c r="E109" i="5"/>
  <c r="D109" i="5"/>
  <c r="C109" i="5"/>
  <c r="B109" i="5"/>
  <c r="P6" i="3"/>
  <c r="M4" i="24" s="1"/>
  <c r="P5" i="3"/>
  <c r="M3" i="24" s="1"/>
  <c r="P4" i="3"/>
  <c r="M2" i="24" s="1"/>
  <c r="K5" i="3"/>
  <c r="H3" i="24" s="1"/>
  <c r="I5" i="3"/>
  <c r="F3" i="24" s="1"/>
  <c r="H5" i="3"/>
  <c r="E3" i="24" s="1"/>
  <c r="G5" i="3"/>
  <c r="D3" i="24" s="1"/>
  <c r="F5" i="3"/>
  <c r="C3" i="24" s="1"/>
  <c r="E5" i="3"/>
  <c r="B3" i="24" s="1"/>
  <c r="K4" i="3"/>
  <c r="H2" i="24" s="1"/>
  <c r="I4" i="3"/>
  <c r="F2" i="24" s="1"/>
  <c r="H4" i="3"/>
  <c r="E2" i="24" s="1"/>
  <c r="G4" i="3"/>
  <c r="D2" i="24" s="1"/>
  <c r="F4" i="3"/>
  <c r="C2" i="24" s="1"/>
  <c r="H6" i="3" l="1"/>
  <c r="E4" i="24" s="1"/>
  <c r="G6" i="3"/>
  <c r="D4" i="24" s="1"/>
  <c r="J6" i="3"/>
  <c r="G4" i="24" s="1"/>
  <c r="I124" i="5"/>
  <c r="I131" i="5" s="1"/>
  <c r="I127" i="5"/>
  <c r="L127" i="5" s="1" a="1"/>
  <c r="L127" i="5" s="1"/>
  <c r="M127" i="5" s="1"/>
  <c r="I126" i="5"/>
  <c r="L126" i="5" s="1" a="1"/>
  <c r="L126" i="5" s="1"/>
  <c r="M126" i="5" s="1"/>
  <c r="I125" i="5"/>
  <c r="I58" i="5"/>
  <c r="I65" i="5" s="1"/>
  <c r="I10" i="5"/>
  <c r="J10" i="5" s="1"/>
  <c r="I109" i="5"/>
  <c r="G116" i="5" s="1"/>
  <c r="I111" i="5"/>
  <c r="I118" i="5" s="1"/>
  <c r="I6" i="3"/>
  <c r="F4" i="24" s="1"/>
  <c r="K6" i="3"/>
  <c r="H4" i="24" s="1"/>
  <c r="F6" i="3"/>
  <c r="C4" i="24" s="1"/>
  <c r="L5" i="3"/>
  <c r="I94" i="5"/>
  <c r="H102" i="5" s="1"/>
  <c r="I77" i="5"/>
  <c r="C84" i="5" s="1"/>
  <c r="I76" i="5"/>
  <c r="F83" i="5" s="1"/>
  <c r="I75" i="5"/>
  <c r="C82" i="5" s="1"/>
  <c r="I61" i="5"/>
  <c r="I68" i="5" s="1"/>
  <c r="I60" i="5"/>
  <c r="J60" i="5" s="1"/>
  <c r="I59" i="5"/>
  <c r="I66" i="5" s="1"/>
  <c r="I45" i="5"/>
  <c r="J45" i="5" s="1"/>
  <c r="J52" i="5" s="1"/>
  <c r="I108" i="5"/>
  <c r="G115" i="5" s="1"/>
  <c r="I43" i="5"/>
  <c r="J43" i="5" s="1"/>
  <c r="J50" i="5" s="1"/>
  <c r="I28" i="5"/>
  <c r="J28" i="5" s="1"/>
  <c r="I27" i="5"/>
  <c r="J27" i="5" s="1"/>
  <c r="I26" i="5"/>
  <c r="J26" i="5" s="1"/>
  <c r="I25" i="5"/>
  <c r="J25" i="5" s="1"/>
  <c r="I9" i="5"/>
  <c r="J9" i="5" s="1"/>
  <c r="I8" i="5"/>
  <c r="J8" i="5" s="1"/>
  <c r="I93" i="5"/>
  <c r="J93" i="5" s="1"/>
  <c r="I44" i="5"/>
  <c r="J44" i="5" s="1"/>
  <c r="J51" i="5" s="1"/>
  <c r="I7" i="5"/>
  <c r="J7" i="5" s="1"/>
  <c r="I92" i="5"/>
  <c r="F100" i="5" s="1"/>
  <c r="I91" i="5"/>
  <c r="D99" i="5" s="1"/>
  <c r="I6" i="5"/>
  <c r="I14" i="5" s="1"/>
  <c r="I24" i="5"/>
  <c r="J24" i="5" s="1"/>
  <c r="I42" i="5"/>
  <c r="J42" i="5" s="1"/>
  <c r="J49" i="5" s="1"/>
  <c r="I74" i="5"/>
  <c r="H81" i="5" s="1"/>
  <c r="I90" i="5"/>
  <c r="C98" i="5" s="1"/>
  <c r="I110" i="5"/>
  <c r="E117" i="5" s="1"/>
  <c r="M5" i="3" a="1"/>
  <c r="M5" i="3" s="1"/>
  <c r="J3" i="24" s="1"/>
  <c r="M4" i="3" a="1"/>
  <c r="AM48" i="3" l="1"/>
  <c r="N5" i="3" s="1"/>
  <c r="K3" i="24" s="1"/>
  <c r="I3" i="24"/>
  <c r="J53" i="5"/>
  <c r="J58" i="5"/>
  <c r="J65" i="5" s="1"/>
  <c r="J109" i="5"/>
  <c r="J116" i="5" s="1"/>
  <c r="J6" i="5"/>
  <c r="J14" i="5" s="1"/>
  <c r="K14" i="5" s="1"/>
  <c r="J111" i="5"/>
  <c r="J110" i="5"/>
  <c r="J92" i="5"/>
  <c r="J100" i="5" s="1"/>
  <c r="J90" i="5"/>
  <c r="J98" i="5" s="1"/>
  <c r="J61" i="5"/>
  <c r="J68" i="5" s="1"/>
  <c r="J77" i="5"/>
  <c r="J59" i="5"/>
  <c r="J108" i="5"/>
  <c r="J115" i="5" s="1"/>
  <c r="J94" i="5"/>
  <c r="J102" i="5" s="1"/>
  <c r="J76" i="5"/>
  <c r="J74" i="5"/>
  <c r="J91" i="5"/>
  <c r="J99" i="5" s="1"/>
  <c r="J75" i="5"/>
  <c r="J124" i="5"/>
  <c r="K124" i="5" s="1"/>
  <c r="L124" i="5" a="1"/>
  <c r="L124" i="5" s="1"/>
  <c r="L131" i="5" s="1"/>
  <c r="J127" i="5"/>
  <c r="K127" i="5" s="1"/>
  <c r="B131" i="5"/>
  <c r="D134" i="5"/>
  <c r="D131" i="5"/>
  <c r="C134" i="5"/>
  <c r="E131" i="5"/>
  <c r="F131" i="5"/>
  <c r="G131" i="5"/>
  <c r="H131" i="5"/>
  <c r="C131" i="5"/>
  <c r="G132" i="5"/>
  <c r="I133" i="5"/>
  <c r="H133" i="5"/>
  <c r="I134" i="5"/>
  <c r="H134" i="5"/>
  <c r="F134" i="5"/>
  <c r="E134" i="5"/>
  <c r="G133" i="5"/>
  <c r="G134" i="5"/>
  <c r="E133" i="5"/>
  <c r="B133" i="5"/>
  <c r="F133" i="5"/>
  <c r="B134" i="5"/>
  <c r="L133" i="5"/>
  <c r="M133" i="5" s="1"/>
  <c r="L134" i="5"/>
  <c r="M134" i="5" s="1"/>
  <c r="J125" i="5"/>
  <c r="K125" i="5" s="1"/>
  <c r="I132" i="5"/>
  <c r="H132" i="5"/>
  <c r="C132" i="5"/>
  <c r="C133" i="5"/>
  <c r="L111" i="5" a="1"/>
  <c r="L111" i="5" s="1"/>
  <c r="E132" i="5"/>
  <c r="B102" i="5"/>
  <c r="D133" i="5"/>
  <c r="F102" i="5"/>
  <c r="B132" i="5"/>
  <c r="H100" i="5"/>
  <c r="F132" i="5"/>
  <c r="D132" i="5"/>
  <c r="J126" i="5"/>
  <c r="K126" i="5" s="1"/>
  <c r="L125" i="5" a="1"/>
  <c r="L125" i="5" s="1"/>
  <c r="M125" i="5" s="1"/>
  <c r="L110" i="5" a="1"/>
  <c r="L110" i="5" s="1"/>
  <c r="M110" i="5" s="1"/>
  <c r="I117" i="5"/>
  <c r="I116" i="5"/>
  <c r="D117" i="5"/>
  <c r="B118" i="5"/>
  <c r="H118" i="5"/>
  <c r="D116" i="5"/>
  <c r="G98" i="5"/>
  <c r="G118" i="5"/>
  <c r="C117" i="5"/>
  <c r="B100" i="5"/>
  <c r="E118" i="5"/>
  <c r="H116" i="5"/>
  <c r="D82" i="5"/>
  <c r="H99" i="5"/>
  <c r="B115" i="5"/>
  <c r="G117" i="5"/>
  <c r="D84" i="5"/>
  <c r="C118" i="5"/>
  <c r="B116" i="5"/>
  <c r="C81" i="5"/>
  <c r="C99" i="5"/>
  <c r="E116" i="5"/>
  <c r="H115" i="5"/>
  <c r="H82" i="5"/>
  <c r="C115" i="5"/>
  <c r="C116" i="5"/>
  <c r="F84" i="5"/>
  <c r="D118" i="5"/>
  <c r="F117" i="5"/>
  <c r="F118" i="5"/>
  <c r="I115" i="5"/>
  <c r="F82" i="5"/>
  <c r="F116" i="5"/>
  <c r="B117" i="5"/>
  <c r="D115" i="5"/>
  <c r="G81" i="5"/>
  <c r="H117" i="5"/>
  <c r="E115" i="5"/>
  <c r="F115" i="5"/>
  <c r="I98" i="5"/>
  <c r="E98" i="5"/>
  <c r="J101" i="5"/>
  <c r="I101" i="5"/>
  <c r="H101" i="5"/>
  <c r="E101" i="5"/>
  <c r="G100" i="5"/>
  <c r="D100" i="5"/>
  <c r="D81" i="5"/>
  <c r="B99" i="5"/>
  <c r="D101" i="5"/>
  <c r="D98" i="5"/>
  <c r="F65" i="5"/>
  <c r="G84" i="5"/>
  <c r="F101" i="5"/>
  <c r="C100" i="5"/>
  <c r="B101" i="5"/>
  <c r="I102" i="5"/>
  <c r="D65" i="5"/>
  <c r="H84" i="5"/>
  <c r="E100" i="5"/>
  <c r="G99" i="5"/>
  <c r="F99" i="5"/>
  <c r="G68" i="5"/>
  <c r="F81" i="5"/>
  <c r="B98" i="5"/>
  <c r="E99" i="5"/>
  <c r="E102" i="5"/>
  <c r="H65" i="5"/>
  <c r="D83" i="5"/>
  <c r="G101" i="5"/>
  <c r="C102" i="5"/>
  <c r="I99" i="5"/>
  <c r="C68" i="5"/>
  <c r="G83" i="5"/>
  <c r="F98" i="5"/>
  <c r="G102" i="5"/>
  <c r="I100" i="5"/>
  <c r="E84" i="5"/>
  <c r="B84" i="5"/>
  <c r="H98" i="5"/>
  <c r="C101" i="5"/>
  <c r="D102" i="5"/>
  <c r="J34" i="5"/>
  <c r="I34" i="5"/>
  <c r="J35" i="5"/>
  <c r="I35" i="5"/>
  <c r="J36" i="5"/>
  <c r="I36" i="5"/>
  <c r="I50" i="5"/>
  <c r="I15" i="5"/>
  <c r="I52" i="5"/>
  <c r="B83" i="5"/>
  <c r="I51" i="5"/>
  <c r="E67" i="5"/>
  <c r="I67" i="5"/>
  <c r="I69" i="5" s="1"/>
  <c r="E83" i="5"/>
  <c r="B81" i="5"/>
  <c r="I81" i="5"/>
  <c r="E16" i="5"/>
  <c r="I16" i="5"/>
  <c r="I82" i="5"/>
  <c r="J18" i="5"/>
  <c r="I18" i="5"/>
  <c r="G82" i="5"/>
  <c r="L42" i="5" a="1"/>
  <c r="L42" i="5" s="1"/>
  <c r="M42" i="5" s="1"/>
  <c r="I49" i="5"/>
  <c r="J17" i="5"/>
  <c r="I17" i="5"/>
  <c r="I83" i="5"/>
  <c r="E81" i="5"/>
  <c r="H83" i="5"/>
  <c r="J32" i="5"/>
  <c r="I32" i="5"/>
  <c r="J33" i="5"/>
  <c r="I33" i="5"/>
  <c r="I84" i="5"/>
  <c r="G66" i="5"/>
  <c r="B82" i="5"/>
  <c r="C83" i="5"/>
  <c r="E82" i="5"/>
  <c r="H67" i="5"/>
  <c r="C66" i="5"/>
  <c r="J67" i="5"/>
  <c r="G65" i="5"/>
  <c r="E66" i="5"/>
  <c r="D67" i="5"/>
  <c r="G67" i="5"/>
  <c r="C67" i="5"/>
  <c r="B66" i="5"/>
  <c r="E68" i="5"/>
  <c r="B68" i="5"/>
  <c r="C65" i="5"/>
  <c r="F66" i="5"/>
  <c r="D66" i="5"/>
  <c r="H66" i="5"/>
  <c r="H68" i="5"/>
  <c r="E65" i="5"/>
  <c r="F67" i="5"/>
  <c r="D68" i="5"/>
  <c r="B67" i="5"/>
  <c r="B65" i="5"/>
  <c r="F68" i="5"/>
  <c r="L109" i="5" a="1"/>
  <c r="L109" i="5" s="1"/>
  <c r="M109" i="5" s="1"/>
  <c r="C17" i="5"/>
  <c r="F15" i="5"/>
  <c r="E17" i="5"/>
  <c r="C16" i="5"/>
  <c r="B16" i="5"/>
  <c r="F17" i="5"/>
  <c r="D17" i="5"/>
  <c r="C15" i="5"/>
  <c r="H17" i="5"/>
  <c r="F18" i="5"/>
  <c r="B18" i="5"/>
  <c r="B14" i="5"/>
  <c r="H14" i="5"/>
  <c r="E18" i="5"/>
  <c r="D15" i="5"/>
  <c r="G14" i="5"/>
  <c r="D18" i="5"/>
  <c r="F16" i="5"/>
  <c r="B15" i="5"/>
  <c r="C18" i="5"/>
  <c r="E15" i="5"/>
  <c r="H18" i="5"/>
  <c r="G18" i="5"/>
  <c r="H16" i="5"/>
  <c r="G17" i="5"/>
  <c r="B17" i="5"/>
  <c r="G15" i="5"/>
  <c r="F14" i="5"/>
  <c r="H15" i="5"/>
  <c r="G16" i="5"/>
  <c r="E14" i="5"/>
  <c r="D14" i="5"/>
  <c r="D16" i="5"/>
  <c r="C14" i="5"/>
  <c r="L10" i="5" a="1"/>
  <c r="L10" i="5" s="1"/>
  <c r="L94" i="5" a="1"/>
  <c r="L94" i="5" s="1"/>
  <c r="L77" i="5" a="1"/>
  <c r="L77" i="5" s="1"/>
  <c r="L76" i="5" a="1"/>
  <c r="L76" i="5" s="1"/>
  <c r="L75" i="5" a="1"/>
  <c r="L75" i="5" s="1"/>
  <c r="L61" i="5" a="1"/>
  <c r="L61" i="5" s="1"/>
  <c r="M61" i="5" s="1"/>
  <c r="L60" i="5" a="1"/>
  <c r="L60" i="5" s="1"/>
  <c r="M60" i="5" s="1"/>
  <c r="L59" i="5" a="1"/>
  <c r="L59" i="5" s="1"/>
  <c r="M59" i="5" s="1"/>
  <c r="L45" i="5" a="1"/>
  <c r="L45" i="5" s="1"/>
  <c r="M45" i="5" s="1"/>
  <c r="L108" i="5" a="1"/>
  <c r="L108" i="5" s="1"/>
  <c r="M108" i="5" s="1"/>
  <c r="L43" i="5" a="1"/>
  <c r="L43" i="5" s="1"/>
  <c r="M43" i="5" s="1"/>
  <c r="L28" i="5" a="1"/>
  <c r="L28" i="5" s="1"/>
  <c r="L27" i="5" a="1"/>
  <c r="L27" i="5" s="1"/>
  <c r="L26" i="5" a="1"/>
  <c r="L26" i="5" s="1"/>
  <c r="L25" i="5" a="1"/>
  <c r="L25" i="5" s="1"/>
  <c r="L9" i="5" a="1"/>
  <c r="L9" i="5" s="1"/>
  <c r="L8" i="5" a="1"/>
  <c r="L8" i="5" s="1"/>
  <c r="L93" i="5" a="1"/>
  <c r="L93" i="5" s="1"/>
  <c r="L44" i="5" a="1"/>
  <c r="L44" i="5" s="1"/>
  <c r="M44" i="5" s="1"/>
  <c r="K7" i="5"/>
  <c r="L7" i="5" a="1"/>
  <c r="L7" i="5" s="1"/>
  <c r="L92" i="5" a="1"/>
  <c r="L92" i="5" s="1"/>
  <c r="L91" i="5" a="1"/>
  <c r="L91" i="5" s="1"/>
  <c r="L6" i="5" a="1"/>
  <c r="L6" i="5" s="1"/>
  <c r="L24" i="5" a="1"/>
  <c r="L24" i="5" s="1"/>
  <c r="L74" i="5" a="1"/>
  <c r="L74" i="5" s="1"/>
  <c r="L90" i="5" a="1"/>
  <c r="L90" i="5" s="1"/>
  <c r="F9" i="24" l="1"/>
  <c r="C9" i="24"/>
  <c r="E9" i="24"/>
  <c r="B9" i="24"/>
  <c r="D9" i="24"/>
  <c r="J81" i="5"/>
  <c r="K81" i="5" s="1"/>
  <c r="J82" i="5"/>
  <c r="K82" i="5" s="1"/>
  <c r="J83" i="5"/>
  <c r="K83" i="5" s="1"/>
  <c r="J84" i="5"/>
  <c r="K84" i="5" s="1"/>
  <c r="J131" i="5"/>
  <c r="K131" i="5" s="1"/>
  <c r="M124" i="5"/>
  <c r="K109" i="5"/>
  <c r="E69" i="5"/>
  <c r="J134" i="5"/>
  <c r="K134" i="5" s="1"/>
  <c r="H19" i="5"/>
  <c r="K74" i="5"/>
  <c r="J15" i="5"/>
  <c r="K15" i="5" s="1"/>
  <c r="B85" i="5"/>
  <c r="G19" i="5"/>
  <c r="D19" i="5"/>
  <c r="F19" i="5"/>
  <c r="E19" i="5"/>
  <c r="I19" i="5"/>
  <c r="C19" i="5"/>
  <c r="B19" i="5"/>
  <c r="I53" i="5"/>
  <c r="I37" i="5"/>
  <c r="J37" i="5"/>
  <c r="K28" i="5"/>
  <c r="C85" i="5"/>
  <c r="E103" i="5"/>
  <c r="K9" i="5"/>
  <c r="G69" i="5"/>
  <c r="F69" i="5"/>
  <c r="C69" i="5"/>
  <c r="D69" i="5"/>
  <c r="B69" i="5"/>
  <c r="H69" i="5"/>
  <c r="H85" i="5"/>
  <c r="F85" i="5"/>
  <c r="E85" i="5"/>
  <c r="D85" i="5"/>
  <c r="D103" i="5"/>
  <c r="G85" i="5"/>
  <c r="I85" i="5"/>
  <c r="C103" i="5"/>
  <c r="F103" i="5"/>
  <c r="I103" i="5"/>
  <c r="G103" i="5"/>
  <c r="J103" i="5"/>
  <c r="B103" i="5"/>
  <c r="G119" i="5"/>
  <c r="K93" i="5"/>
  <c r="K43" i="5"/>
  <c r="H103" i="5"/>
  <c r="K102" i="5"/>
  <c r="K6" i="5"/>
  <c r="K32" i="5"/>
  <c r="B135" i="5"/>
  <c r="E119" i="5"/>
  <c r="K90" i="5"/>
  <c r="K44" i="5"/>
  <c r="F119" i="5"/>
  <c r="K10" i="5"/>
  <c r="I119" i="5"/>
  <c r="D135" i="5"/>
  <c r="H135" i="5"/>
  <c r="K18" i="5"/>
  <c r="K51" i="5"/>
  <c r="K98" i="5"/>
  <c r="B119" i="5"/>
  <c r="C119" i="5"/>
  <c r="D119" i="5"/>
  <c r="H119" i="5"/>
  <c r="C135" i="5"/>
  <c r="K108" i="5"/>
  <c r="K116" i="5"/>
  <c r="K25" i="5"/>
  <c r="E135" i="5"/>
  <c r="F135" i="5"/>
  <c r="K27" i="5"/>
  <c r="K36" i="5"/>
  <c r="K101" i="5"/>
  <c r="G135" i="5"/>
  <c r="K77" i="5"/>
  <c r="K33" i="5"/>
  <c r="K35" i="5"/>
  <c r="K115" i="5"/>
  <c r="M131" i="5"/>
  <c r="K17" i="5"/>
  <c r="K50" i="5"/>
  <c r="K100" i="5"/>
  <c r="L118" i="5"/>
  <c r="M111" i="5"/>
  <c r="M118" i="5" s="1"/>
  <c r="K67" i="5"/>
  <c r="K34" i="5"/>
  <c r="I135" i="5"/>
  <c r="K99" i="5"/>
  <c r="K94" i="5"/>
  <c r="K92" i="5"/>
  <c r="J132" i="5"/>
  <c r="L132" i="5"/>
  <c r="M132" i="5" s="1"/>
  <c r="J133" i="5"/>
  <c r="K133" i="5" s="1"/>
  <c r="M115" i="5"/>
  <c r="L115" i="5"/>
  <c r="K110" i="5"/>
  <c r="J117" i="5"/>
  <c r="K117" i="5" s="1"/>
  <c r="M116" i="5"/>
  <c r="L116" i="5"/>
  <c r="K60" i="5"/>
  <c r="K111" i="5"/>
  <c r="J118" i="5"/>
  <c r="K118" i="5" s="1"/>
  <c r="M117" i="5"/>
  <c r="L117" i="5"/>
  <c r="L51" i="5"/>
  <c r="M51" i="5" s="1"/>
  <c r="K26" i="5"/>
  <c r="L68" i="5"/>
  <c r="M68" i="5" s="1"/>
  <c r="K76" i="5"/>
  <c r="M75" i="5"/>
  <c r="L82" i="5"/>
  <c r="M82" i="5" s="1"/>
  <c r="K59" i="5"/>
  <c r="J66" i="5"/>
  <c r="L67" i="5"/>
  <c r="M67" i="5" s="1"/>
  <c r="M90" i="5"/>
  <c r="L98" i="5"/>
  <c r="M98" i="5" s="1"/>
  <c r="M91" i="5"/>
  <c r="L99" i="5"/>
  <c r="M76" i="5"/>
  <c r="L83" i="5"/>
  <c r="M83" i="5" s="1"/>
  <c r="K24" i="5"/>
  <c r="L66" i="5"/>
  <c r="M66" i="5" s="1"/>
  <c r="K45" i="5"/>
  <c r="K52" i="5"/>
  <c r="K91" i="5"/>
  <c r="M93" i="5"/>
  <c r="L101" i="5"/>
  <c r="M101" i="5" s="1"/>
  <c r="M77" i="5"/>
  <c r="L84" i="5"/>
  <c r="M84" i="5" s="1"/>
  <c r="M74" i="5"/>
  <c r="L81" i="5"/>
  <c r="M92" i="5"/>
  <c r="L100" i="5"/>
  <c r="M100" i="5" s="1"/>
  <c r="L50" i="5"/>
  <c r="M50" i="5" s="1"/>
  <c r="L49" i="5"/>
  <c r="L52" i="5"/>
  <c r="M52" i="5" s="1"/>
  <c r="K75" i="5"/>
  <c r="M94" i="5"/>
  <c r="L102" i="5"/>
  <c r="M102" i="5" s="1"/>
  <c r="K61" i="5"/>
  <c r="K68" i="5"/>
  <c r="K42" i="5"/>
  <c r="H52" i="5"/>
  <c r="D52" i="5"/>
  <c r="F52" i="5"/>
  <c r="C52" i="5"/>
  <c r="B52" i="5"/>
  <c r="G52" i="5"/>
  <c r="E52" i="5"/>
  <c r="E50" i="5"/>
  <c r="F50" i="5"/>
  <c r="B50" i="5"/>
  <c r="D50" i="5"/>
  <c r="G50" i="5"/>
  <c r="C50" i="5"/>
  <c r="H50" i="5"/>
  <c r="D49" i="5"/>
  <c r="E49" i="5"/>
  <c r="H49" i="5"/>
  <c r="C49" i="5"/>
  <c r="F49" i="5"/>
  <c r="G49" i="5"/>
  <c r="B49" i="5"/>
  <c r="G36" i="5"/>
  <c r="E36" i="5"/>
  <c r="B36" i="5"/>
  <c r="H36" i="5"/>
  <c r="D36" i="5"/>
  <c r="F36" i="5"/>
  <c r="C36" i="5"/>
  <c r="B33" i="5"/>
  <c r="G33" i="5"/>
  <c r="C33" i="5"/>
  <c r="E33" i="5"/>
  <c r="H33" i="5"/>
  <c r="D33" i="5"/>
  <c r="F33" i="5"/>
  <c r="D35" i="5"/>
  <c r="E35" i="5"/>
  <c r="G35" i="5"/>
  <c r="C35" i="5"/>
  <c r="F35" i="5"/>
  <c r="H35" i="5"/>
  <c r="B35" i="5"/>
  <c r="F51" i="5"/>
  <c r="C51" i="5"/>
  <c r="E51" i="5"/>
  <c r="D51" i="5"/>
  <c r="H51" i="5"/>
  <c r="B51" i="5"/>
  <c r="G51" i="5"/>
  <c r="E32" i="5"/>
  <c r="G32" i="5"/>
  <c r="D32" i="5"/>
  <c r="C32" i="5"/>
  <c r="H32" i="5"/>
  <c r="F32" i="5"/>
  <c r="B32" i="5"/>
  <c r="B34" i="5"/>
  <c r="G34" i="5"/>
  <c r="C34" i="5"/>
  <c r="D34" i="5"/>
  <c r="E34" i="5"/>
  <c r="F34" i="5"/>
  <c r="H34" i="5"/>
  <c r="M28" i="5"/>
  <c r="L36" i="5"/>
  <c r="M36" i="5" s="1"/>
  <c r="M24" i="5"/>
  <c r="L32" i="5"/>
  <c r="M32" i="5" s="1"/>
  <c r="M25" i="5"/>
  <c r="L33" i="5"/>
  <c r="M26" i="5"/>
  <c r="L34" i="5"/>
  <c r="M34" i="5" s="1"/>
  <c r="M27" i="5"/>
  <c r="L35" i="5"/>
  <c r="M35" i="5" s="1"/>
  <c r="M7" i="5"/>
  <c r="L15" i="5"/>
  <c r="M9" i="5"/>
  <c r="L17" i="5"/>
  <c r="M17" i="5" s="1"/>
  <c r="M6" i="5"/>
  <c r="L14" i="5"/>
  <c r="M14" i="5" s="1"/>
  <c r="M8" i="5"/>
  <c r="L16" i="5"/>
  <c r="M16" i="5" s="1"/>
  <c r="K8" i="5"/>
  <c r="J16" i="5"/>
  <c r="K16" i="5" s="1"/>
  <c r="M10" i="5"/>
  <c r="L18" i="5"/>
  <c r="M18" i="5" s="1"/>
  <c r="J85" i="5" l="1"/>
  <c r="K85" i="5" s="1"/>
  <c r="K66" i="5"/>
  <c r="J69" i="5"/>
  <c r="D37" i="5"/>
  <c r="J19" i="5"/>
  <c r="K19" i="5" s="1"/>
  <c r="H37" i="5"/>
  <c r="E37" i="5"/>
  <c r="C37" i="5"/>
  <c r="M15" i="5"/>
  <c r="L19" i="5"/>
  <c r="M19" i="5" s="1"/>
  <c r="M33" i="5"/>
  <c r="L37" i="5"/>
  <c r="M37" i="5" s="1"/>
  <c r="G37" i="5"/>
  <c r="K37" i="5"/>
  <c r="B37" i="5"/>
  <c r="F37" i="5"/>
  <c r="K49" i="5"/>
  <c r="K53" i="5"/>
  <c r="B53" i="5"/>
  <c r="F53" i="5"/>
  <c r="C53" i="5"/>
  <c r="H53" i="5"/>
  <c r="E53" i="5"/>
  <c r="G53" i="5"/>
  <c r="D53" i="5"/>
  <c r="M49" i="5"/>
  <c r="L53" i="5"/>
  <c r="M53" i="5" s="1"/>
  <c r="M81" i="5"/>
  <c r="L85" i="5"/>
  <c r="M85" i="5" s="1"/>
  <c r="M99" i="5"/>
  <c r="L103" i="5"/>
  <c r="M103" i="5" s="1"/>
  <c r="K103" i="5"/>
  <c r="L119" i="5"/>
  <c r="M119" i="5" s="1"/>
  <c r="J119" i="5"/>
  <c r="K119" i="5" s="1"/>
  <c r="J135" i="5"/>
  <c r="K135" i="5" s="1"/>
  <c r="K132" i="5"/>
  <c r="L135" i="5"/>
  <c r="M135" i="5" s="1"/>
  <c r="BA210" i="19"/>
  <c r="AZ210" i="19"/>
  <c r="AY210" i="19"/>
  <c r="AX210" i="19"/>
  <c r="AW210" i="19"/>
  <c r="AV210" i="19"/>
  <c r="AU210" i="19"/>
  <c r="AS210" i="19"/>
  <c r="AR210" i="19"/>
  <c r="AQ210" i="19"/>
  <c r="AP210" i="19"/>
  <c r="AA210" i="19"/>
  <c r="AH131" i="3" s="1"/>
  <c r="H210" i="19"/>
  <c r="BA209" i="19"/>
  <c r="AZ209" i="19"/>
  <c r="AY209" i="19"/>
  <c r="AX209" i="19"/>
  <c r="AW209" i="19"/>
  <c r="AV209" i="19"/>
  <c r="AS209" i="19"/>
  <c r="AR209" i="19"/>
  <c r="AQ209" i="19"/>
  <c r="AP209" i="19"/>
  <c r="AC104" i="3"/>
  <c r="AA209" i="19"/>
  <c r="H209" i="19"/>
  <c r="BA208" i="19"/>
  <c r="AZ208" i="19"/>
  <c r="AY208" i="19"/>
  <c r="AX208" i="19"/>
  <c r="AW208" i="19"/>
  <c r="AU208" i="19"/>
  <c r="AS208" i="19"/>
  <c r="AR208" i="19"/>
  <c r="AQ208" i="19"/>
  <c r="AP208" i="19"/>
  <c r="AC103" i="3"/>
  <c r="AA208" i="19"/>
  <c r="H208" i="19"/>
  <c r="BA207" i="19"/>
  <c r="AZ207" i="19"/>
  <c r="AY207" i="19"/>
  <c r="AX207" i="19"/>
  <c r="AW207" i="19"/>
  <c r="AV207" i="19"/>
  <c r="AU207" i="19"/>
  <c r="AS207" i="19"/>
  <c r="AR207" i="19"/>
  <c r="AQ207" i="19"/>
  <c r="AP207" i="19"/>
  <c r="AA207" i="19"/>
  <c r="H207" i="19"/>
  <c r="BA206" i="19"/>
  <c r="AZ206" i="19"/>
  <c r="AY206" i="19"/>
  <c r="AX206" i="19"/>
  <c r="AW206" i="19"/>
  <c r="AV206" i="19"/>
  <c r="AU206" i="19"/>
  <c r="AS206" i="19"/>
  <c r="AR206" i="19"/>
  <c r="AQ206" i="19"/>
  <c r="AP206" i="19"/>
  <c r="AC102" i="3"/>
  <c r="AA206" i="19"/>
  <c r="H206" i="19"/>
  <c r="BA205" i="19"/>
  <c r="AZ205" i="19"/>
  <c r="AY205" i="19"/>
  <c r="AW205" i="19"/>
  <c r="AV205" i="19"/>
  <c r="AU205" i="19"/>
  <c r="AS205" i="19"/>
  <c r="AR205" i="19"/>
  <c r="AQ205" i="19"/>
  <c r="AP205" i="19"/>
  <c r="AC101" i="3"/>
  <c r="AA205" i="19"/>
  <c r="H205" i="19"/>
  <c r="AE100" i="3"/>
  <c r="BA204" i="19"/>
  <c r="AZ204" i="19"/>
  <c r="AY204" i="19"/>
  <c r="AX204" i="19"/>
  <c r="AW204" i="19"/>
  <c r="AV204" i="19"/>
  <c r="AU204" i="19"/>
  <c r="AD100" i="3"/>
  <c r="AS204" i="19"/>
  <c r="AR204" i="19"/>
  <c r="AQ204" i="19"/>
  <c r="AP204" i="19"/>
  <c r="AC100" i="3"/>
  <c r="AA204" i="19"/>
  <c r="H204" i="19"/>
  <c r="BA203" i="19"/>
  <c r="AZ203" i="19"/>
  <c r="AY203" i="19"/>
  <c r="AX203" i="19"/>
  <c r="AW203" i="19"/>
  <c r="AV203" i="19"/>
  <c r="AU203" i="19"/>
  <c r="AS203" i="19"/>
  <c r="AR203" i="19"/>
  <c r="AQ203" i="19"/>
  <c r="AP203" i="19"/>
  <c r="AA203" i="19"/>
  <c r="AH148" i="3" s="1"/>
  <c r="H203" i="19"/>
  <c r="BA202" i="19"/>
  <c r="AZ202" i="19"/>
  <c r="AY202" i="19"/>
  <c r="AX202" i="19"/>
  <c r="AW202" i="19"/>
  <c r="AV202" i="19"/>
  <c r="AU202" i="19"/>
  <c r="AS202" i="19"/>
  <c r="AR202" i="19"/>
  <c r="AQ202" i="19"/>
  <c r="AP202" i="19"/>
  <c r="AA202" i="19"/>
  <c r="H202" i="19"/>
  <c r="AE99" i="3"/>
  <c r="BA201" i="19"/>
  <c r="AZ201" i="19"/>
  <c r="AY201" i="19"/>
  <c r="AX201" i="19"/>
  <c r="AW201" i="19"/>
  <c r="AV201" i="19"/>
  <c r="AU201" i="19"/>
  <c r="AD99" i="3"/>
  <c r="AS201" i="19"/>
  <c r="AR201" i="19"/>
  <c r="AQ201" i="19"/>
  <c r="AP201" i="19"/>
  <c r="AC99" i="3"/>
  <c r="AA201" i="19"/>
  <c r="H201" i="19"/>
  <c r="BA200" i="19"/>
  <c r="AZ200" i="19"/>
  <c r="AY200" i="19"/>
  <c r="AX200" i="19"/>
  <c r="AW200" i="19"/>
  <c r="AV200" i="19"/>
  <c r="AU200" i="19"/>
  <c r="AS200" i="19"/>
  <c r="AR200" i="19"/>
  <c r="AQ200" i="19"/>
  <c r="AP200" i="19"/>
  <c r="AA200" i="19"/>
  <c r="H200" i="19"/>
  <c r="BA199" i="19"/>
  <c r="AZ199" i="19"/>
  <c r="AY199" i="19"/>
  <c r="AX199" i="19"/>
  <c r="AW199" i="19"/>
  <c r="AV199" i="19"/>
  <c r="AU199" i="19"/>
  <c r="AS199" i="19"/>
  <c r="AR199" i="19"/>
  <c r="AQ199" i="19"/>
  <c r="AP199" i="19"/>
  <c r="AA199" i="19"/>
  <c r="H199" i="19"/>
  <c r="BA198" i="19"/>
  <c r="AZ198" i="19"/>
  <c r="AY198" i="19"/>
  <c r="AX198" i="19"/>
  <c r="AW198" i="19"/>
  <c r="AU198" i="19"/>
  <c r="AS198" i="19"/>
  <c r="AR198" i="19"/>
  <c r="AQ198" i="19"/>
  <c r="AP198" i="19"/>
  <c r="AC98" i="3"/>
  <c r="AA198" i="19"/>
  <c r="H198" i="19"/>
  <c r="BA197" i="19"/>
  <c r="AZ197" i="19"/>
  <c r="AY197" i="19"/>
  <c r="AX197" i="19"/>
  <c r="AW197" i="19"/>
  <c r="AV197" i="19"/>
  <c r="AU197" i="19"/>
  <c r="AS197" i="19"/>
  <c r="AR197" i="19"/>
  <c r="AQ197" i="19"/>
  <c r="AP197" i="19"/>
  <c r="AA197" i="19"/>
  <c r="H197" i="19"/>
  <c r="BA196" i="19"/>
  <c r="AZ196" i="19"/>
  <c r="AY196" i="19"/>
  <c r="AX196" i="19"/>
  <c r="AW196" i="19"/>
  <c r="AV196" i="19"/>
  <c r="AS196" i="19"/>
  <c r="AR196" i="19"/>
  <c r="AQ196" i="19"/>
  <c r="AP196" i="19"/>
  <c r="AC14" i="3"/>
  <c r="AA196" i="19"/>
  <c r="H196" i="19"/>
  <c r="BA195" i="19"/>
  <c r="AZ195" i="19"/>
  <c r="AY195" i="19"/>
  <c r="AX195" i="19"/>
  <c r="AW195" i="19"/>
  <c r="AU195" i="19"/>
  <c r="AS195" i="19"/>
  <c r="AR195" i="19"/>
  <c r="AQ195" i="19"/>
  <c r="AP195" i="19"/>
  <c r="AC97" i="3"/>
  <c r="AA195" i="19"/>
  <c r="H195" i="19"/>
  <c r="AE96" i="3"/>
  <c r="BA194" i="19"/>
  <c r="AZ194" i="19"/>
  <c r="AY194" i="19"/>
  <c r="AX194" i="19"/>
  <c r="AW194" i="19"/>
  <c r="AV194" i="19"/>
  <c r="AU194" i="19"/>
  <c r="AD96" i="3"/>
  <c r="AS194" i="19"/>
  <c r="AR194" i="19"/>
  <c r="AQ194" i="19"/>
  <c r="AP194" i="19"/>
  <c r="AC96" i="3"/>
  <c r="AA194" i="19"/>
  <c r="H194" i="19"/>
  <c r="BA193" i="19"/>
  <c r="AZ193" i="19"/>
  <c r="AY193" i="19"/>
  <c r="AW193" i="19"/>
  <c r="AV193" i="19"/>
  <c r="AU193" i="19"/>
  <c r="AS193" i="19"/>
  <c r="AR193" i="19"/>
  <c r="AQ193" i="19"/>
  <c r="AP193" i="19"/>
  <c r="AC95" i="3"/>
  <c r="AA193" i="19"/>
  <c r="H193" i="19"/>
  <c r="BA192" i="19"/>
  <c r="AZ192" i="19"/>
  <c r="AY192" i="19"/>
  <c r="AX192" i="19"/>
  <c r="AW192" i="19"/>
  <c r="AV192" i="19"/>
  <c r="AU192" i="19"/>
  <c r="AS192" i="19"/>
  <c r="AR192" i="19"/>
  <c r="AQ192" i="19"/>
  <c r="AP192" i="19"/>
  <c r="AA192" i="19"/>
  <c r="H192" i="19"/>
  <c r="BA191" i="19"/>
  <c r="AZ191" i="19"/>
  <c r="AY191" i="19"/>
  <c r="AX191" i="19"/>
  <c r="AW191" i="19"/>
  <c r="AV191" i="19"/>
  <c r="AS191" i="19"/>
  <c r="AR191" i="19"/>
  <c r="AQ191" i="19"/>
  <c r="AP191" i="19"/>
  <c r="AC136" i="3"/>
  <c r="AA191" i="19"/>
  <c r="H191" i="19"/>
  <c r="BA190" i="19"/>
  <c r="AZ190" i="19"/>
  <c r="AY190" i="19"/>
  <c r="AW190" i="19"/>
  <c r="AV190" i="19"/>
  <c r="AU190" i="19"/>
  <c r="AS190" i="19"/>
  <c r="AR190" i="19"/>
  <c r="AQ190" i="19"/>
  <c r="AP190" i="19"/>
  <c r="AC94" i="3"/>
  <c r="AA190" i="19"/>
  <c r="H190" i="19"/>
  <c r="AE93" i="3"/>
  <c r="BA189" i="19"/>
  <c r="AZ189" i="19"/>
  <c r="AY189" i="19"/>
  <c r="AX189" i="19"/>
  <c r="AW189" i="19"/>
  <c r="AV189" i="19"/>
  <c r="AU189" i="19"/>
  <c r="AD93" i="3"/>
  <c r="AS189" i="19"/>
  <c r="AR189" i="19"/>
  <c r="AQ189" i="19"/>
  <c r="AP189" i="19"/>
  <c r="AC93" i="3"/>
  <c r="AA189" i="19"/>
  <c r="H189" i="19"/>
  <c r="AE92" i="3"/>
  <c r="BA188" i="19"/>
  <c r="AZ188" i="19"/>
  <c r="AY188" i="19"/>
  <c r="AX188" i="19"/>
  <c r="AW188" i="19"/>
  <c r="AV188" i="19"/>
  <c r="AU188" i="19"/>
  <c r="AD92" i="3"/>
  <c r="AS188" i="19"/>
  <c r="AR188" i="19"/>
  <c r="AQ188" i="19"/>
  <c r="AP188" i="19"/>
  <c r="AC92" i="3"/>
  <c r="AA188" i="19"/>
  <c r="H188" i="19"/>
  <c r="BA187" i="19"/>
  <c r="AZ187" i="19"/>
  <c r="AY187" i="19"/>
  <c r="AX187" i="19"/>
  <c r="AW187" i="19"/>
  <c r="AV187" i="19"/>
  <c r="AD91" i="3"/>
  <c r="AS187" i="19"/>
  <c r="AR187" i="19"/>
  <c r="AQ187" i="19"/>
  <c r="AP187" i="19"/>
  <c r="AC91" i="3"/>
  <c r="AA187" i="19"/>
  <c r="H187" i="19"/>
  <c r="BA186" i="19"/>
  <c r="AZ186" i="19"/>
  <c r="AY186" i="19"/>
  <c r="AX186" i="19"/>
  <c r="AW186" i="19"/>
  <c r="AV186" i="19"/>
  <c r="AU186" i="19"/>
  <c r="AS186" i="19"/>
  <c r="AR186" i="19"/>
  <c r="AQ186" i="19"/>
  <c r="AP186" i="19"/>
  <c r="AA186" i="19"/>
  <c r="H186" i="19"/>
  <c r="BA185" i="19"/>
  <c r="AZ185" i="19"/>
  <c r="AY185" i="19"/>
  <c r="AW185" i="19"/>
  <c r="AV185" i="19"/>
  <c r="AU185" i="19"/>
  <c r="AS185" i="19"/>
  <c r="AR185" i="19"/>
  <c r="AQ185" i="19"/>
  <c r="AP185" i="19"/>
  <c r="AC150" i="3"/>
  <c r="AA185" i="19"/>
  <c r="H185" i="19"/>
  <c r="AE90" i="3"/>
  <c r="BA184" i="19"/>
  <c r="AZ184" i="19"/>
  <c r="AY184" i="19"/>
  <c r="AX184" i="19"/>
  <c r="AW184" i="19"/>
  <c r="AV184" i="19"/>
  <c r="AU184" i="19"/>
  <c r="AD90" i="3"/>
  <c r="AS184" i="19"/>
  <c r="AR184" i="19"/>
  <c r="AQ184" i="19"/>
  <c r="AP184" i="19"/>
  <c r="AA184" i="19"/>
  <c r="H184" i="19"/>
  <c r="BA183" i="19"/>
  <c r="AZ183" i="19"/>
  <c r="AX183" i="19"/>
  <c r="AW183" i="19"/>
  <c r="AV183" i="19"/>
  <c r="AU183" i="19"/>
  <c r="AS183" i="19"/>
  <c r="AR183" i="19"/>
  <c r="AQ183" i="19"/>
  <c r="AP183" i="19"/>
  <c r="AC88" i="3"/>
  <c r="AA183" i="19"/>
  <c r="H183" i="19"/>
  <c r="AE89" i="3"/>
  <c r="BA182" i="19"/>
  <c r="AZ182" i="19"/>
  <c r="AY182" i="19"/>
  <c r="AX182" i="19"/>
  <c r="AW182" i="19"/>
  <c r="AV182" i="19"/>
  <c r="AU182" i="19"/>
  <c r="AD89" i="3"/>
  <c r="AS182" i="19"/>
  <c r="AR182" i="19"/>
  <c r="AQ182" i="19"/>
  <c r="AP182" i="19"/>
  <c r="AC89" i="3"/>
  <c r="AA182" i="19"/>
  <c r="H182" i="19"/>
  <c r="BA181" i="19"/>
  <c r="AZ181" i="19"/>
  <c r="AY181" i="19"/>
  <c r="AX181" i="19"/>
  <c r="AW181" i="19"/>
  <c r="AU181" i="19"/>
  <c r="AS181" i="19"/>
  <c r="AR181" i="19"/>
  <c r="AQ181" i="19"/>
  <c r="AP181" i="19"/>
  <c r="AC87" i="3"/>
  <c r="AA181" i="19"/>
  <c r="H181" i="19"/>
  <c r="BA180" i="19"/>
  <c r="AZ180" i="19"/>
  <c r="AY180" i="19"/>
  <c r="AW180" i="19"/>
  <c r="AV180" i="19"/>
  <c r="AU180" i="19"/>
  <c r="AS180" i="19"/>
  <c r="AR180" i="19"/>
  <c r="AQ180" i="19"/>
  <c r="AP180" i="19"/>
  <c r="AC86" i="3"/>
  <c r="AA180" i="19"/>
  <c r="H180" i="19"/>
  <c r="AE85" i="3"/>
  <c r="BA179" i="19"/>
  <c r="AZ179" i="19"/>
  <c r="AY179" i="19"/>
  <c r="AX179" i="19"/>
  <c r="AW179" i="19"/>
  <c r="AV179" i="19"/>
  <c r="AU179" i="19"/>
  <c r="AD85" i="3"/>
  <c r="AS179" i="19"/>
  <c r="AR179" i="19"/>
  <c r="AQ179" i="19"/>
  <c r="AP179" i="19"/>
  <c r="AC85" i="3"/>
  <c r="AA179" i="19"/>
  <c r="H179" i="19"/>
  <c r="BA178" i="19"/>
  <c r="AZ178" i="19"/>
  <c r="AY178" i="19"/>
  <c r="AW178" i="19"/>
  <c r="AV178" i="19"/>
  <c r="AU178" i="19"/>
  <c r="AS178" i="19"/>
  <c r="AR178" i="19"/>
  <c r="AQ178" i="19"/>
  <c r="AP178" i="19"/>
  <c r="AC84" i="3"/>
  <c r="AA178" i="19"/>
  <c r="H178" i="19"/>
  <c r="BA177" i="19"/>
  <c r="AZ177" i="19"/>
  <c r="AY177" i="19"/>
  <c r="AX177" i="19"/>
  <c r="AW177" i="19"/>
  <c r="AU177" i="19"/>
  <c r="AS177" i="19"/>
  <c r="AR177" i="19"/>
  <c r="AQ177" i="19"/>
  <c r="AP177" i="19"/>
  <c r="AC83" i="3"/>
  <c r="AA177" i="19"/>
  <c r="H177" i="19"/>
  <c r="BA176" i="19"/>
  <c r="AZ176" i="19"/>
  <c r="AY176" i="19"/>
  <c r="AX176" i="19"/>
  <c r="AW176" i="19"/>
  <c r="AV176" i="19"/>
  <c r="AU176" i="19"/>
  <c r="AS176" i="19"/>
  <c r="AR176" i="19"/>
  <c r="AQ176" i="19"/>
  <c r="AP176" i="19"/>
  <c r="AA176" i="19"/>
  <c r="H176" i="19"/>
  <c r="BA175" i="19"/>
  <c r="AZ175" i="19"/>
  <c r="AY175" i="19"/>
  <c r="AX175" i="19"/>
  <c r="AW175" i="19"/>
  <c r="AV175" i="19"/>
  <c r="AU175" i="19"/>
  <c r="AS175" i="19"/>
  <c r="AR175" i="19"/>
  <c r="AQ175" i="19"/>
  <c r="AP175" i="19"/>
  <c r="AA175" i="19"/>
  <c r="H175" i="19"/>
  <c r="BA174" i="19"/>
  <c r="AZ174" i="19"/>
  <c r="AY174" i="19"/>
  <c r="AX174" i="19"/>
  <c r="AW174" i="19"/>
  <c r="AV174" i="19"/>
  <c r="AD185" i="3"/>
  <c r="AS174" i="19"/>
  <c r="AR174" i="19"/>
  <c r="AQ174" i="19"/>
  <c r="AP174" i="19"/>
  <c r="AC185" i="3"/>
  <c r="AA174" i="19"/>
  <c r="H174" i="19"/>
  <c r="BA173" i="19"/>
  <c r="AZ173" i="19"/>
  <c r="AY173" i="19"/>
  <c r="AX173" i="19"/>
  <c r="AW173" i="19"/>
  <c r="AV173" i="19"/>
  <c r="AU173" i="19"/>
  <c r="AS173" i="19"/>
  <c r="AR173" i="19"/>
  <c r="AQ173" i="19"/>
  <c r="AP173" i="19"/>
  <c r="AA173" i="19"/>
  <c r="H173" i="19"/>
  <c r="BA172" i="19"/>
  <c r="AZ172" i="19"/>
  <c r="AX172" i="19"/>
  <c r="AW172" i="19"/>
  <c r="AV172" i="19"/>
  <c r="AU172" i="19"/>
  <c r="AS172" i="19"/>
  <c r="AR172" i="19"/>
  <c r="AQ172" i="19"/>
  <c r="AP172" i="19"/>
  <c r="AC22" i="3"/>
  <c r="AA172" i="19"/>
  <c r="H172" i="19"/>
  <c r="BA171" i="19"/>
  <c r="AZ171" i="19"/>
  <c r="AX171" i="19"/>
  <c r="AW171" i="19"/>
  <c r="AV171" i="19"/>
  <c r="AU171" i="19"/>
  <c r="AS171" i="19"/>
  <c r="AR171" i="19"/>
  <c r="AQ171" i="19"/>
  <c r="AP171" i="19"/>
  <c r="AC135" i="3"/>
  <c r="AA171" i="19"/>
  <c r="H171" i="19"/>
  <c r="BA170" i="19"/>
  <c r="AZ170" i="19"/>
  <c r="AY170" i="19"/>
  <c r="AW170" i="19"/>
  <c r="AV170" i="19"/>
  <c r="AU170" i="19"/>
  <c r="AS170" i="19"/>
  <c r="AR170" i="19"/>
  <c r="AQ170" i="19"/>
  <c r="AP170" i="19"/>
  <c r="AC82" i="3"/>
  <c r="AA170" i="19"/>
  <c r="H170" i="19"/>
  <c r="AE124" i="3"/>
  <c r="BA169" i="19"/>
  <c r="AZ169" i="19"/>
  <c r="AY169" i="19"/>
  <c r="AX169" i="19"/>
  <c r="AW169" i="19"/>
  <c r="AV169" i="19"/>
  <c r="AU169" i="19"/>
  <c r="AD124" i="3"/>
  <c r="AS169" i="19"/>
  <c r="AR169" i="19"/>
  <c r="AQ169" i="19"/>
  <c r="AP169" i="19"/>
  <c r="AC124" i="3"/>
  <c r="AA169" i="19"/>
  <c r="H169" i="19"/>
  <c r="BA168" i="19"/>
  <c r="AZ168" i="19"/>
  <c r="AY168" i="19"/>
  <c r="AX168" i="19"/>
  <c r="AW168" i="19"/>
  <c r="AV168" i="19"/>
  <c r="AS168" i="19"/>
  <c r="AR168" i="19"/>
  <c r="AQ168" i="19"/>
  <c r="AP168" i="19"/>
  <c r="AC184" i="3"/>
  <c r="AA168" i="19"/>
  <c r="H168" i="19"/>
  <c r="BA167" i="19"/>
  <c r="AZ167" i="19"/>
  <c r="AX167" i="19"/>
  <c r="AW167" i="19"/>
  <c r="AV167" i="19"/>
  <c r="AU167" i="19"/>
  <c r="AS167" i="19"/>
  <c r="AR167" i="19"/>
  <c r="AQ167" i="19"/>
  <c r="AP167" i="19"/>
  <c r="AC198" i="3"/>
  <c r="AA167" i="19"/>
  <c r="H167" i="19"/>
  <c r="BA166" i="19"/>
  <c r="AZ166" i="19"/>
  <c r="AX166" i="19"/>
  <c r="AW166" i="19"/>
  <c r="AV166" i="19"/>
  <c r="AU166" i="19"/>
  <c r="AS166" i="19"/>
  <c r="AR166" i="19"/>
  <c r="AQ166" i="19"/>
  <c r="AP166" i="19"/>
  <c r="AC18" i="3"/>
  <c r="AA166" i="19"/>
  <c r="H166" i="19"/>
  <c r="BA165" i="19"/>
  <c r="AZ165" i="19"/>
  <c r="AY165" i="19"/>
  <c r="AW165" i="19"/>
  <c r="AV165" i="19"/>
  <c r="AU165" i="19"/>
  <c r="AS165" i="19"/>
  <c r="AR165" i="19"/>
  <c r="AQ165" i="19"/>
  <c r="AP165" i="19"/>
  <c r="AC81" i="3"/>
  <c r="AA165" i="19"/>
  <c r="H165" i="19"/>
  <c r="AE80" i="3"/>
  <c r="BA164" i="19"/>
  <c r="AZ164" i="19"/>
  <c r="AY164" i="19"/>
  <c r="AX164" i="19"/>
  <c r="AW164" i="19"/>
  <c r="AV164" i="19"/>
  <c r="AU164" i="19"/>
  <c r="AD80" i="3"/>
  <c r="AS164" i="19"/>
  <c r="AR164" i="19"/>
  <c r="AQ164" i="19"/>
  <c r="AP164" i="19"/>
  <c r="AC80" i="3"/>
  <c r="AA164" i="19"/>
  <c r="H164" i="19"/>
  <c r="BA163" i="19"/>
  <c r="AZ163" i="19"/>
  <c r="AY163" i="19"/>
  <c r="AX163" i="19"/>
  <c r="AW163" i="19"/>
  <c r="AV163" i="19"/>
  <c r="AU163" i="19"/>
  <c r="AS163" i="19"/>
  <c r="AR163" i="19"/>
  <c r="AQ163" i="19"/>
  <c r="AP163" i="19"/>
  <c r="AA163" i="19"/>
  <c r="H163" i="19"/>
  <c r="BA162" i="19"/>
  <c r="AZ162" i="19"/>
  <c r="AY162" i="19"/>
  <c r="AW162" i="19"/>
  <c r="AV162" i="19"/>
  <c r="AU162" i="19"/>
  <c r="AS162" i="19"/>
  <c r="AR162" i="19"/>
  <c r="AQ162" i="19"/>
  <c r="AP162" i="19"/>
  <c r="AC194" i="3"/>
  <c r="AA162" i="19"/>
  <c r="H162" i="19"/>
  <c r="AE79" i="3"/>
  <c r="BA161" i="19"/>
  <c r="AZ161" i="19"/>
  <c r="AY161" i="19"/>
  <c r="AX161" i="19"/>
  <c r="AW161" i="19"/>
  <c r="AV161" i="19"/>
  <c r="AU161" i="19"/>
  <c r="AD79" i="3"/>
  <c r="AS161" i="19"/>
  <c r="AR161" i="19"/>
  <c r="AQ161" i="19"/>
  <c r="AP161" i="19"/>
  <c r="AC79" i="3"/>
  <c r="AA161" i="19"/>
  <c r="H161" i="19"/>
  <c r="BA160" i="19"/>
  <c r="AZ160" i="19"/>
  <c r="AY160" i="19"/>
  <c r="AX160" i="19"/>
  <c r="AW160" i="19"/>
  <c r="AV160" i="19"/>
  <c r="AS160" i="19"/>
  <c r="AR160" i="19"/>
  <c r="AQ160" i="19"/>
  <c r="AP160" i="19"/>
  <c r="AC78" i="3"/>
  <c r="AA160" i="19"/>
  <c r="H160" i="19"/>
  <c r="AE77" i="3"/>
  <c r="BA159" i="19"/>
  <c r="AZ159" i="19"/>
  <c r="AY159" i="19"/>
  <c r="AX159" i="19"/>
  <c r="AW159" i="19"/>
  <c r="AV159" i="19"/>
  <c r="AU159" i="19"/>
  <c r="AD77" i="3"/>
  <c r="AS159" i="19"/>
  <c r="AR159" i="19"/>
  <c r="AQ159" i="19"/>
  <c r="AP159" i="19"/>
  <c r="AC77" i="3"/>
  <c r="AA159" i="19"/>
  <c r="H159" i="19"/>
  <c r="BA158" i="19"/>
  <c r="AZ158" i="19"/>
  <c r="AY158" i="19"/>
  <c r="AX158" i="19"/>
  <c r="AW158" i="19"/>
  <c r="AV158" i="19"/>
  <c r="AS158" i="19"/>
  <c r="AR158" i="19"/>
  <c r="AQ158" i="19"/>
  <c r="AP158" i="19"/>
  <c r="AC154" i="3"/>
  <c r="AA158" i="19"/>
  <c r="H158" i="19"/>
  <c r="BA157" i="19"/>
  <c r="AZ157" i="19"/>
  <c r="AY157" i="19"/>
  <c r="AX157" i="19"/>
  <c r="AW157" i="19"/>
  <c r="AV157" i="19"/>
  <c r="AU157" i="19"/>
  <c r="AS157" i="19"/>
  <c r="AR157" i="19"/>
  <c r="AQ157" i="19"/>
  <c r="AP157" i="19"/>
  <c r="AA157" i="19"/>
  <c r="AH76" i="3" s="1"/>
  <c r="H157" i="19"/>
  <c r="BA156" i="19"/>
  <c r="AZ156" i="19"/>
  <c r="AY156" i="19"/>
  <c r="AX156" i="19"/>
  <c r="AW156" i="19"/>
  <c r="AV156" i="19"/>
  <c r="AU156" i="19"/>
  <c r="AS156" i="19"/>
  <c r="AR156" i="19"/>
  <c r="AQ156" i="19"/>
  <c r="AP156" i="19"/>
  <c r="AA156" i="19"/>
  <c r="H156" i="19"/>
  <c r="BA155" i="19"/>
  <c r="AZ155" i="19"/>
  <c r="AY155" i="19"/>
  <c r="AX155" i="19"/>
  <c r="AW155" i="19"/>
  <c r="AV155" i="19"/>
  <c r="AU155" i="19"/>
  <c r="AS155" i="19"/>
  <c r="AR155" i="19"/>
  <c r="AQ155" i="19"/>
  <c r="AP155" i="19"/>
  <c r="AA155" i="19"/>
  <c r="H155" i="19"/>
  <c r="BA154" i="19"/>
  <c r="AZ154" i="19"/>
  <c r="AY154" i="19"/>
  <c r="AX154" i="19"/>
  <c r="AW154" i="19"/>
  <c r="AV154" i="19"/>
  <c r="AU154" i="19"/>
  <c r="AS154" i="19"/>
  <c r="AR154" i="19"/>
  <c r="AQ154" i="19"/>
  <c r="AP154" i="19"/>
  <c r="AA154" i="19"/>
  <c r="H154" i="19"/>
  <c r="BA153" i="19"/>
  <c r="AZ153" i="19"/>
  <c r="AY153" i="19"/>
  <c r="AX153" i="19"/>
  <c r="AW153" i="19"/>
  <c r="AV153" i="19"/>
  <c r="AU153" i="19"/>
  <c r="AS153" i="19"/>
  <c r="AR153" i="19"/>
  <c r="AQ153" i="19"/>
  <c r="AP153" i="19"/>
  <c r="AA153" i="19"/>
  <c r="H153" i="19"/>
  <c r="BA152" i="19"/>
  <c r="AZ152" i="19"/>
  <c r="AY152" i="19"/>
  <c r="AX152" i="19"/>
  <c r="AW152" i="19"/>
  <c r="AV152" i="19"/>
  <c r="AU152" i="19"/>
  <c r="AS152" i="19"/>
  <c r="AR152" i="19"/>
  <c r="AQ152" i="19"/>
  <c r="AP152" i="19"/>
  <c r="AC182" i="3"/>
  <c r="AA152" i="19"/>
  <c r="H152" i="19"/>
  <c r="BA151" i="19"/>
  <c r="AZ151" i="19"/>
  <c r="AY151" i="19"/>
  <c r="AX151" i="19"/>
  <c r="AW151" i="19"/>
  <c r="AV151" i="19"/>
  <c r="AU151" i="19"/>
  <c r="AS151" i="19"/>
  <c r="AR151" i="19"/>
  <c r="AQ151" i="19"/>
  <c r="AP151" i="19"/>
  <c r="AA151" i="19"/>
  <c r="H151" i="19"/>
  <c r="AE75" i="3"/>
  <c r="BA150" i="19"/>
  <c r="AZ150" i="19"/>
  <c r="AY150" i="19"/>
  <c r="AX150" i="19"/>
  <c r="AW150" i="19"/>
  <c r="AV150" i="19"/>
  <c r="AU150" i="19"/>
  <c r="AD75" i="3"/>
  <c r="AS150" i="19"/>
  <c r="AR150" i="19"/>
  <c r="AQ150" i="19"/>
  <c r="AP150" i="19"/>
  <c r="AC75" i="3"/>
  <c r="AA150" i="19"/>
  <c r="H150" i="19"/>
  <c r="BA149" i="19"/>
  <c r="AZ149" i="19"/>
  <c r="AY149" i="19"/>
  <c r="AX149" i="19"/>
  <c r="AW149" i="19"/>
  <c r="AV149" i="19"/>
  <c r="AU149" i="19"/>
  <c r="AS149" i="19"/>
  <c r="AR149" i="19"/>
  <c r="AQ149" i="19"/>
  <c r="AP149" i="19"/>
  <c r="AA149" i="19"/>
  <c r="H149" i="19"/>
  <c r="BA148" i="19"/>
  <c r="AZ148" i="19"/>
  <c r="AY148" i="19"/>
  <c r="AX148" i="19"/>
  <c r="AW148" i="19"/>
  <c r="AV148" i="19"/>
  <c r="AU148" i="19"/>
  <c r="AS148" i="19"/>
  <c r="AR148" i="19"/>
  <c r="AQ148" i="19"/>
  <c r="AP148" i="19"/>
  <c r="AC74" i="3"/>
  <c r="AA148" i="19"/>
  <c r="H148" i="19"/>
  <c r="BA147" i="19"/>
  <c r="AZ147" i="19"/>
  <c r="AY147" i="19"/>
  <c r="AX147" i="19"/>
  <c r="AW147" i="19"/>
  <c r="AV147" i="19"/>
  <c r="AS147" i="19"/>
  <c r="AR147" i="19"/>
  <c r="AQ147" i="19"/>
  <c r="AP147" i="19"/>
  <c r="AC129" i="3"/>
  <c r="AA147" i="19"/>
  <c r="H147" i="19"/>
  <c r="BA146" i="19"/>
  <c r="AZ146" i="19"/>
  <c r="AY146" i="19"/>
  <c r="AX146" i="19"/>
  <c r="AW146" i="19"/>
  <c r="AV146" i="19"/>
  <c r="AS146" i="19"/>
  <c r="AR146" i="19"/>
  <c r="AQ146" i="19"/>
  <c r="AP146" i="19"/>
  <c r="AC122" i="3"/>
  <c r="AA146" i="19"/>
  <c r="H146" i="19"/>
  <c r="BA145" i="19"/>
  <c r="AZ145" i="19"/>
  <c r="AY145" i="19"/>
  <c r="AX145" i="19"/>
  <c r="AW145" i="19"/>
  <c r="AV145" i="19"/>
  <c r="AS145" i="19"/>
  <c r="AR145" i="19"/>
  <c r="AQ145" i="19"/>
  <c r="AP145" i="19"/>
  <c r="AC109" i="3"/>
  <c r="AA145" i="19"/>
  <c r="H145" i="19"/>
  <c r="BA144" i="19"/>
  <c r="AZ144" i="19"/>
  <c r="AY144" i="19"/>
  <c r="AX144" i="19"/>
  <c r="AW144" i="19"/>
  <c r="AV144" i="19"/>
  <c r="AU144" i="19"/>
  <c r="AS144" i="19"/>
  <c r="AR144" i="19"/>
  <c r="AQ144" i="19"/>
  <c r="AP144" i="19"/>
  <c r="AC23" i="3"/>
  <c r="AA144" i="19"/>
  <c r="H144" i="19"/>
  <c r="BA143" i="19"/>
  <c r="AZ143" i="19"/>
  <c r="AY143" i="19"/>
  <c r="AX143" i="19"/>
  <c r="AW143" i="19"/>
  <c r="AV143" i="19"/>
  <c r="AU143" i="19"/>
  <c r="AS143" i="19"/>
  <c r="AR143" i="19"/>
  <c r="AQ143" i="19"/>
  <c r="AP143" i="19"/>
  <c r="AC119" i="3"/>
  <c r="AA143" i="19"/>
  <c r="H143" i="19"/>
  <c r="BA142" i="19"/>
  <c r="AZ142" i="19"/>
  <c r="AY142" i="19"/>
  <c r="AX142" i="19"/>
  <c r="AW142" i="19"/>
  <c r="AV142" i="19"/>
  <c r="AU142" i="19"/>
  <c r="AS142" i="19"/>
  <c r="AR142" i="19"/>
  <c r="AQ142" i="19"/>
  <c r="AP142" i="19"/>
  <c r="AA142" i="19"/>
  <c r="H142" i="19"/>
  <c r="BA141" i="19"/>
  <c r="AZ141" i="19"/>
  <c r="AY141" i="19"/>
  <c r="AX141" i="19"/>
  <c r="AW141" i="19"/>
  <c r="AV141" i="19"/>
  <c r="AU141" i="19"/>
  <c r="AS141" i="19"/>
  <c r="AR141" i="19"/>
  <c r="AQ141" i="19"/>
  <c r="AP141" i="19"/>
  <c r="AA141" i="19"/>
  <c r="H141" i="19"/>
  <c r="BA140" i="19"/>
  <c r="AZ140" i="19"/>
  <c r="AY140" i="19"/>
  <c r="AX140" i="19"/>
  <c r="AW140" i="19"/>
  <c r="AU140" i="19"/>
  <c r="AS140" i="19"/>
  <c r="AR140" i="19"/>
  <c r="AQ140" i="19"/>
  <c r="AP140" i="19"/>
  <c r="AC73" i="3"/>
  <c r="AA140" i="19"/>
  <c r="H140" i="19"/>
  <c r="BA139" i="19"/>
  <c r="AZ139" i="19"/>
  <c r="AY139" i="19"/>
  <c r="AW139" i="19"/>
  <c r="AV139" i="19"/>
  <c r="AU139" i="19"/>
  <c r="AS139" i="19"/>
  <c r="AR139" i="19"/>
  <c r="AQ139" i="19"/>
  <c r="AP139" i="19"/>
  <c r="AC108" i="3"/>
  <c r="AA139" i="19"/>
  <c r="H139" i="19"/>
  <c r="BA138" i="19"/>
  <c r="AZ138" i="19"/>
  <c r="AY138" i="19"/>
  <c r="AX138" i="19"/>
  <c r="AW138" i="19"/>
  <c r="AV138" i="19"/>
  <c r="AS138" i="19"/>
  <c r="AR138" i="19"/>
  <c r="AQ138" i="19"/>
  <c r="AP138" i="19"/>
  <c r="AC134" i="3"/>
  <c r="AA138" i="19"/>
  <c r="H138" i="19"/>
  <c r="BA137" i="19"/>
  <c r="AZ137" i="19"/>
  <c r="AY137" i="19"/>
  <c r="AX137" i="19"/>
  <c r="AW137" i="19"/>
  <c r="AV137" i="19"/>
  <c r="AU137" i="19"/>
  <c r="AS137" i="19"/>
  <c r="AR137" i="19"/>
  <c r="AQ137" i="19"/>
  <c r="AP137" i="19"/>
  <c r="AA137" i="19"/>
  <c r="H137" i="19"/>
  <c r="BA136" i="19"/>
  <c r="AZ136" i="19"/>
  <c r="AY136" i="19"/>
  <c r="AX136" i="19"/>
  <c r="AW136" i="19"/>
  <c r="AV136" i="19"/>
  <c r="AU136" i="19"/>
  <c r="AS136" i="19"/>
  <c r="AR136" i="19"/>
  <c r="AQ136" i="19"/>
  <c r="AP136" i="19"/>
  <c r="AA136" i="19"/>
  <c r="H136" i="19"/>
  <c r="AE71" i="3"/>
  <c r="BA135" i="19"/>
  <c r="AZ135" i="19"/>
  <c r="AY135" i="19"/>
  <c r="AX135" i="19"/>
  <c r="AW135" i="19"/>
  <c r="AV135" i="19"/>
  <c r="AU135" i="19"/>
  <c r="AD71" i="3"/>
  <c r="AS135" i="19"/>
  <c r="AR135" i="19"/>
  <c r="AQ135" i="19"/>
  <c r="AP135" i="19"/>
  <c r="AC71" i="3"/>
  <c r="AA135" i="19"/>
  <c r="H135" i="19"/>
  <c r="AE70" i="3"/>
  <c r="BA134" i="19"/>
  <c r="AZ134" i="19"/>
  <c r="AY134" i="19"/>
  <c r="AX134" i="19"/>
  <c r="AW134" i="19"/>
  <c r="AV134" i="19"/>
  <c r="AU134" i="19"/>
  <c r="AS134" i="19"/>
  <c r="AR134" i="19"/>
  <c r="AQ134" i="19"/>
  <c r="AP134" i="19"/>
  <c r="AC70" i="3"/>
  <c r="AA134" i="19"/>
  <c r="H134" i="19"/>
  <c r="AE69" i="3"/>
  <c r="BA133" i="19"/>
  <c r="AZ133" i="19"/>
  <c r="AY133" i="19"/>
  <c r="AX133" i="19"/>
  <c r="AW133" i="19"/>
  <c r="AV133" i="19"/>
  <c r="AU133" i="19"/>
  <c r="AS133" i="19"/>
  <c r="AR133" i="19"/>
  <c r="AQ133" i="19"/>
  <c r="AP133" i="19"/>
  <c r="AC69" i="3"/>
  <c r="AA133" i="19"/>
  <c r="H133" i="19"/>
  <c r="BA132" i="19"/>
  <c r="AZ132" i="19"/>
  <c r="AY132" i="19"/>
  <c r="AX132" i="19"/>
  <c r="AW132" i="19"/>
  <c r="AV132" i="19"/>
  <c r="AU132" i="19"/>
  <c r="AS132" i="19"/>
  <c r="AR132" i="19"/>
  <c r="AQ132" i="19"/>
  <c r="AP132" i="19"/>
  <c r="AA132" i="19"/>
  <c r="H132" i="19"/>
  <c r="BA131" i="19"/>
  <c r="AZ131" i="19"/>
  <c r="AY131" i="19"/>
  <c r="AX131" i="19"/>
  <c r="AW131" i="19"/>
  <c r="AV131" i="19"/>
  <c r="AU131" i="19"/>
  <c r="AS131" i="19"/>
  <c r="AR131" i="19"/>
  <c r="AQ131" i="19"/>
  <c r="AP131" i="19"/>
  <c r="AA131" i="19"/>
  <c r="H131" i="19"/>
  <c r="BA130" i="19"/>
  <c r="AZ130" i="19"/>
  <c r="AY130" i="19"/>
  <c r="AX130" i="19"/>
  <c r="AW130" i="19"/>
  <c r="AV130" i="19"/>
  <c r="AU130" i="19"/>
  <c r="AS130" i="19"/>
  <c r="AR130" i="19"/>
  <c r="AQ130" i="19"/>
  <c r="AP130" i="19"/>
  <c r="AA130" i="19"/>
  <c r="H130" i="19"/>
  <c r="BA129" i="19"/>
  <c r="AZ129" i="19"/>
  <c r="AY129" i="19"/>
  <c r="AX129" i="19"/>
  <c r="AW129" i="19"/>
  <c r="AV129" i="19"/>
  <c r="AU129" i="19"/>
  <c r="AS129" i="19"/>
  <c r="AR129" i="19"/>
  <c r="AQ129" i="19"/>
  <c r="AP129" i="19"/>
  <c r="AA129" i="19"/>
  <c r="H129" i="19"/>
  <c r="BA128" i="19"/>
  <c r="AZ128" i="19"/>
  <c r="AY128" i="19"/>
  <c r="AX128" i="19"/>
  <c r="AW128" i="19"/>
  <c r="AU128" i="19"/>
  <c r="AS128" i="19"/>
  <c r="AR128" i="19"/>
  <c r="AQ128" i="19"/>
  <c r="AP128" i="19"/>
  <c r="AC68" i="3"/>
  <c r="AA128" i="19"/>
  <c r="H128" i="19"/>
  <c r="BA127" i="19"/>
  <c r="AZ127" i="19"/>
  <c r="AX127" i="19"/>
  <c r="AW127" i="19"/>
  <c r="AV127" i="19"/>
  <c r="AU127" i="19"/>
  <c r="AS127" i="19"/>
  <c r="AR127" i="19"/>
  <c r="AQ127" i="19"/>
  <c r="AP127" i="19"/>
  <c r="AC196" i="3"/>
  <c r="AA127" i="19"/>
  <c r="H127" i="19"/>
  <c r="BA126" i="19"/>
  <c r="AZ126" i="19"/>
  <c r="AX126" i="19"/>
  <c r="AW126" i="19"/>
  <c r="AV126" i="19"/>
  <c r="AU126" i="19"/>
  <c r="AS126" i="19"/>
  <c r="AR126" i="19"/>
  <c r="AQ126" i="19"/>
  <c r="AP126" i="19"/>
  <c r="AC191" i="3"/>
  <c r="AA126" i="19"/>
  <c r="H126" i="19"/>
  <c r="AE67" i="3"/>
  <c r="BA125" i="19"/>
  <c r="AZ125" i="19"/>
  <c r="AY125" i="19"/>
  <c r="AX125" i="19"/>
  <c r="AW125" i="19"/>
  <c r="AV125" i="19"/>
  <c r="AU125" i="19"/>
  <c r="AS125" i="19"/>
  <c r="AR125" i="19"/>
  <c r="AQ125" i="19"/>
  <c r="AP125" i="19"/>
  <c r="AC67" i="3"/>
  <c r="AA125" i="19"/>
  <c r="H125" i="19"/>
  <c r="BA124" i="19"/>
  <c r="AZ124" i="19"/>
  <c r="AY124" i="19"/>
  <c r="AX124" i="19"/>
  <c r="AW124" i="19"/>
  <c r="AV124" i="19"/>
  <c r="AU124" i="19"/>
  <c r="AS124" i="19"/>
  <c r="AR124" i="19"/>
  <c r="AQ124" i="19"/>
  <c r="AP124" i="19"/>
  <c r="AA124" i="19"/>
  <c r="H124" i="19"/>
  <c r="BA123" i="19"/>
  <c r="AZ123" i="19"/>
  <c r="AY123" i="19"/>
  <c r="AW123" i="19"/>
  <c r="AV123" i="19"/>
  <c r="AU123" i="19"/>
  <c r="AS123" i="19"/>
  <c r="AR123" i="19"/>
  <c r="AQ123" i="19"/>
  <c r="AP123" i="19"/>
  <c r="AC66" i="3"/>
  <c r="AA123" i="19"/>
  <c r="H123" i="19"/>
  <c r="BA122" i="19"/>
  <c r="AZ122" i="19"/>
  <c r="AX122" i="19"/>
  <c r="AW122" i="19"/>
  <c r="AV122" i="19"/>
  <c r="AU122" i="19"/>
  <c r="AS122" i="19"/>
  <c r="AR122" i="19"/>
  <c r="AQ122" i="19"/>
  <c r="AP122" i="19"/>
  <c r="AC139" i="3"/>
  <c r="AA122" i="19"/>
  <c r="H122" i="19"/>
  <c r="AE190" i="3"/>
  <c r="BA121" i="19"/>
  <c r="AZ121" i="19"/>
  <c r="AY121" i="19"/>
  <c r="AX121" i="19"/>
  <c r="AW121" i="19"/>
  <c r="AV121" i="19"/>
  <c r="AU121" i="19"/>
  <c r="AS121" i="19"/>
  <c r="AR121" i="19"/>
  <c r="AQ121" i="19"/>
  <c r="AP121" i="19"/>
  <c r="AA121" i="19"/>
  <c r="H121" i="19"/>
  <c r="BA120" i="19"/>
  <c r="AZ120" i="19"/>
  <c r="AY120" i="19"/>
  <c r="AX120" i="19"/>
  <c r="AW120" i="19"/>
  <c r="AV120" i="19"/>
  <c r="AU120" i="19"/>
  <c r="AS120" i="19"/>
  <c r="AR120" i="19"/>
  <c r="AQ120" i="19"/>
  <c r="AP120" i="19"/>
  <c r="AA120" i="19"/>
  <c r="H120" i="19"/>
  <c r="BA119" i="19"/>
  <c r="AZ119" i="19"/>
  <c r="AY119" i="19"/>
  <c r="AX119" i="19"/>
  <c r="AW119" i="19"/>
  <c r="AU119" i="19"/>
  <c r="AS119" i="19"/>
  <c r="AR119" i="19"/>
  <c r="AQ119" i="19"/>
  <c r="AP119" i="19"/>
  <c r="AC65" i="3"/>
  <c r="AA119" i="19"/>
  <c r="H119" i="19"/>
  <c r="BA118" i="19"/>
  <c r="AZ118" i="19"/>
  <c r="AY118" i="19"/>
  <c r="AX118" i="19"/>
  <c r="AW118" i="19"/>
  <c r="AV118" i="19"/>
  <c r="AU118" i="19"/>
  <c r="AS118" i="19"/>
  <c r="AR118" i="19"/>
  <c r="AQ118" i="19"/>
  <c r="AP118" i="19"/>
  <c r="AA118" i="19"/>
  <c r="H118" i="19"/>
  <c r="BA117" i="19"/>
  <c r="AZ117" i="19"/>
  <c r="AY117" i="19"/>
  <c r="AX117" i="19"/>
  <c r="AW117" i="19"/>
  <c r="AV117" i="19"/>
  <c r="AU117" i="19"/>
  <c r="AS117" i="19"/>
  <c r="AR117" i="19"/>
  <c r="AQ117" i="19"/>
  <c r="AP117" i="19"/>
  <c r="AA117" i="19"/>
  <c r="H117" i="19"/>
  <c r="BA116" i="19"/>
  <c r="AZ116" i="19"/>
  <c r="AX116" i="19"/>
  <c r="AW116" i="19"/>
  <c r="AV116" i="19"/>
  <c r="AU116" i="19"/>
  <c r="AS116" i="19"/>
  <c r="AR116" i="19"/>
  <c r="AQ116" i="19"/>
  <c r="AP116" i="19"/>
  <c r="AC64" i="3"/>
  <c r="AA116" i="19"/>
  <c r="H116" i="19"/>
  <c r="BA115" i="19"/>
  <c r="AZ115" i="19"/>
  <c r="AY115" i="19"/>
  <c r="AX115" i="19"/>
  <c r="AW115" i="19"/>
  <c r="AV115" i="19"/>
  <c r="AU115" i="19"/>
  <c r="AS115" i="19"/>
  <c r="AR115" i="19"/>
  <c r="AQ115" i="19"/>
  <c r="AP115" i="19"/>
  <c r="AA115" i="19"/>
  <c r="H115" i="19"/>
  <c r="BA114" i="19"/>
  <c r="AZ114" i="19"/>
  <c r="AY114" i="19"/>
  <c r="AX114" i="19"/>
  <c r="AW114" i="19"/>
  <c r="AU114" i="19"/>
  <c r="AS114" i="19"/>
  <c r="AR114" i="19"/>
  <c r="AQ114" i="19"/>
  <c r="AP114" i="19"/>
  <c r="AC63" i="3"/>
  <c r="AA114" i="19"/>
  <c r="H114" i="19"/>
  <c r="BA113" i="19"/>
  <c r="AZ113" i="19"/>
  <c r="AY113" i="19"/>
  <c r="AW113" i="19"/>
  <c r="AV113" i="19"/>
  <c r="AU113" i="19"/>
  <c r="AS113" i="19"/>
  <c r="AR113" i="19"/>
  <c r="AQ113" i="19"/>
  <c r="AP113" i="19"/>
  <c r="AC107" i="3"/>
  <c r="AA113" i="19"/>
  <c r="H113" i="19"/>
  <c r="BA112" i="19"/>
  <c r="AZ112" i="19"/>
  <c r="AY112" i="19"/>
  <c r="AX112" i="19"/>
  <c r="AW112" i="19"/>
  <c r="AU112" i="19"/>
  <c r="AS112" i="19"/>
  <c r="AR112" i="19"/>
  <c r="AQ112" i="19"/>
  <c r="AP112" i="19"/>
  <c r="AC62" i="3"/>
  <c r="AA112" i="19"/>
  <c r="H112" i="19"/>
  <c r="BA111" i="19"/>
  <c r="AZ111" i="19"/>
  <c r="AY111" i="19"/>
  <c r="AX111" i="19"/>
  <c r="AW111" i="19"/>
  <c r="AV111" i="19"/>
  <c r="AU111" i="19"/>
  <c r="AS111" i="19"/>
  <c r="AR111" i="19"/>
  <c r="AQ111" i="19"/>
  <c r="AP111" i="19"/>
  <c r="AA111" i="19"/>
  <c r="H111" i="19"/>
  <c r="BA110" i="19"/>
  <c r="AZ110" i="19"/>
  <c r="AY110" i="19"/>
  <c r="AX110" i="19"/>
  <c r="AW110" i="19"/>
  <c r="AV110" i="19"/>
  <c r="AU110" i="19"/>
  <c r="AS110" i="19"/>
  <c r="AQ110" i="19"/>
  <c r="AP110" i="19"/>
  <c r="AC130" i="3"/>
  <c r="AA110" i="19"/>
  <c r="H110" i="19"/>
  <c r="BA109" i="19"/>
  <c r="AZ109" i="19"/>
  <c r="AY109" i="19"/>
  <c r="AX109" i="19"/>
  <c r="AW109" i="19"/>
  <c r="AV109" i="19"/>
  <c r="AU109" i="19"/>
  <c r="AS109" i="19"/>
  <c r="AR109" i="19"/>
  <c r="AQ109" i="19"/>
  <c r="AP109" i="19"/>
  <c r="AA109" i="19"/>
  <c r="H109" i="19"/>
  <c r="BA108" i="19"/>
  <c r="AZ108" i="19"/>
  <c r="AY108" i="19"/>
  <c r="AX108" i="19"/>
  <c r="AW108" i="19"/>
  <c r="AV108" i="19"/>
  <c r="AD106" i="3"/>
  <c r="AS108" i="19"/>
  <c r="AR108" i="19"/>
  <c r="AQ108" i="19"/>
  <c r="AP108" i="19"/>
  <c r="AC106" i="3"/>
  <c r="AA108" i="19"/>
  <c r="H108" i="19"/>
  <c r="AE60" i="3"/>
  <c r="BA107" i="19"/>
  <c r="AZ107" i="19"/>
  <c r="AY107" i="19"/>
  <c r="AX107" i="19"/>
  <c r="AW107" i="19"/>
  <c r="AV107" i="19"/>
  <c r="AU107" i="19"/>
  <c r="AS107" i="19"/>
  <c r="AR107" i="19"/>
  <c r="AQ107" i="19"/>
  <c r="AP107" i="19"/>
  <c r="AA107" i="19"/>
  <c r="H107" i="19"/>
  <c r="BA106" i="19"/>
  <c r="AZ106" i="19"/>
  <c r="AY106" i="19"/>
  <c r="AX106" i="19"/>
  <c r="AW106" i="19"/>
  <c r="AV106" i="19"/>
  <c r="AU106" i="19"/>
  <c r="AS106" i="19"/>
  <c r="AR106" i="19"/>
  <c r="AQ106" i="19"/>
  <c r="AP106" i="19"/>
  <c r="AA106" i="19"/>
  <c r="H106" i="19"/>
  <c r="BA105" i="19"/>
  <c r="AZ105" i="19"/>
  <c r="AY105" i="19"/>
  <c r="AX105" i="19"/>
  <c r="AW105" i="19"/>
  <c r="AV105" i="19"/>
  <c r="AU105" i="19"/>
  <c r="AS105" i="19"/>
  <c r="AR105" i="19"/>
  <c r="AQ105" i="19"/>
  <c r="AP105" i="19"/>
  <c r="AA105" i="19"/>
  <c r="H105" i="19"/>
  <c r="BA104" i="19"/>
  <c r="AZ104" i="19"/>
  <c r="AY104" i="19"/>
  <c r="AX104" i="19"/>
  <c r="AW104" i="19"/>
  <c r="AV104" i="19"/>
  <c r="AS104" i="19"/>
  <c r="AR104" i="19"/>
  <c r="AQ104" i="19"/>
  <c r="AP104" i="19"/>
  <c r="AC61" i="3"/>
  <c r="AA104" i="19"/>
  <c r="H104" i="19"/>
  <c r="BA103" i="19"/>
  <c r="AZ103" i="19"/>
  <c r="AY103" i="19"/>
  <c r="AX103" i="19"/>
  <c r="AW103" i="19"/>
  <c r="AV103" i="19"/>
  <c r="AU103" i="19"/>
  <c r="AS103" i="19"/>
  <c r="AR103" i="19"/>
  <c r="AQ103" i="19"/>
  <c r="AP103" i="19"/>
  <c r="AA103" i="19"/>
  <c r="H103" i="19"/>
  <c r="BA102" i="19"/>
  <c r="AZ102" i="19"/>
  <c r="AY102" i="19"/>
  <c r="AX102" i="19"/>
  <c r="AW102" i="19"/>
  <c r="AU102" i="19"/>
  <c r="AS102" i="19"/>
  <c r="AR102" i="19"/>
  <c r="AQ102" i="19"/>
  <c r="AP102" i="19"/>
  <c r="AC59" i="3"/>
  <c r="AA102" i="19"/>
  <c r="H102" i="19"/>
  <c r="BA101" i="19"/>
  <c r="AZ101" i="19"/>
  <c r="AY101" i="19"/>
  <c r="AX101" i="19"/>
  <c r="AW101" i="19"/>
  <c r="AV101" i="19"/>
  <c r="AU101" i="19"/>
  <c r="AS101" i="19"/>
  <c r="AR101" i="19"/>
  <c r="AQ101" i="19"/>
  <c r="AP101" i="19"/>
  <c r="AA101" i="19"/>
  <c r="H101" i="19"/>
  <c r="BA100" i="19"/>
  <c r="AZ100" i="19"/>
  <c r="AY100" i="19"/>
  <c r="AX100" i="19"/>
  <c r="AW100" i="19"/>
  <c r="AV100" i="19"/>
  <c r="AU100" i="19"/>
  <c r="AS100" i="19"/>
  <c r="AR100" i="19"/>
  <c r="AQ100" i="19"/>
  <c r="AP100" i="19"/>
  <c r="AA100" i="19"/>
  <c r="H100" i="19"/>
  <c r="BA99" i="19"/>
  <c r="AZ99" i="19"/>
  <c r="AY99" i="19"/>
  <c r="AX99" i="19"/>
  <c r="AW99" i="19"/>
  <c r="AV99" i="19"/>
  <c r="AD58" i="3"/>
  <c r="AS99" i="19"/>
  <c r="AR99" i="19"/>
  <c r="AQ99" i="19"/>
  <c r="AP99" i="19"/>
  <c r="AA99" i="19"/>
  <c r="H99" i="19"/>
  <c r="BA98" i="19"/>
  <c r="AZ98" i="19"/>
  <c r="AY98" i="19"/>
  <c r="AX98" i="19"/>
  <c r="AW98" i="19"/>
  <c r="AU98" i="19"/>
  <c r="AS98" i="19"/>
  <c r="AR98" i="19"/>
  <c r="AQ98" i="19"/>
  <c r="AP98" i="19"/>
  <c r="AC57" i="3"/>
  <c r="AA98" i="19"/>
  <c r="H98" i="19"/>
  <c r="BA97" i="19"/>
  <c r="AZ97" i="19"/>
  <c r="AX97" i="19"/>
  <c r="AW97" i="19"/>
  <c r="AV97" i="19"/>
  <c r="AU97" i="19"/>
  <c r="AS97" i="19"/>
  <c r="AR97" i="19"/>
  <c r="AQ97" i="19"/>
  <c r="AP97" i="19"/>
  <c r="AC56" i="3"/>
  <c r="AA97" i="19"/>
  <c r="H97" i="19"/>
  <c r="BA96" i="19"/>
  <c r="AZ96" i="19"/>
  <c r="AY96" i="19"/>
  <c r="AX96" i="19"/>
  <c r="AW96" i="19"/>
  <c r="AU96" i="19"/>
  <c r="AS96" i="19"/>
  <c r="AR96" i="19"/>
  <c r="AQ96" i="19"/>
  <c r="AP96" i="19"/>
  <c r="AC49" i="3"/>
  <c r="AA96" i="19"/>
  <c r="H96" i="19"/>
  <c r="BA95" i="19"/>
  <c r="AZ95" i="19"/>
  <c r="AY95" i="19"/>
  <c r="AX95" i="19"/>
  <c r="AW95" i="19"/>
  <c r="AV95" i="19"/>
  <c r="AU95" i="19"/>
  <c r="AS95" i="19"/>
  <c r="AR95" i="19"/>
  <c r="AQ95" i="19"/>
  <c r="AP95" i="19"/>
  <c r="AA95" i="19"/>
  <c r="H95" i="19"/>
  <c r="BA94" i="19"/>
  <c r="AZ94" i="19"/>
  <c r="AY94" i="19"/>
  <c r="AX94" i="19"/>
  <c r="AW94" i="19"/>
  <c r="AV94" i="19"/>
  <c r="AU94" i="19"/>
  <c r="AS94" i="19"/>
  <c r="AR94" i="19"/>
  <c r="AQ94" i="19"/>
  <c r="AP94" i="19"/>
  <c r="AA94" i="19"/>
  <c r="H94" i="19"/>
  <c r="BA93" i="19"/>
  <c r="AZ93" i="19"/>
  <c r="AY93" i="19"/>
  <c r="AX93" i="19"/>
  <c r="AW93" i="19"/>
  <c r="AV93" i="19"/>
  <c r="AU93" i="19"/>
  <c r="AS93" i="19"/>
  <c r="AR93" i="19"/>
  <c r="AQ93" i="19"/>
  <c r="AP93" i="19"/>
  <c r="AA93" i="19"/>
  <c r="H93" i="19"/>
  <c r="AE43" i="3"/>
  <c r="BA92" i="19"/>
  <c r="AZ92" i="19"/>
  <c r="AY92" i="19"/>
  <c r="AX92" i="19"/>
  <c r="AW92" i="19"/>
  <c r="AV92" i="19"/>
  <c r="AU92" i="19"/>
  <c r="AS92" i="19"/>
  <c r="AR92" i="19"/>
  <c r="AQ92" i="19"/>
  <c r="AP92" i="19"/>
  <c r="AC43" i="3"/>
  <c r="AA92" i="19"/>
  <c r="H92" i="19"/>
  <c r="BA91" i="19"/>
  <c r="AZ91" i="19"/>
  <c r="AY91" i="19"/>
  <c r="AX91" i="19"/>
  <c r="AW91" i="19"/>
  <c r="AV91" i="19"/>
  <c r="AU91" i="19"/>
  <c r="AS91" i="19"/>
  <c r="AR91" i="19"/>
  <c r="AQ91" i="19"/>
  <c r="AP91" i="19"/>
  <c r="AA91" i="19"/>
  <c r="H91" i="19"/>
  <c r="BA90" i="19"/>
  <c r="AZ90" i="19"/>
  <c r="AY90" i="19"/>
  <c r="AX90" i="19"/>
  <c r="AW90" i="19"/>
  <c r="AV90" i="19"/>
  <c r="AU90" i="19"/>
  <c r="AS90" i="19"/>
  <c r="AR90" i="19"/>
  <c r="AQ90" i="19"/>
  <c r="AP90" i="19"/>
  <c r="AA90" i="19"/>
  <c r="H90" i="19"/>
  <c r="AD133" i="3"/>
  <c r="AZ89" i="19"/>
  <c r="AY89" i="19"/>
  <c r="AX89" i="19"/>
  <c r="AW89" i="19"/>
  <c r="AV89" i="19"/>
  <c r="AU89" i="19"/>
  <c r="AS89" i="19"/>
  <c r="AR89" i="19"/>
  <c r="AQ89" i="19"/>
  <c r="AP89" i="19"/>
  <c r="AA89" i="19"/>
  <c r="AH133" i="3" s="1"/>
  <c r="H89" i="19"/>
  <c r="BA88" i="19"/>
  <c r="AZ88" i="19"/>
  <c r="AY88" i="19"/>
  <c r="AX88" i="19"/>
  <c r="AW88" i="19"/>
  <c r="AV88" i="19"/>
  <c r="AU88" i="19"/>
  <c r="AS88" i="19"/>
  <c r="AR88" i="19"/>
  <c r="AQ88" i="19"/>
  <c r="AP88" i="19"/>
  <c r="AA88" i="19"/>
  <c r="H88" i="19"/>
  <c r="BA87" i="19"/>
  <c r="AZ87" i="19"/>
  <c r="AY87" i="19"/>
  <c r="AX87" i="19"/>
  <c r="AW87" i="19"/>
  <c r="AU87" i="19"/>
  <c r="AS87" i="19"/>
  <c r="AR87" i="19"/>
  <c r="AQ87" i="19"/>
  <c r="AP87" i="19"/>
  <c r="AC115" i="3"/>
  <c r="AA87" i="19"/>
  <c r="H87" i="19"/>
  <c r="BA86" i="19"/>
  <c r="AZ86" i="19"/>
  <c r="AY86" i="19"/>
  <c r="AX86" i="19"/>
  <c r="AW86" i="19"/>
  <c r="AV86" i="19"/>
  <c r="AU86" i="19"/>
  <c r="AS86" i="19"/>
  <c r="AR86" i="19"/>
  <c r="AQ86" i="19"/>
  <c r="AP86" i="19"/>
  <c r="AA86" i="19"/>
  <c r="H86" i="19"/>
  <c r="BA85" i="19"/>
  <c r="AZ85" i="19"/>
  <c r="AY85" i="19"/>
  <c r="AX85" i="19"/>
  <c r="AW85" i="19"/>
  <c r="AV85" i="19"/>
  <c r="AU85" i="19"/>
  <c r="AS85" i="19"/>
  <c r="AR85" i="19"/>
  <c r="AQ85" i="19"/>
  <c r="AP85" i="19"/>
  <c r="AA85" i="19"/>
  <c r="H85" i="19"/>
  <c r="BA84" i="19"/>
  <c r="AZ84" i="19"/>
  <c r="AY84" i="19"/>
  <c r="AX84" i="19"/>
  <c r="AW84" i="19"/>
  <c r="AV84" i="19"/>
  <c r="AU84" i="19"/>
  <c r="AS84" i="19"/>
  <c r="AR84" i="19"/>
  <c r="AQ84" i="19"/>
  <c r="AP84" i="19"/>
  <c r="AA84" i="19"/>
  <c r="H84" i="19"/>
  <c r="AE52" i="3"/>
  <c r="BA83" i="19"/>
  <c r="AZ83" i="19"/>
  <c r="AY83" i="19"/>
  <c r="AX83" i="19"/>
  <c r="AW83" i="19"/>
  <c r="AV83" i="19"/>
  <c r="AU83" i="19"/>
  <c r="AS83" i="19"/>
  <c r="AR83" i="19"/>
  <c r="AQ83" i="19"/>
  <c r="AP83" i="19"/>
  <c r="AC52" i="3"/>
  <c r="AA83" i="19"/>
  <c r="H83" i="19"/>
  <c r="BA82" i="19"/>
  <c r="AZ82" i="19"/>
  <c r="AY82" i="19"/>
  <c r="AX82" i="19"/>
  <c r="AW82" i="19"/>
  <c r="AU82" i="19"/>
  <c r="AS82" i="19"/>
  <c r="AR82" i="19"/>
  <c r="AQ82" i="19"/>
  <c r="AP82" i="19"/>
  <c r="AC30" i="3"/>
  <c r="AA82" i="19"/>
  <c r="H82" i="19"/>
  <c r="BA81" i="19"/>
  <c r="AZ81" i="19"/>
  <c r="AY81" i="19"/>
  <c r="AX81" i="19"/>
  <c r="AW81" i="19"/>
  <c r="AV81" i="19"/>
  <c r="AU81" i="19"/>
  <c r="AS81" i="19"/>
  <c r="AR81" i="19"/>
  <c r="AQ81" i="19"/>
  <c r="AP81" i="19"/>
  <c r="AA81" i="19"/>
  <c r="H81" i="19"/>
  <c r="AE51" i="3"/>
  <c r="BA80" i="19"/>
  <c r="AZ80" i="19"/>
  <c r="AY80" i="19"/>
  <c r="AX80" i="19"/>
  <c r="AW80" i="19"/>
  <c r="AV80" i="19"/>
  <c r="AU80" i="19"/>
  <c r="AS80" i="19"/>
  <c r="AR80" i="19"/>
  <c r="AQ80" i="19"/>
  <c r="AP80" i="19"/>
  <c r="AC51" i="3"/>
  <c r="AA80" i="19"/>
  <c r="H80" i="19"/>
  <c r="BA79" i="19"/>
  <c r="AZ79" i="19"/>
  <c r="AY79" i="19"/>
  <c r="AX79" i="19"/>
  <c r="AW79" i="19"/>
  <c r="AV79" i="19"/>
  <c r="AU79" i="19"/>
  <c r="AS79" i="19"/>
  <c r="AR79" i="19"/>
  <c r="AQ79" i="19"/>
  <c r="AP79" i="19"/>
  <c r="AA79" i="19"/>
  <c r="H79" i="19"/>
  <c r="BA78" i="19"/>
  <c r="AZ78" i="19"/>
  <c r="AY78" i="19"/>
  <c r="AX78" i="19"/>
  <c r="AW78" i="19"/>
  <c r="AV78" i="19"/>
  <c r="AU78" i="19"/>
  <c r="AS78" i="19"/>
  <c r="AR78" i="19"/>
  <c r="AQ78" i="19"/>
  <c r="AP78" i="19"/>
  <c r="AA78" i="19"/>
  <c r="H78" i="19"/>
  <c r="BA77" i="19"/>
  <c r="AZ77" i="19"/>
  <c r="AY77" i="19"/>
  <c r="AX77" i="19"/>
  <c r="AW77" i="19"/>
  <c r="AU77" i="19"/>
  <c r="AS77" i="19"/>
  <c r="AR77" i="19"/>
  <c r="AQ77" i="19"/>
  <c r="AP77" i="19"/>
  <c r="AC117" i="3"/>
  <c r="AA77" i="19"/>
  <c r="H77" i="19"/>
  <c r="BA76" i="19"/>
  <c r="AZ76" i="19"/>
  <c r="AY76" i="19"/>
  <c r="AX76" i="19"/>
  <c r="AW76" i="19"/>
  <c r="AU76" i="19"/>
  <c r="AS76" i="19"/>
  <c r="AR76" i="19"/>
  <c r="AQ76" i="19"/>
  <c r="AP76" i="19"/>
  <c r="AC31" i="3"/>
  <c r="AA76" i="19"/>
  <c r="H76" i="19"/>
  <c r="BA75" i="19"/>
  <c r="AZ75" i="19"/>
  <c r="AY75" i="19"/>
  <c r="AX75" i="19"/>
  <c r="AW75" i="19"/>
  <c r="AV75" i="19"/>
  <c r="AU75" i="19"/>
  <c r="AS75" i="19"/>
  <c r="AR75" i="19"/>
  <c r="AQ75" i="19"/>
  <c r="AP75" i="19"/>
  <c r="AA75" i="19"/>
  <c r="H75" i="19"/>
  <c r="BA74" i="19"/>
  <c r="AZ74" i="19"/>
  <c r="AY74" i="19"/>
  <c r="AX74" i="19"/>
  <c r="AW74" i="19"/>
  <c r="AV74" i="19"/>
  <c r="AU74" i="19"/>
  <c r="AS74" i="19"/>
  <c r="AR74" i="19"/>
  <c r="AQ74" i="19"/>
  <c r="AP74" i="19"/>
  <c r="AA74" i="19"/>
  <c r="H74" i="19"/>
  <c r="BA73" i="19"/>
  <c r="AZ73" i="19"/>
  <c r="AX73" i="19"/>
  <c r="AW73" i="19"/>
  <c r="AV73" i="19"/>
  <c r="AU73" i="19"/>
  <c r="AS73" i="19"/>
  <c r="AR73" i="19"/>
  <c r="AQ73" i="19"/>
  <c r="AP73" i="19"/>
  <c r="AC121" i="3"/>
  <c r="AA73" i="19"/>
  <c r="H73" i="19"/>
  <c r="BA72" i="19"/>
  <c r="AZ72" i="19"/>
  <c r="AY72" i="19"/>
  <c r="AX72" i="19"/>
  <c r="AW72" i="19"/>
  <c r="AV72" i="19"/>
  <c r="AU72" i="19"/>
  <c r="AS72" i="19"/>
  <c r="AR72" i="19"/>
  <c r="AQ72" i="19"/>
  <c r="AP72" i="19"/>
  <c r="AA72" i="19"/>
  <c r="H72" i="19"/>
  <c r="BA71" i="19"/>
  <c r="AZ71" i="19"/>
  <c r="AY71" i="19"/>
  <c r="AX71" i="19"/>
  <c r="AW71" i="19"/>
  <c r="AU71" i="19"/>
  <c r="AS71" i="19"/>
  <c r="AR71" i="19"/>
  <c r="AQ71" i="19"/>
  <c r="AP71" i="19"/>
  <c r="AC47" i="3"/>
  <c r="AA71" i="19"/>
  <c r="H71" i="19"/>
  <c r="BA70" i="19"/>
  <c r="AZ70" i="19"/>
  <c r="AY70" i="19"/>
  <c r="AX70" i="19"/>
  <c r="AW70" i="19"/>
  <c r="AU70" i="19"/>
  <c r="AS70" i="19"/>
  <c r="AR70" i="19"/>
  <c r="AQ70" i="19"/>
  <c r="AP70" i="19"/>
  <c r="AC35" i="3"/>
  <c r="AA70" i="19"/>
  <c r="H70" i="19"/>
  <c r="BA69" i="19"/>
  <c r="AZ69" i="19"/>
  <c r="AY69" i="19"/>
  <c r="AX69" i="19"/>
  <c r="AW69" i="19"/>
  <c r="AV69" i="19"/>
  <c r="AU69" i="19"/>
  <c r="AS69" i="19"/>
  <c r="AR69" i="19"/>
  <c r="AQ69" i="19"/>
  <c r="AP69" i="19"/>
  <c r="AA69" i="19"/>
  <c r="AH42" i="3" s="1"/>
  <c r="H69" i="19"/>
  <c r="BA68" i="19"/>
  <c r="AZ68" i="19"/>
  <c r="AY68" i="19"/>
  <c r="AX68" i="19"/>
  <c r="AW68" i="19"/>
  <c r="AV68" i="19"/>
  <c r="AU68" i="19"/>
  <c r="AS68" i="19"/>
  <c r="AR68" i="19"/>
  <c r="AQ68" i="19"/>
  <c r="AP68" i="19"/>
  <c r="AA68" i="19"/>
  <c r="H68" i="19"/>
  <c r="BA67" i="19"/>
  <c r="AZ67" i="19"/>
  <c r="AY67" i="19"/>
  <c r="AX67" i="19"/>
  <c r="AW67" i="19"/>
  <c r="AV67" i="19"/>
  <c r="AU67" i="19"/>
  <c r="AS67" i="19"/>
  <c r="AR67" i="19"/>
  <c r="AQ67" i="19"/>
  <c r="AP67" i="19"/>
  <c r="AA67" i="19"/>
  <c r="H67" i="19"/>
  <c r="BA66" i="19"/>
  <c r="AZ66" i="19"/>
  <c r="AY66" i="19"/>
  <c r="AX66" i="19"/>
  <c r="AW66" i="19"/>
  <c r="AV66" i="19"/>
  <c r="AU66" i="19"/>
  <c r="AS66" i="19"/>
  <c r="AR66" i="19"/>
  <c r="AQ66" i="19"/>
  <c r="AP66" i="19"/>
  <c r="AA66" i="19"/>
  <c r="H66" i="19"/>
  <c r="BA65" i="19"/>
  <c r="AZ65" i="19"/>
  <c r="AY65" i="19"/>
  <c r="AX65" i="19"/>
  <c r="AW65" i="19"/>
  <c r="AV65" i="19"/>
  <c r="AU65" i="19"/>
  <c r="AS65" i="19"/>
  <c r="AR65" i="19"/>
  <c r="AQ65" i="19"/>
  <c r="AP65" i="19"/>
  <c r="AA65" i="19"/>
  <c r="H65" i="19"/>
  <c r="BA64" i="19"/>
  <c r="AZ64" i="19"/>
  <c r="AX64" i="19"/>
  <c r="AW64" i="19"/>
  <c r="AV64" i="19"/>
  <c r="AU64" i="19"/>
  <c r="AS64" i="19"/>
  <c r="AR64" i="19"/>
  <c r="AQ64" i="19"/>
  <c r="AP64" i="19"/>
  <c r="AC55" i="3"/>
  <c r="AA64" i="19"/>
  <c r="H64" i="19"/>
  <c r="BA63" i="19"/>
  <c r="AZ63" i="19"/>
  <c r="AY63" i="19"/>
  <c r="AX63" i="19"/>
  <c r="AW63" i="19"/>
  <c r="AV63" i="19"/>
  <c r="AU63" i="19"/>
  <c r="AS63" i="19"/>
  <c r="AR63" i="19"/>
  <c r="AQ63" i="19"/>
  <c r="AP63" i="19"/>
  <c r="AA63" i="19"/>
  <c r="H63" i="19"/>
  <c r="BA62" i="19"/>
  <c r="AZ62" i="19"/>
  <c r="AY62" i="19"/>
  <c r="AX62" i="19"/>
  <c r="AW62" i="19"/>
  <c r="AU62" i="19"/>
  <c r="AS62" i="19"/>
  <c r="AR62" i="19"/>
  <c r="AQ62" i="19"/>
  <c r="AP62" i="19"/>
  <c r="AC114" i="3"/>
  <c r="AA62" i="19"/>
  <c r="H62" i="19"/>
  <c r="BA61" i="19"/>
  <c r="AZ61" i="19"/>
  <c r="AY61" i="19"/>
  <c r="AX61" i="19"/>
  <c r="AW61" i="19"/>
  <c r="AV61" i="19"/>
  <c r="AU61" i="19"/>
  <c r="AS61" i="19"/>
  <c r="AR61" i="19"/>
  <c r="AQ61" i="19"/>
  <c r="AP61" i="19"/>
  <c r="AA61" i="19"/>
  <c r="H61" i="19"/>
  <c r="AD146" i="3"/>
  <c r="AZ60" i="19"/>
  <c r="AY60" i="19"/>
  <c r="AX60" i="19"/>
  <c r="AW60" i="19"/>
  <c r="AV60" i="19"/>
  <c r="AU60" i="19"/>
  <c r="AS60" i="19"/>
  <c r="AR60" i="19"/>
  <c r="AQ60" i="19"/>
  <c r="AP60" i="19"/>
  <c r="AA60" i="19"/>
  <c r="AH146" i="3" s="1"/>
  <c r="H60" i="19"/>
  <c r="BA59" i="19"/>
  <c r="AZ59" i="19"/>
  <c r="AY59" i="19"/>
  <c r="AX59" i="19"/>
  <c r="AW59" i="19"/>
  <c r="AV59" i="19"/>
  <c r="AU59" i="19"/>
  <c r="AS59" i="19"/>
  <c r="AR59" i="19"/>
  <c r="AQ59" i="19"/>
  <c r="AP59" i="19"/>
  <c r="AA59" i="19"/>
  <c r="H59" i="19"/>
  <c r="BA58" i="19"/>
  <c r="AZ58" i="19"/>
  <c r="AY58" i="19"/>
  <c r="AX58" i="19"/>
  <c r="AW58" i="19"/>
  <c r="AU58" i="19"/>
  <c r="AS58" i="19"/>
  <c r="AR58" i="19"/>
  <c r="AQ58" i="19"/>
  <c r="AP58" i="19"/>
  <c r="AC32" i="3"/>
  <c r="AA58" i="19"/>
  <c r="H58" i="19"/>
  <c r="BA57" i="19"/>
  <c r="AZ57" i="19"/>
  <c r="AY57" i="19"/>
  <c r="AX57" i="19"/>
  <c r="AW57" i="19"/>
  <c r="AV57" i="19"/>
  <c r="AU57" i="19"/>
  <c r="AS57" i="19"/>
  <c r="AR57" i="19"/>
  <c r="AQ57" i="19"/>
  <c r="AP57" i="19"/>
  <c r="AA57" i="19"/>
  <c r="H57" i="19"/>
  <c r="BA56" i="19"/>
  <c r="AZ56" i="19"/>
  <c r="AX56" i="19"/>
  <c r="AW56" i="19"/>
  <c r="AV56" i="19"/>
  <c r="AU56" i="19"/>
  <c r="AS56" i="19"/>
  <c r="AR56" i="19"/>
  <c r="AQ56" i="19"/>
  <c r="AP56" i="19"/>
  <c r="AC41" i="3"/>
  <c r="AA56" i="19"/>
  <c r="H56" i="19"/>
  <c r="BA55" i="19"/>
  <c r="AZ55" i="19"/>
  <c r="AY55" i="19"/>
  <c r="AX55" i="19"/>
  <c r="AW55" i="19"/>
  <c r="AV55" i="19"/>
  <c r="AU55" i="19"/>
  <c r="AS55" i="19"/>
  <c r="AR55" i="19"/>
  <c r="AQ55" i="19"/>
  <c r="AP55" i="19"/>
  <c r="AC50" i="3"/>
  <c r="AA55" i="19"/>
  <c r="H55" i="19"/>
  <c r="AD126" i="3"/>
  <c r="AZ54" i="19"/>
  <c r="AY54" i="19"/>
  <c r="AX54" i="19"/>
  <c r="AW54" i="19"/>
  <c r="AV54" i="19"/>
  <c r="AU54" i="19"/>
  <c r="AS54" i="19"/>
  <c r="AR54" i="19"/>
  <c r="AQ54" i="19"/>
  <c r="AP54" i="19"/>
  <c r="AA54" i="19"/>
  <c r="AH126" i="3" s="1"/>
  <c r="H54" i="19"/>
  <c r="BA53" i="19"/>
  <c r="AZ53" i="19"/>
  <c r="AY53" i="19"/>
  <c r="AX53" i="19"/>
  <c r="AW53" i="19"/>
  <c r="AV53" i="19"/>
  <c r="AU53" i="19"/>
  <c r="AS53" i="19"/>
  <c r="AR53" i="19"/>
  <c r="AQ53" i="19"/>
  <c r="AP53" i="19"/>
  <c r="AC34" i="3"/>
  <c r="AA53" i="19"/>
  <c r="H53" i="19"/>
  <c r="BA52" i="19"/>
  <c r="AZ52" i="19"/>
  <c r="AY52" i="19"/>
  <c r="AW52" i="19"/>
  <c r="AV52" i="19"/>
  <c r="AU52" i="19"/>
  <c r="AS52" i="19"/>
  <c r="AR52" i="19"/>
  <c r="AQ52" i="19"/>
  <c r="AP52" i="19"/>
  <c r="AC39" i="3"/>
  <c r="AA52" i="19"/>
  <c r="H52" i="19"/>
  <c r="AD46" i="3"/>
  <c r="AZ51" i="19"/>
  <c r="AY51" i="19"/>
  <c r="AX51" i="19"/>
  <c r="AW51" i="19"/>
  <c r="AV51" i="19"/>
  <c r="AU51" i="19"/>
  <c r="AS51" i="19"/>
  <c r="AR51" i="19"/>
  <c r="AQ51" i="19"/>
  <c r="AP51" i="19"/>
  <c r="AA51" i="19"/>
  <c r="AH46" i="3" s="1"/>
  <c r="H51" i="19"/>
  <c r="BA50" i="19"/>
  <c r="AZ50" i="19"/>
  <c r="AY50" i="19"/>
  <c r="AX50" i="19"/>
  <c r="AW50" i="19"/>
  <c r="AV50" i="19"/>
  <c r="AU50" i="19"/>
  <c r="AS50" i="19"/>
  <c r="AR50" i="19"/>
  <c r="AQ50" i="19"/>
  <c r="AP50" i="19"/>
  <c r="AA50" i="19"/>
  <c r="H50" i="19"/>
  <c r="BA49" i="19"/>
  <c r="AZ49" i="19"/>
  <c r="AY49" i="19"/>
  <c r="AX49" i="19"/>
  <c r="AW49" i="19"/>
  <c r="AV49" i="19"/>
  <c r="AU49" i="19"/>
  <c r="AS49" i="19"/>
  <c r="AR49" i="19"/>
  <c r="AQ49" i="19"/>
  <c r="AP49" i="19"/>
  <c r="AA49" i="19"/>
  <c r="H49" i="19"/>
  <c r="AD36" i="3"/>
  <c r="AZ48" i="19"/>
  <c r="AY48" i="19"/>
  <c r="AX48" i="19"/>
  <c r="AW48" i="19"/>
  <c r="AV48" i="19"/>
  <c r="AU48" i="19"/>
  <c r="AS48" i="19"/>
  <c r="AR48" i="19"/>
  <c r="AQ48" i="19"/>
  <c r="AP48" i="19"/>
  <c r="AA48" i="19"/>
  <c r="AH36" i="3" s="1"/>
  <c r="H48" i="19"/>
  <c r="AE37" i="3"/>
  <c r="BA47" i="19"/>
  <c r="AZ47" i="19"/>
  <c r="AY47" i="19"/>
  <c r="AX47" i="19"/>
  <c r="AW47" i="19"/>
  <c r="AV47" i="19"/>
  <c r="AU47" i="19"/>
  <c r="AD37" i="3"/>
  <c r="AS47" i="19"/>
  <c r="AR47" i="19"/>
  <c r="AQ47" i="19"/>
  <c r="AP47" i="19"/>
  <c r="AC37" i="3"/>
  <c r="AA47" i="19"/>
  <c r="H47" i="19"/>
  <c r="BA46" i="19"/>
  <c r="AZ46" i="19"/>
  <c r="AX46" i="19"/>
  <c r="AW46" i="19"/>
  <c r="AV46" i="19"/>
  <c r="AU46" i="19"/>
  <c r="AS46" i="19"/>
  <c r="AR46" i="19"/>
  <c r="AQ46" i="19"/>
  <c r="AP46" i="19"/>
  <c r="AC33" i="3"/>
  <c r="AA46" i="19"/>
  <c r="H46" i="19"/>
  <c r="BA45" i="19"/>
  <c r="AZ45" i="19"/>
  <c r="AY45" i="19"/>
  <c r="AX45" i="19"/>
  <c r="AW45" i="19"/>
  <c r="AV45" i="19"/>
  <c r="AU45" i="19"/>
  <c r="AS45" i="19"/>
  <c r="AR45" i="19"/>
  <c r="AQ45" i="19"/>
  <c r="AP45" i="19"/>
  <c r="AA45" i="19"/>
  <c r="H45" i="19"/>
  <c r="BA44" i="19"/>
  <c r="AZ44" i="19"/>
  <c r="AY44" i="19"/>
  <c r="AX44" i="19"/>
  <c r="AW44" i="19"/>
  <c r="AV44" i="19"/>
  <c r="AU44" i="19"/>
  <c r="AS44" i="19"/>
  <c r="AR44" i="19"/>
  <c r="AQ44" i="19"/>
  <c r="AP44" i="19"/>
  <c r="AA44" i="19"/>
  <c r="AH40" i="3" s="1"/>
  <c r="H44" i="19"/>
  <c r="BA43" i="19"/>
  <c r="AZ43" i="19"/>
  <c r="AY43" i="19"/>
  <c r="AX43" i="19"/>
  <c r="AW43" i="19"/>
  <c r="AV43" i="19"/>
  <c r="AU43" i="19"/>
  <c r="AS43" i="19"/>
  <c r="AR43" i="19"/>
  <c r="AQ43" i="19"/>
  <c r="AP43" i="19"/>
  <c r="AA43" i="19"/>
  <c r="H43" i="19"/>
  <c r="BA42" i="19"/>
  <c r="AZ42" i="19"/>
  <c r="AY42" i="19"/>
  <c r="AX42" i="19"/>
  <c r="AW42" i="19"/>
  <c r="AV42" i="19"/>
  <c r="AU42" i="19"/>
  <c r="AS42" i="19"/>
  <c r="AR42" i="19"/>
  <c r="AQ42" i="19"/>
  <c r="AP42" i="19"/>
  <c r="AA42" i="19"/>
  <c r="AH44" i="3" s="1"/>
  <c r="H42" i="19"/>
  <c r="AD111" i="3"/>
  <c r="AZ41" i="19"/>
  <c r="AY41" i="19"/>
  <c r="AX41" i="19"/>
  <c r="AW41" i="19"/>
  <c r="AV41" i="19"/>
  <c r="AU41" i="19"/>
  <c r="AS41" i="19"/>
  <c r="AR41" i="19"/>
  <c r="AQ41" i="19"/>
  <c r="AP41" i="19"/>
  <c r="AA41" i="19"/>
  <c r="AH111" i="3" s="1"/>
  <c r="H41" i="19"/>
  <c r="BA40" i="19"/>
  <c r="AZ40" i="19"/>
  <c r="AX40" i="19"/>
  <c r="AW40" i="19"/>
  <c r="AV40" i="19"/>
  <c r="AU40" i="19"/>
  <c r="AS40" i="19"/>
  <c r="AR40" i="19"/>
  <c r="AQ40" i="19"/>
  <c r="AP40" i="19"/>
  <c r="AC26" i="3"/>
  <c r="AA40" i="19"/>
  <c r="H40" i="19"/>
  <c r="BA39" i="19"/>
  <c r="AZ39" i="19"/>
  <c r="AY39" i="19"/>
  <c r="AX39" i="19"/>
  <c r="AW39" i="19"/>
  <c r="AV39" i="19"/>
  <c r="AU39" i="19"/>
  <c r="AS39" i="19"/>
  <c r="AR39" i="19"/>
  <c r="AQ39" i="19"/>
  <c r="AP39" i="19"/>
  <c r="AA39" i="19"/>
  <c r="H39" i="19"/>
  <c r="BA38" i="19"/>
  <c r="AZ38" i="19"/>
  <c r="AY38" i="19"/>
  <c r="AW38" i="19"/>
  <c r="AV38" i="19"/>
  <c r="AU38" i="19"/>
  <c r="AS38" i="19"/>
  <c r="AR38" i="19"/>
  <c r="AQ38" i="19"/>
  <c r="AP38" i="19"/>
  <c r="AC118" i="3"/>
  <c r="AA38" i="19"/>
  <c r="H38" i="19"/>
  <c r="BA37" i="19"/>
  <c r="AZ37" i="19"/>
  <c r="AY37" i="19"/>
  <c r="AX37" i="19"/>
  <c r="AW37" i="19"/>
  <c r="AV37" i="19"/>
  <c r="AU37" i="19"/>
  <c r="AS37" i="19"/>
  <c r="AR37" i="19"/>
  <c r="AQ37" i="19"/>
  <c r="AP37" i="19"/>
  <c r="AA37" i="19"/>
  <c r="H37" i="19"/>
  <c r="BA36" i="19"/>
  <c r="AZ36" i="19"/>
  <c r="AY36" i="19"/>
  <c r="AX36" i="19"/>
  <c r="AW36" i="19"/>
  <c r="AV36" i="19"/>
  <c r="AU36" i="19"/>
  <c r="AS36" i="19"/>
  <c r="AR36" i="19"/>
  <c r="AQ36" i="19"/>
  <c r="AP36" i="19"/>
  <c r="AC53" i="3"/>
  <c r="AA36" i="19"/>
  <c r="H36" i="19"/>
  <c r="BA35" i="19"/>
  <c r="AZ35" i="19"/>
  <c r="AY35" i="19"/>
  <c r="AX35" i="19"/>
  <c r="AW35" i="19"/>
  <c r="AV35" i="19"/>
  <c r="AU35" i="19"/>
  <c r="AS35" i="19"/>
  <c r="AR35" i="19"/>
  <c r="AQ35" i="19"/>
  <c r="AP35" i="19"/>
  <c r="AA35" i="19"/>
  <c r="H35" i="19"/>
  <c r="BA34" i="19"/>
  <c r="AZ34" i="19"/>
  <c r="AY34" i="19"/>
  <c r="AX34" i="19"/>
  <c r="AW34" i="19"/>
  <c r="AU34" i="19"/>
  <c r="AS34" i="19"/>
  <c r="AR34" i="19"/>
  <c r="AQ34" i="19"/>
  <c r="AP34" i="19"/>
  <c r="AC27" i="3"/>
  <c r="AA34" i="19"/>
  <c r="H34" i="19"/>
  <c r="BA33" i="19"/>
  <c r="AZ33" i="19"/>
  <c r="AX33" i="19"/>
  <c r="AW33" i="19"/>
  <c r="AV33" i="19"/>
  <c r="AU33" i="19"/>
  <c r="AS33" i="19"/>
  <c r="AR33" i="19"/>
  <c r="AQ33" i="19"/>
  <c r="AP33" i="19"/>
  <c r="AC25" i="3"/>
  <c r="AA33" i="19"/>
  <c r="H33" i="19"/>
  <c r="BA32" i="19"/>
  <c r="AZ32" i="19"/>
  <c r="AY32" i="19"/>
  <c r="AX32" i="19"/>
  <c r="AW32" i="19"/>
  <c r="AV32" i="19"/>
  <c r="AU32" i="19"/>
  <c r="AS32" i="19"/>
  <c r="AR32" i="19"/>
  <c r="AQ32" i="19"/>
  <c r="AP32" i="19"/>
  <c r="AA32" i="19"/>
  <c r="H32" i="19"/>
  <c r="BA31" i="19"/>
  <c r="AZ31" i="19"/>
  <c r="AY31" i="19"/>
  <c r="AX31" i="19"/>
  <c r="AW31" i="19"/>
  <c r="AU31" i="19"/>
  <c r="AS31" i="19"/>
  <c r="AR31" i="19"/>
  <c r="AQ31" i="19"/>
  <c r="AP31" i="19"/>
  <c r="AC145" i="3"/>
  <c r="AA31" i="19"/>
  <c r="H31" i="19"/>
  <c r="BA30" i="19"/>
  <c r="AZ30" i="19"/>
  <c r="AY30" i="19"/>
  <c r="AX30" i="19"/>
  <c r="AW30" i="19"/>
  <c r="AU30" i="19"/>
  <c r="AS30" i="19"/>
  <c r="AR30" i="19"/>
  <c r="AQ30" i="19"/>
  <c r="AP30" i="19"/>
  <c r="AC54" i="3"/>
  <c r="AA30" i="19"/>
  <c r="H30" i="19"/>
  <c r="BA29" i="19"/>
  <c r="AZ29" i="19"/>
  <c r="AY29" i="19"/>
  <c r="AX29" i="19"/>
  <c r="AW29" i="19"/>
  <c r="AV29" i="19"/>
  <c r="AU29" i="19"/>
  <c r="AS29" i="19"/>
  <c r="AR29" i="19"/>
  <c r="AQ29" i="19"/>
  <c r="AP29" i="19"/>
  <c r="AA29" i="19"/>
  <c r="AH193" i="3" s="1"/>
  <c r="H29" i="19"/>
  <c r="BA28" i="19"/>
  <c r="AZ28" i="19"/>
  <c r="AY28" i="19"/>
  <c r="AX28" i="19"/>
  <c r="AW28" i="19"/>
  <c r="AV28" i="19"/>
  <c r="AU28" i="19"/>
  <c r="AS28" i="19"/>
  <c r="AR28" i="19"/>
  <c r="AQ28" i="19"/>
  <c r="AP28" i="19"/>
  <c r="AA28" i="19"/>
  <c r="H28" i="19"/>
  <c r="BA27" i="19"/>
  <c r="AZ27" i="19"/>
  <c r="AY27" i="19"/>
  <c r="AX27" i="19"/>
  <c r="AW27" i="19"/>
  <c r="AU27" i="19"/>
  <c r="AS27" i="19"/>
  <c r="AR27" i="19"/>
  <c r="AQ27" i="19"/>
  <c r="AP27" i="19"/>
  <c r="AC38" i="3"/>
  <c r="AA27" i="19"/>
  <c r="H27" i="19"/>
  <c r="BA26" i="19"/>
  <c r="AZ26" i="19"/>
  <c r="AY26" i="19"/>
  <c r="AX26" i="19"/>
  <c r="AW26" i="19"/>
  <c r="AV26" i="19"/>
  <c r="AU26" i="19"/>
  <c r="AS26" i="19"/>
  <c r="AR26" i="19"/>
  <c r="AQ26" i="19"/>
  <c r="AP26" i="19"/>
  <c r="AA26" i="19"/>
  <c r="H26" i="19"/>
  <c r="BA25" i="19"/>
  <c r="AZ25" i="19"/>
  <c r="AY25" i="19"/>
  <c r="AX25" i="19"/>
  <c r="AW25" i="19"/>
  <c r="AV25" i="19"/>
  <c r="AU25" i="19"/>
  <c r="AS25" i="19"/>
  <c r="AR25" i="19"/>
  <c r="AQ25" i="19"/>
  <c r="AP25" i="19"/>
  <c r="AA25" i="19"/>
  <c r="H25" i="19"/>
  <c r="AD123" i="3"/>
  <c r="AZ24" i="19"/>
  <c r="AY24" i="19"/>
  <c r="AX24" i="19"/>
  <c r="AW24" i="19"/>
  <c r="AV24" i="19"/>
  <c r="AU24" i="19"/>
  <c r="AS24" i="19"/>
  <c r="AR24" i="19"/>
  <c r="AQ24" i="19"/>
  <c r="AP24" i="19"/>
  <c r="AA24" i="19"/>
  <c r="AH123" i="3" s="1"/>
  <c r="H24" i="19"/>
  <c r="BA23" i="19"/>
  <c r="AZ23" i="19"/>
  <c r="AY23" i="19"/>
  <c r="AX23" i="19"/>
  <c r="AW23" i="19"/>
  <c r="AU23" i="19"/>
  <c r="AS23" i="19"/>
  <c r="AR23" i="19"/>
  <c r="AQ23" i="19"/>
  <c r="AP23" i="19"/>
  <c r="AC195" i="3"/>
  <c r="AA23" i="19"/>
  <c r="H23" i="19"/>
  <c r="BA22" i="19"/>
  <c r="AZ22" i="19"/>
  <c r="AY22" i="19"/>
  <c r="AX22" i="19"/>
  <c r="AW22" i="19"/>
  <c r="AV22" i="19"/>
  <c r="AU22" i="19"/>
  <c r="AS22" i="19"/>
  <c r="AR22" i="19"/>
  <c r="AQ22" i="19"/>
  <c r="AP22" i="19"/>
  <c r="AA22" i="19"/>
  <c r="H22" i="19"/>
  <c r="BA21" i="19"/>
  <c r="AZ21" i="19"/>
  <c r="AY21" i="19"/>
  <c r="AX21" i="19"/>
  <c r="AW21" i="19"/>
  <c r="AV21" i="19"/>
  <c r="AU21" i="19"/>
  <c r="AS21" i="19"/>
  <c r="AR21" i="19"/>
  <c r="AQ21" i="19"/>
  <c r="AP21" i="19"/>
  <c r="AA21" i="19"/>
  <c r="H21" i="19"/>
  <c r="AE17" i="3"/>
  <c r="BA20" i="19"/>
  <c r="AZ20" i="19"/>
  <c r="AY20" i="19"/>
  <c r="AX20" i="19"/>
  <c r="AW20" i="19"/>
  <c r="AV20" i="19"/>
  <c r="AU20" i="19"/>
  <c r="AD17" i="3"/>
  <c r="AS20" i="19"/>
  <c r="AR20" i="19"/>
  <c r="AQ20" i="19"/>
  <c r="AP20" i="19"/>
  <c r="AC17" i="3"/>
  <c r="AA20" i="19"/>
  <c r="H20" i="19"/>
  <c r="BA19" i="19"/>
  <c r="AZ19" i="19"/>
  <c r="AY19" i="19"/>
  <c r="AX19" i="19"/>
  <c r="AW19" i="19"/>
  <c r="AV19" i="19"/>
  <c r="AU19" i="19"/>
  <c r="AS19" i="19"/>
  <c r="AR19" i="19"/>
  <c r="AQ19" i="19"/>
  <c r="AP19" i="19"/>
  <c r="AA19" i="19"/>
  <c r="H19" i="19"/>
  <c r="BA18" i="19"/>
  <c r="AZ18" i="19"/>
  <c r="AY18" i="19"/>
  <c r="AW18" i="19"/>
  <c r="AV18" i="19"/>
  <c r="AU18" i="19"/>
  <c r="AS18" i="19"/>
  <c r="AR18" i="19"/>
  <c r="AQ18" i="19"/>
  <c r="AP18" i="19"/>
  <c r="AC45" i="3"/>
  <c r="AA18" i="19"/>
  <c r="H18" i="19"/>
  <c r="BA17" i="19"/>
  <c r="AZ17" i="19"/>
  <c r="AY17" i="19"/>
  <c r="AX17" i="19"/>
  <c r="AW17" i="19"/>
  <c r="AV17" i="19"/>
  <c r="AU17" i="19"/>
  <c r="AS17" i="19"/>
  <c r="AR17" i="19"/>
  <c r="AQ17" i="19"/>
  <c r="AP17" i="19"/>
  <c r="AC105" i="3"/>
  <c r="AA17" i="19"/>
  <c r="H17" i="19"/>
  <c r="BA16" i="19"/>
  <c r="AZ16" i="19"/>
  <c r="AY16" i="19"/>
  <c r="AX16" i="19"/>
  <c r="AW16" i="19"/>
  <c r="AV16" i="19"/>
  <c r="AU16" i="19"/>
  <c r="AS16" i="19"/>
  <c r="AR16" i="19"/>
  <c r="AQ16" i="19"/>
  <c r="AP16" i="19"/>
  <c r="AC29" i="3"/>
  <c r="AA16" i="19"/>
  <c r="H16" i="19"/>
  <c r="AQ15" i="19"/>
  <c r="BA15" i="19"/>
  <c r="AZ15" i="19"/>
  <c r="AY15" i="19"/>
  <c r="AX15" i="19"/>
  <c r="AW15" i="19"/>
  <c r="AV15" i="19"/>
  <c r="AU15" i="19"/>
  <c r="AS15" i="19"/>
  <c r="AR15" i="19"/>
  <c r="AP15" i="19"/>
  <c r="AC183" i="3"/>
  <c r="AA15" i="19"/>
  <c r="H15" i="19"/>
  <c r="BA14" i="19"/>
  <c r="AZ14" i="19"/>
  <c r="AY14" i="19"/>
  <c r="AX14" i="19"/>
  <c r="AW14" i="19"/>
  <c r="AV14" i="19"/>
  <c r="AU14" i="19"/>
  <c r="AS14" i="19"/>
  <c r="AR14" i="19"/>
  <c r="AQ14" i="19"/>
  <c r="AP14" i="19"/>
  <c r="AA14" i="19"/>
  <c r="H14" i="19"/>
  <c r="BA13" i="19"/>
  <c r="AZ13" i="19"/>
  <c r="AX13" i="19"/>
  <c r="AW13" i="19"/>
  <c r="AV13" i="19"/>
  <c r="AU13" i="19"/>
  <c r="AS13" i="19"/>
  <c r="AR13" i="19"/>
  <c r="AQ13" i="19"/>
  <c r="AP13" i="19"/>
  <c r="AC48" i="3"/>
  <c r="AA13" i="19"/>
  <c r="H13" i="19"/>
  <c r="BA12" i="19"/>
  <c r="AZ12" i="19"/>
  <c r="AY12" i="19"/>
  <c r="AX12" i="19"/>
  <c r="AW12" i="19"/>
  <c r="AV12" i="19"/>
  <c r="AU12" i="19"/>
  <c r="AS12" i="19"/>
  <c r="AR12" i="19"/>
  <c r="AQ12" i="19"/>
  <c r="AP12" i="19"/>
  <c r="AA12" i="19"/>
  <c r="H12" i="19"/>
  <c r="BA11" i="19"/>
  <c r="AZ11" i="19"/>
  <c r="AY11" i="19"/>
  <c r="AX11" i="19"/>
  <c r="AW11" i="19"/>
  <c r="AV11" i="19"/>
  <c r="AU11" i="19"/>
  <c r="AS11" i="19"/>
  <c r="AR11" i="19"/>
  <c r="AQ11" i="19"/>
  <c r="AP11" i="19"/>
  <c r="AA11" i="19"/>
  <c r="H11" i="19"/>
  <c r="BA10" i="19"/>
  <c r="AZ10" i="19"/>
  <c r="AY10" i="19"/>
  <c r="AX10" i="19"/>
  <c r="AW10" i="19"/>
  <c r="AV10" i="19"/>
  <c r="AU10" i="19"/>
  <c r="AS10" i="19"/>
  <c r="AR10" i="19"/>
  <c r="AQ10" i="19"/>
  <c r="AP10" i="19"/>
  <c r="AA10" i="19"/>
  <c r="H10" i="19"/>
  <c r="N78" i="14"/>
  <c r="N79" i="14" s="1"/>
  <c r="M78" i="14"/>
  <c r="M79" i="14" s="1"/>
  <c r="L78" i="14"/>
  <c r="L79" i="14" s="1"/>
  <c r="K78" i="14"/>
  <c r="K79" i="14" s="1"/>
  <c r="J78" i="14"/>
  <c r="J79" i="14" s="1"/>
  <c r="I78" i="14"/>
  <c r="I79" i="14" s="1"/>
  <c r="H78" i="14"/>
  <c r="H79" i="14" s="1"/>
  <c r="G78" i="14"/>
  <c r="G79" i="14" s="1"/>
  <c r="F78" i="14"/>
  <c r="F79" i="14" s="1"/>
  <c r="E78" i="14"/>
  <c r="E79" i="14" s="1"/>
  <c r="D78" i="14"/>
  <c r="D79" i="14" s="1"/>
  <c r="C78" i="14"/>
  <c r="C79" i="14" s="1"/>
  <c r="B78" i="14"/>
  <c r="B79" i="14" s="1"/>
  <c r="O77" i="14"/>
  <c r="O76" i="14"/>
  <c r="O75" i="14"/>
  <c r="O74" i="14"/>
  <c r="O73" i="14"/>
  <c r="O72" i="14"/>
  <c r="O71" i="14"/>
  <c r="N67" i="14"/>
  <c r="N68" i="14" s="1"/>
  <c r="M67" i="14"/>
  <c r="M68" i="14" s="1"/>
  <c r="L67" i="14"/>
  <c r="L68" i="14" s="1"/>
  <c r="K67" i="14"/>
  <c r="K68" i="14" s="1"/>
  <c r="J67" i="14"/>
  <c r="J68" i="14" s="1"/>
  <c r="I67" i="14"/>
  <c r="I68" i="14" s="1"/>
  <c r="H67" i="14"/>
  <c r="H68" i="14" s="1"/>
  <c r="G67" i="14"/>
  <c r="G68" i="14" s="1"/>
  <c r="F67" i="14"/>
  <c r="F68" i="14" s="1"/>
  <c r="E67" i="14"/>
  <c r="E68" i="14" s="1"/>
  <c r="D67" i="14"/>
  <c r="D68" i="14" s="1"/>
  <c r="C67" i="14"/>
  <c r="C68" i="14" s="1"/>
  <c r="B67" i="14"/>
  <c r="B68" i="14" s="1"/>
  <c r="O66" i="14"/>
  <c r="O65" i="14"/>
  <c r="O64" i="14"/>
  <c r="O63" i="14"/>
  <c r="O62" i="14"/>
  <c r="O61" i="14"/>
  <c r="O60" i="14"/>
  <c r="N56" i="14"/>
  <c r="N57" i="14" s="1"/>
  <c r="M56" i="14"/>
  <c r="M57" i="14" s="1"/>
  <c r="L56" i="14"/>
  <c r="L57" i="14" s="1"/>
  <c r="K56" i="14"/>
  <c r="K57" i="14" s="1"/>
  <c r="J56" i="14"/>
  <c r="J57" i="14" s="1"/>
  <c r="I56" i="14"/>
  <c r="I57" i="14" s="1"/>
  <c r="H56" i="14"/>
  <c r="H57" i="14" s="1"/>
  <c r="G56" i="14"/>
  <c r="G57" i="14" s="1"/>
  <c r="F56" i="14"/>
  <c r="F57" i="14" s="1"/>
  <c r="E56" i="14"/>
  <c r="E57" i="14" s="1"/>
  <c r="D56" i="14"/>
  <c r="D57" i="14" s="1"/>
  <c r="C56" i="14"/>
  <c r="C57" i="14" s="1"/>
  <c r="B56" i="14"/>
  <c r="O55" i="14"/>
  <c r="O54" i="14"/>
  <c r="O53" i="14"/>
  <c r="O52" i="14"/>
  <c r="O51" i="14"/>
  <c r="O50" i="14"/>
  <c r="O49" i="14"/>
  <c r="N45" i="14"/>
  <c r="N46" i="14" s="1"/>
  <c r="M45" i="14"/>
  <c r="M46" i="14" s="1"/>
  <c r="L45" i="14"/>
  <c r="L46" i="14" s="1"/>
  <c r="K45" i="14"/>
  <c r="K46" i="14" s="1"/>
  <c r="J45" i="14"/>
  <c r="J46" i="14" s="1"/>
  <c r="I45" i="14"/>
  <c r="I46" i="14" s="1"/>
  <c r="H45" i="14"/>
  <c r="H46" i="14" s="1"/>
  <c r="G45" i="14"/>
  <c r="G46" i="14" s="1"/>
  <c r="F45" i="14"/>
  <c r="F46" i="14" s="1"/>
  <c r="E45" i="14"/>
  <c r="E46" i="14" s="1"/>
  <c r="D45" i="14"/>
  <c r="D46" i="14" s="1"/>
  <c r="C45" i="14"/>
  <c r="C46" i="14" s="1"/>
  <c r="B45" i="14"/>
  <c r="B46" i="14" s="1"/>
  <c r="O44" i="14"/>
  <c r="O43" i="14"/>
  <c r="O42" i="14"/>
  <c r="O41" i="14"/>
  <c r="O40" i="14"/>
  <c r="O39" i="14"/>
  <c r="O38" i="14"/>
  <c r="N34" i="14"/>
  <c r="N35" i="14" s="1"/>
  <c r="M34" i="14"/>
  <c r="M35" i="14" s="1"/>
  <c r="L34" i="14"/>
  <c r="L35" i="14" s="1"/>
  <c r="K34" i="14"/>
  <c r="K35" i="14" s="1"/>
  <c r="J34" i="14"/>
  <c r="J35" i="14" s="1"/>
  <c r="I34" i="14"/>
  <c r="I35" i="14" s="1"/>
  <c r="H34" i="14"/>
  <c r="H35" i="14" s="1"/>
  <c r="G34" i="14"/>
  <c r="G35" i="14" s="1"/>
  <c r="F34" i="14"/>
  <c r="F35" i="14" s="1"/>
  <c r="E34" i="14"/>
  <c r="E35" i="14" s="1"/>
  <c r="D34" i="14"/>
  <c r="D35" i="14" s="1"/>
  <c r="C34" i="14"/>
  <c r="C35" i="14" s="1"/>
  <c r="B34" i="14"/>
  <c r="O33" i="14"/>
  <c r="O32" i="14"/>
  <c r="O31" i="14"/>
  <c r="O30" i="14"/>
  <c r="O29" i="14"/>
  <c r="O28" i="14"/>
  <c r="O27" i="14"/>
  <c r="N23" i="14"/>
  <c r="N24" i="14" s="1"/>
  <c r="M23" i="14"/>
  <c r="M24" i="14" s="1"/>
  <c r="L23" i="14"/>
  <c r="L24" i="14" s="1"/>
  <c r="K23" i="14"/>
  <c r="K24" i="14" s="1"/>
  <c r="J23" i="14"/>
  <c r="J24" i="14" s="1"/>
  <c r="I23" i="14"/>
  <c r="I24" i="14" s="1"/>
  <c r="H23" i="14"/>
  <c r="H24" i="14" s="1"/>
  <c r="G23" i="14"/>
  <c r="G24" i="14" s="1"/>
  <c r="F23" i="14"/>
  <c r="F24" i="14" s="1"/>
  <c r="E23" i="14"/>
  <c r="E24" i="14" s="1"/>
  <c r="D23" i="14"/>
  <c r="D24" i="14" s="1"/>
  <c r="C23" i="14"/>
  <c r="C24" i="14" s="1"/>
  <c r="B23" i="14"/>
  <c r="B24" i="14" s="1"/>
  <c r="O22" i="14"/>
  <c r="O21" i="14"/>
  <c r="O20" i="14"/>
  <c r="O19" i="14"/>
  <c r="O18" i="14"/>
  <c r="O17" i="14"/>
  <c r="O16" i="14"/>
  <c r="K68" i="8"/>
  <c r="M68" i="8" s="1"/>
  <c r="J68" i="8"/>
  <c r="I68" i="8"/>
  <c r="H68" i="8"/>
  <c r="G68" i="8"/>
  <c r="F68" i="8"/>
  <c r="E68" i="8"/>
  <c r="D68" i="8"/>
  <c r="C68" i="8"/>
  <c r="K67" i="8"/>
  <c r="J67" i="8"/>
  <c r="I67" i="8"/>
  <c r="H67" i="8"/>
  <c r="G67" i="8"/>
  <c r="F67" i="8"/>
  <c r="E67" i="8"/>
  <c r="D67" i="8"/>
  <c r="C67" i="8"/>
  <c r="K66" i="8"/>
  <c r="M66" i="8" s="1"/>
  <c r="J66" i="8"/>
  <c r="I66" i="8"/>
  <c r="H66" i="8"/>
  <c r="G66" i="8"/>
  <c r="F66" i="8"/>
  <c r="E66" i="8"/>
  <c r="D66" i="8"/>
  <c r="C66" i="8"/>
  <c r="K65" i="8"/>
  <c r="M65" i="8" s="1"/>
  <c r="J65" i="8"/>
  <c r="I65" i="8"/>
  <c r="H65" i="8"/>
  <c r="G65" i="8"/>
  <c r="F65" i="8"/>
  <c r="E65" i="8"/>
  <c r="D65" i="8"/>
  <c r="C65" i="8"/>
  <c r="K64" i="8"/>
  <c r="M64" i="8" s="1"/>
  <c r="J64" i="8"/>
  <c r="I64" i="8"/>
  <c r="H64" i="8"/>
  <c r="G64" i="8"/>
  <c r="F64" i="8"/>
  <c r="E64" i="8"/>
  <c r="D64" i="8"/>
  <c r="C64" i="8"/>
  <c r="K63" i="8"/>
  <c r="M63" i="8" s="1"/>
  <c r="J63" i="8"/>
  <c r="I63" i="8"/>
  <c r="H63" i="8"/>
  <c r="G63" i="8"/>
  <c r="F63" i="8"/>
  <c r="E63" i="8"/>
  <c r="D63" i="8"/>
  <c r="C63" i="8"/>
  <c r="K62" i="8"/>
  <c r="M62" i="8" s="1"/>
  <c r="J62" i="8"/>
  <c r="I62" i="8"/>
  <c r="H62" i="8"/>
  <c r="G62" i="8"/>
  <c r="F62" i="8"/>
  <c r="E62" i="8"/>
  <c r="D62" i="8"/>
  <c r="C62" i="8"/>
  <c r="K61" i="8"/>
  <c r="J61" i="8"/>
  <c r="I61" i="8"/>
  <c r="H61" i="8"/>
  <c r="G61" i="8"/>
  <c r="F61" i="8"/>
  <c r="E61" i="8"/>
  <c r="D61" i="8"/>
  <c r="C61" i="8"/>
  <c r="K60" i="8"/>
  <c r="L60" i="8" s="1"/>
  <c r="J60" i="8"/>
  <c r="I60" i="8"/>
  <c r="H60" i="8"/>
  <c r="G60" i="8"/>
  <c r="F60" i="8"/>
  <c r="E60" i="8"/>
  <c r="D60" i="8"/>
  <c r="C60" i="8"/>
  <c r="K59" i="8"/>
  <c r="L59" i="8" s="1"/>
  <c r="J59" i="8"/>
  <c r="I59" i="8"/>
  <c r="H59" i="8"/>
  <c r="G59" i="8"/>
  <c r="F59" i="8"/>
  <c r="E59" i="8"/>
  <c r="D59" i="8"/>
  <c r="C59" i="8"/>
  <c r="K58" i="8"/>
  <c r="L58" i="8" s="1"/>
  <c r="J58" i="8"/>
  <c r="I58" i="8"/>
  <c r="H58" i="8"/>
  <c r="G58" i="8"/>
  <c r="F58" i="8"/>
  <c r="E58" i="8"/>
  <c r="D58" i="8"/>
  <c r="C58" i="8"/>
  <c r="K57" i="8"/>
  <c r="M57" i="8" s="1"/>
  <c r="J57" i="8"/>
  <c r="I57" i="8"/>
  <c r="H57" i="8"/>
  <c r="G57" i="8"/>
  <c r="F57" i="8"/>
  <c r="E57" i="8"/>
  <c r="D57" i="8"/>
  <c r="C57" i="8"/>
  <c r="K56" i="8"/>
  <c r="L56" i="8" s="1"/>
  <c r="J56" i="8"/>
  <c r="I56" i="8"/>
  <c r="H56" i="8"/>
  <c r="G56" i="8"/>
  <c r="F56" i="8"/>
  <c r="E56" i="8"/>
  <c r="D56" i="8"/>
  <c r="C56" i="8"/>
  <c r="K55" i="8"/>
  <c r="J55" i="8"/>
  <c r="I55" i="8"/>
  <c r="H55" i="8"/>
  <c r="G55" i="8"/>
  <c r="F55" i="8"/>
  <c r="E55" i="8"/>
  <c r="D55" i="8"/>
  <c r="C55" i="8"/>
  <c r="K54" i="8"/>
  <c r="L54" i="8" s="1"/>
  <c r="J54" i="8"/>
  <c r="I54" i="8"/>
  <c r="H54" i="8"/>
  <c r="G54" i="8"/>
  <c r="F54" i="8"/>
  <c r="E54" i="8"/>
  <c r="D54" i="8"/>
  <c r="C54" i="8"/>
  <c r="K53" i="8"/>
  <c r="M53" i="8" s="1"/>
  <c r="J53" i="8"/>
  <c r="I53" i="8"/>
  <c r="H53" i="8"/>
  <c r="G53" i="8"/>
  <c r="F53" i="8"/>
  <c r="E53" i="8"/>
  <c r="D53" i="8"/>
  <c r="C53" i="8"/>
  <c r="K52" i="8"/>
  <c r="L52" i="8" s="1"/>
  <c r="J52" i="8"/>
  <c r="I52" i="8"/>
  <c r="H52" i="8"/>
  <c r="G52" i="8"/>
  <c r="F52" i="8"/>
  <c r="E52" i="8"/>
  <c r="D52" i="8"/>
  <c r="C52" i="8"/>
  <c r="K51" i="8"/>
  <c r="M51" i="8" s="1"/>
  <c r="J51" i="8"/>
  <c r="I51" i="8"/>
  <c r="H51" i="8"/>
  <c r="G51" i="8"/>
  <c r="F51" i="8"/>
  <c r="E51" i="8"/>
  <c r="D51" i="8"/>
  <c r="C51" i="8"/>
  <c r="K50" i="8"/>
  <c r="L50" i="8" s="1"/>
  <c r="J50" i="8"/>
  <c r="I50" i="8"/>
  <c r="H50" i="8"/>
  <c r="G50" i="8"/>
  <c r="F50" i="8"/>
  <c r="E50" i="8"/>
  <c r="D50" i="8"/>
  <c r="C50" i="8"/>
  <c r="K49" i="8"/>
  <c r="J49" i="8"/>
  <c r="I49" i="8"/>
  <c r="H49" i="8"/>
  <c r="G49" i="8"/>
  <c r="F49" i="8"/>
  <c r="E49" i="8"/>
  <c r="D49" i="8"/>
  <c r="C49" i="8"/>
  <c r="K48" i="8"/>
  <c r="M48" i="8" s="1"/>
  <c r="J48" i="8"/>
  <c r="I48" i="8"/>
  <c r="H48" i="8"/>
  <c r="G48" i="8"/>
  <c r="F48" i="8"/>
  <c r="E48" i="8"/>
  <c r="D48" i="8"/>
  <c r="C48" i="8"/>
  <c r="K47" i="8"/>
  <c r="M47" i="8" s="1"/>
  <c r="J47" i="8"/>
  <c r="I47" i="8"/>
  <c r="H47" i="8"/>
  <c r="G47" i="8"/>
  <c r="F47" i="8"/>
  <c r="E47" i="8"/>
  <c r="D47" i="8"/>
  <c r="C47" i="8"/>
  <c r="K46" i="8"/>
  <c r="L46" i="8" s="1"/>
  <c r="J46" i="8"/>
  <c r="I46" i="8"/>
  <c r="H46" i="8"/>
  <c r="G46" i="8"/>
  <c r="F46" i="8"/>
  <c r="E46" i="8"/>
  <c r="D46" i="8"/>
  <c r="C46" i="8"/>
  <c r="K45" i="8"/>
  <c r="M45" i="8" s="1"/>
  <c r="J45" i="8"/>
  <c r="I45" i="8"/>
  <c r="H45" i="8"/>
  <c r="G45" i="8"/>
  <c r="F45" i="8"/>
  <c r="E45" i="8"/>
  <c r="D45" i="8"/>
  <c r="C45" i="8"/>
  <c r="K44" i="8"/>
  <c r="M44" i="8" s="1"/>
  <c r="J44" i="8"/>
  <c r="I44" i="8"/>
  <c r="H44" i="8"/>
  <c r="G44" i="8"/>
  <c r="F44" i="8"/>
  <c r="E44" i="8"/>
  <c r="D44" i="8"/>
  <c r="C44" i="8"/>
  <c r="K43" i="8"/>
  <c r="J43" i="8"/>
  <c r="I43" i="8"/>
  <c r="H43" i="8"/>
  <c r="G43" i="8"/>
  <c r="F43" i="8"/>
  <c r="E43" i="8"/>
  <c r="D43" i="8"/>
  <c r="C43" i="8"/>
  <c r="K42" i="8"/>
  <c r="L42" i="8" s="1"/>
  <c r="J42" i="8"/>
  <c r="I42" i="8"/>
  <c r="H42" i="8"/>
  <c r="G42" i="8"/>
  <c r="F42" i="8"/>
  <c r="E42" i="8"/>
  <c r="D42" i="8"/>
  <c r="C42" i="8"/>
  <c r="K41" i="8"/>
  <c r="L41" i="8" s="1"/>
  <c r="J41" i="8"/>
  <c r="I41" i="8"/>
  <c r="H41" i="8"/>
  <c r="G41" i="8"/>
  <c r="F41" i="8"/>
  <c r="E41" i="8"/>
  <c r="D41" i="8"/>
  <c r="C41" i="8"/>
  <c r="K40" i="8"/>
  <c r="M40" i="8" s="1"/>
  <c r="J40" i="8"/>
  <c r="I40" i="8"/>
  <c r="H40" i="8"/>
  <c r="G40" i="8"/>
  <c r="F40" i="8"/>
  <c r="E40" i="8"/>
  <c r="D40" i="8"/>
  <c r="C40" i="8"/>
  <c r="K39" i="8"/>
  <c r="J39" i="8"/>
  <c r="I39" i="8"/>
  <c r="H39" i="8"/>
  <c r="G39" i="8"/>
  <c r="F39" i="8"/>
  <c r="E39" i="8"/>
  <c r="D39" i="8"/>
  <c r="C39" i="8"/>
  <c r="M34" i="8" s="1"/>
  <c r="J34" i="8"/>
  <c r="L34" i="8" s="1"/>
  <c r="I34" i="8"/>
  <c r="H34" i="8"/>
  <c r="G34" i="8"/>
  <c r="F34" i="8"/>
  <c r="E34" i="8"/>
  <c r="D34" i="8"/>
  <c r="C34" i="8"/>
  <c r="M33" i="8" s="1"/>
  <c r="J33" i="8"/>
  <c r="I33" i="8"/>
  <c r="H33" i="8"/>
  <c r="G33" i="8"/>
  <c r="F33" i="8"/>
  <c r="E33" i="8"/>
  <c r="D33" i="8"/>
  <c r="C33" i="8"/>
  <c r="M32" i="8" s="1"/>
  <c r="J32" i="8"/>
  <c r="L32" i="8" s="1"/>
  <c r="I32" i="8"/>
  <c r="H32" i="8"/>
  <c r="G32" i="8"/>
  <c r="F32" i="8"/>
  <c r="E32" i="8"/>
  <c r="D32" i="8"/>
  <c r="C32" i="8"/>
  <c r="M31" i="8" s="1"/>
  <c r="J31" i="8"/>
  <c r="I31" i="8"/>
  <c r="H31" i="8"/>
  <c r="G31" i="8"/>
  <c r="F31" i="8"/>
  <c r="E31" i="8"/>
  <c r="D31" i="8"/>
  <c r="C31" i="8"/>
  <c r="M30" i="8" s="1"/>
  <c r="J30" i="8"/>
  <c r="L30" i="8" s="1"/>
  <c r="I30" i="8"/>
  <c r="H30" i="8"/>
  <c r="G30" i="8"/>
  <c r="F30" i="8"/>
  <c r="E30" i="8"/>
  <c r="D30" i="8"/>
  <c r="C30" i="8"/>
  <c r="M29" i="8" s="1"/>
  <c r="J29" i="8"/>
  <c r="I29" i="8"/>
  <c r="H29" i="8"/>
  <c r="G29" i="8"/>
  <c r="F29" i="8"/>
  <c r="E29" i="8"/>
  <c r="D29" i="8"/>
  <c r="C29" i="8"/>
  <c r="M28" i="8" s="1"/>
  <c r="J28" i="8"/>
  <c r="L28" i="8" s="1"/>
  <c r="I28" i="8"/>
  <c r="H28" i="8"/>
  <c r="G28" i="8"/>
  <c r="F28" i="8"/>
  <c r="E28" i="8"/>
  <c r="D28" i="8"/>
  <c r="C28" i="8"/>
  <c r="M27" i="8" s="1"/>
  <c r="J27" i="8"/>
  <c r="I27" i="8"/>
  <c r="H27" i="8"/>
  <c r="G27" i="8"/>
  <c r="F27" i="8"/>
  <c r="E27" i="8"/>
  <c r="D27" i="8"/>
  <c r="C27" i="8"/>
  <c r="M26" i="8" s="1"/>
  <c r="J26" i="8"/>
  <c r="I26" i="8"/>
  <c r="H26" i="8"/>
  <c r="G26" i="8"/>
  <c r="F26" i="8"/>
  <c r="E26" i="8"/>
  <c r="D26" i="8"/>
  <c r="C26" i="8"/>
  <c r="M25" i="8" s="1"/>
  <c r="J25" i="8"/>
  <c r="I25" i="8"/>
  <c r="H25" i="8"/>
  <c r="G25" i="8"/>
  <c r="F25" i="8"/>
  <c r="E25" i="8"/>
  <c r="D25" i="8"/>
  <c r="C25" i="8"/>
  <c r="M24" i="8" s="1"/>
  <c r="J24" i="8"/>
  <c r="I24" i="8"/>
  <c r="H24" i="8"/>
  <c r="G24" i="8"/>
  <c r="F24" i="8"/>
  <c r="E24" i="8"/>
  <c r="D24" i="8"/>
  <c r="C24" i="8"/>
  <c r="M23" i="8" s="1"/>
  <c r="J23" i="8"/>
  <c r="I23" i="8"/>
  <c r="H23" i="8"/>
  <c r="G23" i="8"/>
  <c r="F23" i="8"/>
  <c r="E23" i="8"/>
  <c r="D23" i="8"/>
  <c r="C23" i="8"/>
  <c r="M22" i="8" s="1"/>
  <c r="J22" i="8"/>
  <c r="I22" i="8"/>
  <c r="H22" i="8"/>
  <c r="G22" i="8"/>
  <c r="F22" i="8"/>
  <c r="E22" i="8"/>
  <c r="D22" i="8"/>
  <c r="C22" i="8"/>
  <c r="M21" i="8" s="1"/>
  <c r="J21" i="8"/>
  <c r="I21" i="8"/>
  <c r="H21" i="8"/>
  <c r="G21" i="8"/>
  <c r="F21" i="8"/>
  <c r="E21" i="8"/>
  <c r="D21" i="8"/>
  <c r="C21" i="8"/>
  <c r="M20" i="8" s="1"/>
  <c r="J20" i="8"/>
  <c r="I20" i="8"/>
  <c r="H20" i="8"/>
  <c r="G20" i="8"/>
  <c r="F20" i="8"/>
  <c r="E20" i="8"/>
  <c r="D20" i="8"/>
  <c r="C20" i="8"/>
  <c r="M19" i="8" s="1"/>
  <c r="J19" i="8"/>
  <c r="I19" i="8"/>
  <c r="H19" i="8"/>
  <c r="G19" i="8"/>
  <c r="F19" i="8"/>
  <c r="E19" i="8"/>
  <c r="D19" i="8"/>
  <c r="C19" i="8"/>
  <c r="J18" i="8"/>
  <c r="I18" i="8"/>
  <c r="H18" i="8"/>
  <c r="G18" i="8"/>
  <c r="F18" i="8"/>
  <c r="E18" i="8"/>
  <c r="D18" i="8"/>
  <c r="C18" i="8"/>
  <c r="M17" i="8" s="1"/>
  <c r="J17" i="8"/>
  <c r="I17" i="8"/>
  <c r="H17" i="8"/>
  <c r="G17" i="8"/>
  <c r="F17" i="8"/>
  <c r="E17" i="8"/>
  <c r="D17" i="8"/>
  <c r="C17" i="8"/>
  <c r="M16" i="8" s="1"/>
  <c r="J16" i="8"/>
  <c r="I16" i="8"/>
  <c r="H16" i="8"/>
  <c r="G16" i="8"/>
  <c r="F16" i="8"/>
  <c r="E16" i="8"/>
  <c r="D16" i="8"/>
  <c r="C16" i="8"/>
  <c r="M15" i="8" s="1"/>
  <c r="J15" i="8"/>
  <c r="I15" i="8"/>
  <c r="H15" i="8"/>
  <c r="G15" i="8"/>
  <c r="F15" i="8"/>
  <c r="E15" i="8"/>
  <c r="D15" i="8"/>
  <c r="C15" i="8"/>
  <c r="M14" i="8" s="1"/>
  <c r="J14" i="8"/>
  <c r="L14" i="8" s="1"/>
  <c r="I14" i="8"/>
  <c r="H14" i="8"/>
  <c r="G14" i="8"/>
  <c r="F14" i="8"/>
  <c r="E14" i="8"/>
  <c r="D14" i="8"/>
  <c r="C14" i="8"/>
  <c r="M13" i="8" s="1"/>
  <c r="J13" i="8"/>
  <c r="I13" i="8"/>
  <c r="H13" i="8"/>
  <c r="G13" i="8"/>
  <c r="F13" i="8"/>
  <c r="E13" i="8"/>
  <c r="D13" i="8"/>
  <c r="C13" i="8"/>
  <c r="M12" i="8" s="1"/>
  <c r="J12" i="8"/>
  <c r="I12" i="8"/>
  <c r="H12" i="8"/>
  <c r="G12" i="8"/>
  <c r="F12" i="8"/>
  <c r="E12" i="8"/>
  <c r="D12" i="8"/>
  <c r="C12" i="8"/>
  <c r="M11" i="8" s="1"/>
  <c r="J11" i="8"/>
  <c r="I11" i="8"/>
  <c r="H11" i="8"/>
  <c r="G11" i="8"/>
  <c r="F11" i="8"/>
  <c r="E11" i="8"/>
  <c r="D11" i="8"/>
  <c r="C11" i="8"/>
  <c r="M10" i="8" s="1"/>
  <c r="J10" i="8"/>
  <c r="I10" i="8"/>
  <c r="H10" i="8"/>
  <c r="G10" i="8"/>
  <c r="F10" i="8"/>
  <c r="E10" i="8"/>
  <c r="D10" i="8"/>
  <c r="C10" i="8"/>
  <c r="J9" i="8"/>
  <c r="I9" i="8"/>
  <c r="H9" i="8"/>
  <c r="G9" i="8"/>
  <c r="F9" i="8"/>
  <c r="E9" i="8"/>
  <c r="D9" i="8"/>
  <c r="C9" i="8"/>
  <c r="M8" i="8" s="1"/>
  <c r="J8" i="8"/>
  <c r="I8" i="8"/>
  <c r="H8" i="8"/>
  <c r="G8" i="8"/>
  <c r="F8" i="8"/>
  <c r="E8" i="8"/>
  <c r="D8" i="8"/>
  <c r="C8" i="8"/>
  <c r="J7" i="8"/>
  <c r="I7" i="8"/>
  <c r="H7" i="8"/>
  <c r="G7" i="8"/>
  <c r="F7" i="8"/>
  <c r="E7" i="8"/>
  <c r="D7" i="8"/>
  <c r="C7" i="8"/>
  <c r="M6" i="8" s="1"/>
  <c r="J6" i="8"/>
  <c r="I6" i="8"/>
  <c r="H6" i="8"/>
  <c r="G6" i="8"/>
  <c r="F6" i="8"/>
  <c r="E6" i="8"/>
  <c r="D6" i="8"/>
  <c r="C6" i="8"/>
  <c r="M5" i="8"/>
  <c r="J5" i="8"/>
  <c r="I5" i="8"/>
  <c r="H5" i="8"/>
  <c r="G5" i="8"/>
  <c r="F5" i="8"/>
  <c r="E5" i="8"/>
  <c r="D5" i="8"/>
  <c r="C5" i="8"/>
  <c r="C145" i="5"/>
  <c r="D145" i="5" s="1"/>
  <c r="C144" i="5"/>
  <c r="D144" i="5" s="1"/>
  <c r="C142" i="5"/>
  <c r="D142" i="5" s="1"/>
  <c r="C139" i="5"/>
  <c r="D139" i="5" s="1"/>
  <c r="Z53" i="3" a="1"/>
  <c r="Z53" i="3" s="1"/>
  <c r="Z50" i="3" a="1"/>
  <c r="Z50" i="3" s="1"/>
  <c r="Z183" i="3" a="1"/>
  <c r="Z183" i="3" s="1"/>
  <c r="Z34" i="3" a="1"/>
  <c r="Z34" i="3" s="1"/>
  <c r="Z105" i="3" a="1"/>
  <c r="Z105" i="3" s="1"/>
  <c r="Z29" i="3" a="1"/>
  <c r="Z29" i="3" s="1"/>
  <c r="Z102" i="3" a="1"/>
  <c r="Z102" i="3" s="1"/>
  <c r="Z182" i="3" a="1"/>
  <c r="Z182" i="3" s="1"/>
  <c r="Z74" i="3" a="1"/>
  <c r="Z74" i="3" s="1"/>
  <c r="Z23" i="3" a="1"/>
  <c r="Z23" i="3" s="1"/>
  <c r="Z119" i="3" a="1"/>
  <c r="Z119" i="3" s="1"/>
  <c r="Z12" i="3" a="1"/>
  <c r="Z12" i="3" s="1"/>
  <c r="Z130" i="3" a="1"/>
  <c r="Z130" i="3" s="1"/>
  <c r="Z141" i="3" a="1"/>
  <c r="Z141" i="3" s="1"/>
  <c r="Z158" i="3" a="1"/>
  <c r="Z158" i="3" s="1"/>
  <c r="Z118" i="3" a="1"/>
  <c r="Z118" i="3" s="1"/>
  <c r="Z177" i="3" a="1"/>
  <c r="Z177" i="3" s="1"/>
  <c r="Z162" i="3" a="1"/>
  <c r="Z162" i="3" s="1"/>
  <c r="Z159" i="3" a="1"/>
  <c r="Z159" i="3" s="1"/>
  <c r="Z45" i="3" a="1"/>
  <c r="Z45" i="3" s="1"/>
  <c r="Z160" i="3" a="1"/>
  <c r="Z160" i="3" s="1"/>
  <c r="Z144" i="3" a="1"/>
  <c r="Z144" i="3" s="1"/>
  <c r="Z165" i="3" a="1"/>
  <c r="Z165" i="3" s="1"/>
  <c r="Z157" i="3" a="1"/>
  <c r="Z157" i="3" s="1"/>
  <c r="Z178" i="3" a="1"/>
  <c r="Z178" i="3" s="1"/>
  <c r="Z143" i="3" a="1"/>
  <c r="Z143" i="3" s="1"/>
  <c r="Z149" i="3" a="1"/>
  <c r="Z149" i="3" s="1"/>
  <c r="Z39" i="3" a="1"/>
  <c r="Z39" i="3" s="1"/>
  <c r="Z161" i="3" a="1"/>
  <c r="Z161" i="3" s="1"/>
  <c r="Z171" i="3" a="1"/>
  <c r="Z171" i="3" s="1"/>
  <c r="Z21" i="3" a="1"/>
  <c r="Z21" i="3" s="1"/>
  <c r="Z172" i="3" a="1"/>
  <c r="Z172" i="3" s="1"/>
  <c r="Z125" i="3" a="1"/>
  <c r="Z125" i="3" s="1"/>
  <c r="Z168" i="3" a="1"/>
  <c r="Z168" i="3" s="1"/>
  <c r="Z15" i="3" a="1"/>
  <c r="Z15" i="3" s="1"/>
  <c r="Z127" i="3" a="1"/>
  <c r="Z127" i="3" s="1"/>
  <c r="Z180" i="3" a="1"/>
  <c r="Z180" i="3" s="1"/>
  <c r="Z101" i="3" a="1"/>
  <c r="Z101" i="3" s="1"/>
  <c r="Z95" i="3" a="1"/>
  <c r="Z95" i="3" s="1"/>
  <c r="Z94" i="3" a="1"/>
  <c r="Z94" i="3" s="1"/>
  <c r="Z150" i="3" a="1"/>
  <c r="Z150" i="3" s="1"/>
  <c r="Z86" i="3" a="1"/>
  <c r="Z86" i="3" s="1"/>
  <c r="Z84" i="3" a="1"/>
  <c r="Z84" i="3" s="1"/>
  <c r="Z82" i="3" a="1"/>
  <c r="Z82" i="3" s="1"/>
  <c r="Z81" i="3" a="1"/>
  <c r="Z81" i="3" s="1"/>
  <c r="Z132" i="3" a="1"/>
  <c r="Z132" i="3" s="1"/>
  <c r="Z194" i="3" a="1"/>
  <c r="Z194" i="3" s="1"/>
  <c r="Z188" i="3" a="1"/>
  <c r="Z188" i="3" s="1"/>
  <c r="Z108" i="3" a="1"/>
  <c r="Z108" i="3" s="1"/>
  <c r="Z186" i="3" a="1"/>
  <c r="Z186" i="3" s="1"/>
  <c r="Z13" i="3" a="1"/>
  <c r="Z13" i="3" s="1"/>
  <c r="Z181" i="3" a="1"/>
  <c r="Z181" i="3" s="1"/>
  <c r="Z174" i="3" a="1"/>
  <c r="Z174" i="3" s="1"/>
  <c r="Z116" i="3" a="1"/>
  <c r="Z116" i="3" s="1"/>
  <c r="Z66" i="3" a="1"/>
  <c r="Z66" i="3" s="1"/>
  <c r="Z151" i="3" a="1"/>
  <c r="Z151" i="3" s="1"/>
  <c r="Z142" i="3" a="1"/>
  <c r="Z142" i="3" s="1"/>
  <c r="Z107" i="3" a="1"/>
  <c r="Z107" i="3" s="1"/>
  <c r="Z140" i="3" a="1"/>
  <c r="Z140" i="3" s="1"/>
  <c r="Z55" i="3" a="1"/>
  <c r="Z55" i="3" s="1"/>
  <c r="Z137" i="3" a="1"/>
  <c r="Z137" i="3" s="1"/>
  <c r="Z48" i="3" a="1"/>
  <c r="Z48" i="3" s="1"/>
  <c r="Z166" i="3" a="1"/>
  <c r="Z166" i="3" s="1"/>
  <c r="Z128" i="3" a="1"/>
  <c r="Z128" i="3" s="1"/>
  <c r="Z28" i="3" a="1"/>
  <c r="Z28" i="3" s="1"/>
  <c r="Z20" i="3" a="1"/>
  <c r="Z20" i="3" s="1"/>
  <c r="Z121" i="3" a="1"/>
  <c r="Z121" i="3" s="1"/>
  <c r="Z167" i="3" a="1"/>
  <c r="Z167" i="3" s="1"/>
  <c r="Z41" i="3" a="1"/>
  <c r="Z41" i="3" s="1"/>
  <c r="Z113" i="3" a="1"/>
  <c r="Z113" i="3" s="1"/>
  <c r="Z164" i="3" a="1"/>
  <c r="Z164" i="3" s="1"/>
  <c r="Z163" i="3" a="1"/>
  <c r="Z163" i="3" s="1"/>
  <c r="Z33" i="3" a="1"/>
  <c r="Z33" i="3" s="1"/>
  <c r="Z25" i="3" a="1"/>
  <c r="Z25" i="3" s="1"/>
  <c r="Z26" i="3" a="1"/>
  <c r="Z26" i="3" s="1"/>
  <c r="Z187" i="3" a="1"/>
  <c r="Z187" i="3" s="1"/>
  <c r="Z88" i="3" a="1"/>
  <c r="Z88" i="3" s="1"/>
  <c r="Z138" i="3" a="1"/>
  <c r="Z138" i="3" s="1"/>
  <c r="Z22" i="3" a="1"/>
  <c r="Z22" i="3" s="1"/>
  <c r="Z135" i="3" a="1"/>
  <c r="Z135" i="3" s="1"/>
  <c r="Z198" i="3" a="1"/>
  <c r="Z198" i="3" s="1"/>
  <c r="Z18" i="3" a="1"/>
  <c r="Z18" i="3" s="1"/>
  <c r="Z196" i="3" a="1"/>
  <c r="Z196" i="3" s="1"/>
  <c r="Z191" i="3" a="1"/>
  <c r="Z191" i="3" s="1"/>
  <c r="Z139" i="3" a="1"/>
  <c r="Z139" i="3" s="1"/>
  <c r="Z64" i="3" a="1"/>
  <c r="Z64" i="3" s="1"/>
  <c r="Z56" i="3" a="1"/>
  <c r="Z56" i="3" s="1"/>
  <c r="Z54" i="3" a="1"/>
  <c r="Z54" i="3" s="1"/>
  <c r="Z115" i="3" a="1"/>
  <c r="Z115" i="3" s="1"/>
  <c r="Z49" i="3" a="1"/>
  <c r="Z49" i="3" s="1"/>
  <c r="Z195" i="3" a="1"/>
  <c r="Z195" i="3" s="1"/>
  <c r="Z47" i="3" a="1"/>
  <c r="Z47" i="3" s="1"/>
  <c r="Z117" i="3" a="1"/>
  <c r="Z117" i="3" s="1"/>
  <c r="Z114" i="3" a="1"/>
  <c r="Z114" i="3" s="1"/>
  <c r="Z38" i="3" a="1"/>
  <c r="Z38" i="3" s="1"/>
  <c r="Z35" i="3" a="1"/>
  <c r="Z35" i="3" s="1"/>
  <c r="Z27" i="3" a="1"/>
  <c r="Z27" i="3" s="1"/>
  <c r="Z32" i="3" a="1"/>
  <c r="Z32" i="3" s="1"/>
  <c r="Z31" i="3" a="1"/>
  <c r="Z31" i="3" s="1"/>
  <c r="Z30" i="3" a="1"/>
  <c r="Z30" i="3" s="1"/>
  <c r="Z145" i="3" a="1"/>
  <c r="Z145" i="3" s="1"/>
  <c r="Z103" i="3" a="1"/>
  <c r="Z103" i="3" s="1"/>
  <c r="Z98" i="3" a="1"/>
  <c r="Z98" i="3" s="1"/>
  <c r="Z97" i="3" a="1"/>
  <c r="Z97" i="3" s="1"/>
  <c r="Z87" i="3" a="1"/>
  <c r="Z87" i="3" s="1"/>
  <c r="Z83" i="3" a="1"/>
  <c r="Z83" i="3" s="1"/>
  <c r="Z73" i="3" a="1"/>
  <c r="Z73" i="3" s="1"/>
  <c r="Z72" i="3" a="1"/>
  <c r="Z72" i="3" s="1"/>
  <c r="Z68" i="3" a="1"/>
  <c r="Z68" i="3" s="1"/>
  <c r="Z65" i="3" a="1"/>
  <c r="Z65" i="3" s="1"/>
  <c r="Z63" i="3" a="1"/>
  <c r="Z63" i="3" s="1"/>
  <c r="Z62" i="3" a="1"/>
  <c r="Z62" i="3" s="1"/>
  <c r="Z59" i="3" a="1"/>
  <c r="Z59" i="3" s="1"/>
  <c r="Z57" i="3" a="1"/>
  <c r="Z57" i="3" s="1"/>
  <c r="Z155" i="3" a="1"/>
  <c r="Z155" i="3" s="1"/>
  <c r="Z176" i="3" a="1"/>
  <c r="Z176" i="3" s="1"/>
  <c r="Z16" i="3" a="1"/>
  <c r="Z16" i="3" s="1"/>
  <c r="Z10" i="3" a="1"/>
  <c r="Z10" i="3" s="1"/>
  <c r="Z152" i="3" a="1"/>
  <c r="Z152" i="3" s="1"/>
  <c r="Z153" i="3" a="1"/>
  <c r="Z153" i="3" s="1"/>
  <c r="Z104" i="3" a="1"/>
  <c r="Z104" i="3" s="1"/>
  <c r="Z199" i="3" a="1"/>
  <c r="Z199" i="3" s="1"/>
  <c r="Z11" i="3" a="1"/>
  <c r="Z11" i="3" s="1"/>
  <c r="Z14" i="3" a="1"/>
  <c r="Z14" i="3" s="1"/>
  <c r="Z136" i="3" a="1"/>
  <c r="Z136" i="3" s="1"/>
  <c r="Z91" i="3" a="1"/>
  <c r="Z91" i="3" s="1"/>
  <c r="Z110" i="3" a="1"/>
  <c r="Z110" i="3" s="1"/>
  <c r="Z185" i="3" a="1"/>
  <c r="Z185" i="3" s="1"/>
  <c r="Z184" i="3" a="1"/>
  <c r="Z184" i="3" s="1"/>
  <c r="Z24" i="3" a="1"/>
  <c r="Z24" i="3" s="1"/>
  <c r="Z78" i="3" a="1"/>
  <c r="Z78" i="3" s="1"/>
  <c r="Z154" i="3" a="1"/>
  <c r="Z154" i="3" s="1"/>
  <c r="Z129" i="3" a="1"/>
  <c r="Z129" i="3" s="1"/>
  <c r="Z122" i="3" a="1"/>
  <c r="Z122" i="3" s="1"/>
  <c r="Z109" i="3" a="1"/>
  <c r="Z109" i="3" s="1"/>
  <c r="Z134" i="3" a="1"/>
  <c r="Z134" i="3" s="1"/>
  <c r="Z197" i="3" a="1"/>
  <c r="Z197" i="3" s="1"/>
  <c r="Z147" i="3" a="1"/>
  <c r="Z147" i="3" s="1"/>
  <c r="Z156" i="3" a="1"/>
  <c r="Z156" i="3" s="1"/>
  <c r="Z106" i="3" a="1"/>
  <c r="Z106" i="3" s="1"/>
  <c r="Z61" i="3" a="1"/>
  <c r="Z61" i="3" s="1"/>
  <c r="Z179" i="3" a="1"/>
  <c r="Z179" i="3" s="1"/>
  <c r="Z52" i="3" a="1"/>
  <c r="Z52" i="3" s="1"/>
  <c r="Z51" i="3" a="1"/>
  <c r="Z51" i="3" s="1"/>
  <c r="Z43" i="3" a="1"/>
  <c r="Z43" i="3" s="1"/>
  <c r="Z37" i="3" a="1"/>
  <c r="Z37" i="3" s="1"/>
  <c r="Z17" i="3" a="1"/>
  <c r="Z17" i="3" s="1"/>
  <c r="Z100" i="3" a="1"/>
  <c r="Z100" i="3" s="1"/>
  <c r="Z99" i="3" a="1"/>
  <c r="Z99" i="3" s="1"/>
  <c r="Z96" i="3" a="1"/>
  <c r="Z96" i="3" s="1"/>
  <c r="Z93" i="3" a="1"/>
  <c r="Z93" i="3" s="1"/>
  <c r="Z92" i="3" a="1"/>
  <c r="Z92" i="3" s="1"/>
  <c r="Z90" i="3" a="1"/>
  <c r="Z90" i="3" s="1"/>
  <c r="Z89" i="3" a="1"/>
  <c r="Z89" i="3" s="1"/>
  <c r="Z85" i="3" a="1"/>
  <c r="Z85" i="3" s="1"/>
  <c r="Z124" i="3" a="1"/>
  <c r="Z124" i="3" s="1"/>
  <c r="Z80" i="3" a="1"/>
  <c r="Z80" i="3" s="1"/>
  <c r="Z79" i="3" a="1"/>
  <c r="Z79" i="3" s="1"/>
  <c r="Z77" i="3" a="1"/>
  <c r="Z77" i="3" s="1"/>
  <c r="Z75" i="3" a="1"/>
  <c r="Z75" i="3" s="1"/>
  <c r="Z71" i="3" a="1"/>
  <c r="Z71" i="3" s="1"/>
  <c r="Z70" i="3" a="1"/>
  <c r="Z70" i="3" s="1"/>
  <c r="Z69" i="3" a="1"/>
  <c r="Z69" i="3" s="1"/>
  <c r="Z67" i="3" a="1"/>
  <c r="Z67" i="3" s="1"/>
  <c r="Z190" i="3" a="1"/>
  <c r="Z190" i="3" s="1"/>
  <c r="Z60" i="3" a="1"/>
  <c r="Z60" i="3" s="1"/>
  <c r="O23" i="14" l="1"/>
  <c r="P22" i="14" s="1"/>
  <c r="L62" i="8"/>
  <c r="AC190" i="3"/>
  <c r="AC60" i="3"/>
  <c r="AC146" i="3"/>
  <c r="AA146" i="3"/>
  <c r="AA76" i="3"/>
  <c r="AC76" i="3"/>
  <c r="AC111" i="3"/>
  <c r="AA111" i="3"/>
  <c r="AA148" i="3"/>
  <c r="AC148" i="3"/>
  <c r="AC40" i="3"/>
  <c r="AA40" i="3"/>
  <c r="AC193" i="3"/>
  <c r="AA193" i="3"/>
  <c r="AC133" i="3"/>
  <c r="AA133" i="3"/>
  <c r="AC46" i="3"/>
  <c r="AA46" i="3"/>
  <c r="AC131" i="3"/>
  <c r="AA131" i="3"/>
  <c r="AC44" i="3"/>
  <c r="AA44" i="3"/>
  <c r="AC126" i="3"/>
  <c r="AA126" i="3"/>
  <c r="AC123" i="3"/>
  <c r="AA123" i="3"/>
  <c r="AC36" i="3"/>
  <c r="AA36" i="3"/>
  <c r="AC42" i="3"/>
  <c r="AA42" i="3"/>
  <c r="L68" i="8"/>
  <c r="L66" i="8"/>
  <c r="AD69" i="3"/>
  <c r="AR110" i="19"/>
  <c r="AE130" i="3" s="1"/>
  <c r="AD130" i="3"/>
  <c r="AD51" i="3"/>
  <c r="AD52" i="3"/>
  <c r="AD43" i="3"/>
  <c r="AD60" i="3"/>
  <c r="AD67" i="3"/>
  <c r="AD190" i="3"/>
  <c r="AD70" i="3"/>
  <c r="L64" i="8"/>
  <c r="L48" i="8"/>
  <c r="B60" i="12" a="1"/>
  <c r="B60" i="12" s="1"/>
  <c r="B6" i="12" a="1"/>
  <c r="B6" i="12" s="1"/>
  <c r="B47" i="12" a="1"/>
  <c r="B47" i="12" s="1"/>
  <c r="B33" i="12" a="1"/>
  <c r="B33" i="12" s="1"/>
  <c r="B19" i="12" a="1"/>
  <c r="B19" i="12" s="1"/>
  <c r="AU187" i="19"/>
  <c r="AE91" i="3" s="1"/>
  <c r="AA183" i="3"/>
  <c r="AH45" i="3"/>
  <c r="AH38" i="3"/>
  <c r="AH54" i="3"/>
  <c r="AH25" i="3"/>
  <c r="AH53" i="3"/>
  <c r="AH114" i="3"/>
  <c r="AH47" i="3"/>
  <c r="AH106" i="3"/>
  <c r="AA64" i="3"/>
  <c r="AA196" i="3"/>
  <c r="AH69" i="3"/>
  <c r="AA129" i="3"/>
  <c r="AA75" i="3"/>
  <c r="AA77" i="3"/>
  <c r="AA194" i="3"/>
  <c r="AH81" i="3"/>
  <c r="AH184" i="3"/>
  <c r="AA89" i="3"/>
  <c r="AH150" i="3"/>
  <c r="AH101" i="3"/>
  <c r="AH103" i="3"/>
  <c r="AA45" i="3"/>
  <c r="AA38" i="3"/>
  <c r="AA54" i="3"/>
  <c r="AA25" i="3"/>
  <c r="AA53" i="3"/>
  <c r="AA114" i="3"/>
  <c r="AA47" i="3"/>
  <c r="AH117" i="3"/>
  <c r="AH51" i="3"/>
  <c r="AH52" i="3"/>
  <c r="AH56" i="3"/>
  <c r="AA106" i="3"/>
  <c r="AH65" i="3"/>
  <c r="AA69" i="3"/>
  <c r="AH108" i="3"/>
  <c r="AA81" i="3"/>
  <c r="AA184" i="3"/>
  <c r="AH135" i="3"/>
  <c r="AA150" i="3"/>
  <c r="AH92" i="3"/>
  <c r="AA101" i="3"/>
  <c r="AA103" i="3"/>
  <c r="AA117" i="3"/>
  <c r="AA51" i="3"/>
  <c r="AA52" i="3"/>
  <c r="AA56" i="3"/>
  <c r="AH63" i="3"/>
  <c r="AA65" i="3"/>
  <c r="AH139" i="3"/>
  <c r="AH67" i="3"/>
  <c r="AA108" i="3"/>
  <c r="AH109" i="3"/>
  <c r="AA135" i="3"/>
  <c r="AH185" i="3"/>
  <c r="AH83" i="3"/>
  <c r="AH86" i="3"/>
  <c r="AA92" i="3"/>
  <c r="AH136" i="3"/>
  <c r="AH96" i="3"/>
  <c r="AH48" i="3"/>
  <c r="AA63" i="3"/>
  <c r="AA139" i="3"/>
  <c r="AA67" i="3"/>
  <c r="AH68" i="3"/>
  <c r="AA109" i="3"/>
  <c r="AH74" i="3"/>
  <c r="AH78" i="3"/>
  <c r="AA185" i="3"/>
  <c r="AA83" i="3"/>
  <c r="AA86" i="3"/>
  <c r="AH88" i="3"/>
  <c r="AA136" i="3"/>
  <c r="AA96" i="3"/>
  <c r="AA48" i="3"/>
  <c r="AH29" i="3"/>
  <c r="AH145" i="3"/>
  <c r="AH27" i="3"/>
  <c r="AH26" i="3"/>
  <c r="AH43" i="3"/>
  <c r="AA68" i="3"/>
  <c r="AA74" i="3"/>
  <c r="AA78" i="3"/>
  <c r="AH18" i="3"/>
  <c r="AH124" i="3"/>
  <c r="AA88" i="3"/>
  <c r="AH102" i="3"/>
  <c r="AH104" i="3"/>
  <c r="AA29" i="3"/>
  <c r="AA145" i="3"/>
  <c r="AA27" i="3"/>
  <c r="AA26" i="3"/>
  <c r="AH33" i="3"/>
  <c r="AA43" i="3"/>
  <c r="AH57" i="3"/>
  <c r="AH70" i="3"/>
  <c r="AH73" i="3"/>
  <c r="AH119" i="3"/>
  <c r="AA18" i="3"/>
  <c r="AA124" i="3"/>
  <c r="AH22" i="3"/>
  <c r="AH93" i="3"/>
  <c r="AA102" i="3"/>
  <c r="AA104" i="3"/>
  <c r="AA33" i="3"/>
  <c r="AH39" i="3"/>
  <c r="AH50" i="3"/>
  <c r="AA57" i="3"/>
  <c r="AH61" i="3"/>
  <c r="AH62" i="3"/>
  <c r="AH66" i="3"/>
  <c r="AH191" i="3"/>
  <c r="AA70" i="3"/>
  <c r="AA73" i="3"/>
  <c r="AA119" i="3"/>
  <c r="AH122" i="3"/>
  <c r="AA22" i="3"/>
  <c r="AH84" i="3"/>
  <c r="AH87" i="3"/>
  <c r="AA93" i="3"/>
  <c r="AH97" i="3"/>
  <c r="AH98" i="3"/>
  <c r="AA39" i="3"/>
  <c r="AA50" i="3"/>
  <c r="AH115" i="3"/>
  <c r="AA61" i="3"/>
  <c r="AA62" i="3"/>
  <c r="AA66" i="3"/>
  <c r="AA191" i="3"/>
  <c r="AA122" i="3"/>
  <c r="AH182" i="3"/>
  <c r="AH154" i="3"/>
  <c r="AH79" i="3"/>
  <c r="AH80" i="3"/>
  <c r="AA84" i="3"/>
  <c r="AA87" i="3"/>
  <c r="AA97" i="3"/>
  <c r="AA98" i="3"/>
  <c r="AH99" i="3"/>
  <c r="AH105" i="3"/>
  <c r="AH17" i="3"/>
  <c r="AH195" i="3"/>
  <c r="AH118" i="3"/>
  <c r="AH32" i="3"/>
  <c r="AH55" i="3"/>
  <c r="AH35" i="3"/>
  <c r="AH121" i="3"/>
  <c r="AA115" i="3"/>
  <c r="AH49" i="3"/>
  <c r="AH60" i="3"/>
  <c r="AA182" i="3"/>
  <c r="AA154" i="3"/>
  <c r="AA79" i="3"/>
  <c r="AA80" i="3"/>
  <c r="AH198" i="3"/>
  <c r="AH90" i="3"/>
  <c r="AH91" i="3"/>
  <c r="AA99" i="3"/>
  <c r="AH100" i="3"/>
  <c r="AA105" i="3"/>
  <c r="AA17" i="3"/>
  <c r="AA195" i="3"/>
  <c r="AA118" i="3"/>
  <c r="AH37" i="3"/>
  <c r="AA32" i="3"/>
  <c r="AA55" i="3"/>
  <c r="AA35" i="3"/>
  <c r="AA121" i="3"/>
  <c r="AH31" i="3"/>
  <c r="AH30" i="3"/>
  <c r="AA49" i="3"/>
  <c r="AH58" i="3"/>
  <c r="AA60" i="3"/>
  <c r="AH130" i="3"/>
  <c r="AH71" i="3"/>
  <c r="AH134" i="3"/>
  <c r="AA198" i="3"/>
  <c r="AH82" i="3"/>
  <c r="AA90" i="3"/>
  <c r="AA91" i="3"/>
  <c r="AA100" i="3"/>
  <c r="AA37" i="3"/>
  <c r="AH34" i="3"/>
  <c r="AH41" i="3"/>
  <c r="AA31" i="3"/>
  <c r="AA30" i="3"/>
  <c r="AH59" i="3"/>
  <c r="AA130" i="3"/>
  <c r="AH107" i="3"/>
  <c r="AH190" i="3"/>
  <c r="AA71" i="3"/>
  <c r="AA134" i="3"/>
  <c r="AH23" i="3"/>
  <c r="AA82" i="3"/>
  <c r="AH85" i="3"/>
  <c r="AH94" i="3"/>
  <c r="AH95" i="3"/>
  <c r="AH14" i="3"/>
  <c r="AH183" i="3"/>
  <c r="AA34" i="3"/>
  <c r="AA41" i="3"/>
  <c r="AA59" i="3"/>
  <c r="AA107" i="3"/>
  <c r="AH64" i="3"/>
  <c r="AA190" i="3"/>
  <c r="AH196" i="3"/>
  <c r="AA23" i="3"/>
  <c r="AH129" i="3"/>
  <c r="AH75" i="3"/>
  <c r="AH77" i="3"/>
  <c r="AH194" i="3"/>
  <c r="AA85" i="3"/>
  <c r="AH89" i="3"/>
  <c r="AA94" i="3"/>
  <c r="AA95" i="3"/>
  <c r="AA14" i="3"/>
  <c r="AY40" i="19"/>
  <c r="AE26" i="3" s="1"/>
  <c r="AD26" i="3"/>
  <c r="AV62" i="19"/>
  <c r="AE114" i="3" s="1"/>
  <c r="AD114" i="3"/>
  <c r="AV71" i="19"/>
  <c r="AE47" i="3" s="1"/>
  <c r="AD47" i="3"/>
  <c r="AY127" i="19"/>
  <c r="AE196" i="3" s="1"/>
  <c r="AD196" i="3"/>
  <c r="AY172" i="19"/>
  <c r="AE22" i="3" s="1"/>
  <c r="AD22" i="3"/>
  <c r="AV181" i="19"/>
  <c r="AE87" i="3" s="1"/>
  <c r="AD87" i="3"/>
  <c r="AY183" i="19"/>
  <c r="AE88" i="3" s="1"/>
  <c r="AD88" i="3"/>
  <c r="AV96" i="19"/>
  <c r="AE49" i="3" s="1"/>
  <c r="AD49" i="3"/>
  <c r="AU99" i="19"/>
  <c r="AE58" i="3" s="1"/>
  <c r="AU108" i="19"/>
  <c r="AE106" i="3" s="1"/>
  <c r="AV112" i="19"/>
  <c r="AE62" i="3" s="1"/>
  <c r="AD62" i="3"/>
  <c r="AU174" i="19"/>
  <c r="AE185" i="3" s="1"/>
  <c r="AV195" i="19"/>
  <c r="AE97" i="3" s="1"/>
  <c r="AD97" i="3"/>
  <c r="AV198" i="19"/>
  <c r="AE98" i="3" s="1"/>
  <c r="AD98" i="3"/>
  <c r="BA54" i="19"/>
  <c r="AE126" i="3" s="1"/>
  <c r="AV23" i="19"/>
  <c r="AE195" i="3" s="1"/>
  <c r="AD195" i="3"/>
  <c r="AV77" i="19"/>
  <c r="AE117" i="3" s="1"/>
  <c r="AD117" i="3"/>
  <c r="AY122" i="19"/>
  <c r="AE139" i="3" s="1"/>
  <c r="AD139" i="3"/>
  <c r="AV128" i="19"/>
  <c r="AE68" i="3" s="1"/>
  <c r="AD68" i="3"/>
  <c r="AU145" i="19"/>
  <c r="AE109" i="3" s="1"/>
  <c r="AD109" i="3"/>
  <c r="AY167" i="19"/>
  <c r="AE198" i="3" s="1"/>
  <c r="AD198" i="3"/>
  <c r="AX178" i="19"/>
  <c r="AE84" i="3" s="1"/>
  <c r="AD84" i="3"/>
  <c r="AX38" i="19"/>
  <c r="AE118" i="3" s="1"/>
  <c r="AD118" i="3"/>
  <c r="AY46" i="19"/>
  <c r="AE33" i="3" s="1"/>
  <c r="AD33" i="3"/>
  <c r="BA48" i="19"/>
  <c r="AE36" i="3" s="1"/>
  <c r="BA51" i="19"/>
  <c r="AE46" i="3" s="1"/>
  <c r="AV102" i="19"/>
  <c r="AE59" i="3" s="1"/>
  <c r="AD59" i="3"/>
  <c r="AU168" i="19"/>
  <c r="AE184" i="3" s="1"/>
  <c r="AD184" i="3"/>
  <c r="AX170" i="19"/>
  <c r="AE82" i="3" s="1"/>
  <c r="AD82" i="3"/>
  <c r="AV27" i="19"/>
  <c r="AE38" i="3" s="1"/>
  <c r="AD38" i="3"/>
  <c r="AX139" i="19"/>
  <c r="AE108" i="3" s="1"/>
  <c r="AD108" i="3"/>
  <c r="AX162" i="19"/>
  <c r="AE194" i="3" s="1"/>
  <c r="AD194" i="3"/>
  <c r="AU196" i="19"/>
  <c r="AE14" i="3" s="1"/>
  <c r="AD14" i="3"/>
  <c r="AX123" i="19"/>
  <c r="AE66" i="3" s="1"/>
  <c r="AD66" i="3"/>
  <c r="AU160" i="19"/>
  <c r="AE78" i="3" s="1"/>
  <c r="AD78" i="3"/>
  <c r="AX165" i="19"/>
  <c r="AE81" i="3" s="1"/>
  <c r="AD81" i="3"/>
  <c r="AV140" i="19"/>
  <c r="AE73" i="3" s="1"/>
  <c r="AD73" i="3"/>
  <c r="AU146" i="19"/>
  <c r="AE122" i="3" s="1"/>
  <c r="AD122" i="3"/>
  <c r="AX190" i="19"/>
  <c r="AE94" i="3" s="1"/>
  <c r="AD94" i="3"/>
  <c r="AX193" i="19"/>
  <c r="AE95" i="3" s="1"/>
  <c r="AD95" i="3"/>
  <c r="AX18" i="19"/>
  <c r="AE45" i="3" s="1"/>
  <c r="AD45" i="3"/>
  <c r="BA41" i="19"/>
  <c r="AE111" i="3" s="1"/>
  <c r="AV58" i="19"/>
  <c r="AE32" i="3" s="1"/>
  <c r="AD32" i="3"/>
  <c r="AX113" i="19"/>
  <c r="AE107" i="3" s="1"/>
  <c r="AD107" i="3"/>
  <c r="AY126" i="19"/>
  <c r="AE191" i="3" s="1"/>
  <c r="AD191" i="3"/>
  <c r="AU158" i="19"/>
  <c r="AE154" i="3" s="1"/>
  <c r="AD154" i="3"/>
  <c r="AU191" i="19"/>
  <c r="AE136" i="3" s="1"/>
  <c r="AD136" i="3"/>
  <c r="AV30" i="19"/>
  <c r="AE54" i="3" s="1"/>
  <c r="AD54" i="3"/>
  <c r="AY33" i="19"/>
  <c r="AE25" i="3" s="1"/>
  <c r="AD25" i="3"/>
  <c r="AV70" i="19"/>
  <c r="AE35" i="3" s="1"/>
  <c r="AD35" i="3"/>
  <c r="AV119" i="19"/>
  <c r="AE65" i="3" s="1"/>
  <c r="AD65" i="3"/>
  <c r="AY171" i="19"/>
  <c r="AE135" i="3" s="1"/>
  <c r="AD135" i="3"/>
  <c r="AV177" i="19"/>
  <c r="AE83" i="3" s="1"/>
  <c r="AD83" i="3"/>
  <c r="AX185" i="19"/>
  <c r="AE150" i="3" s="1"/>
  <c r="AD150" i="3"/>
  <c r="AV208" i="19"/>
  <c r="AE103" i="3" s="1"/>
  <c r="AD103" i="3"/>
  <c r="AV31" i="19"/>
  <c r="AE145" i="3" s="1"/>
  <c r="AD145" i="3"/>
  <c r="AV34" i="19"/>
  <c r="AE27" i="3" s="1"/>
  <c r="AD27" i="3"/>
  <c r="AV87" i="19"/>
  <c r="AE115" i="3" s="1"/>
  <c r="AD115" i="3"/>
  <c r="AY97" i="19"/>
  <c r="AE56" i="3" s="1"/>
  <c r="AD56" i="3"/>
  <c r="AV114" i="19"/>
  <c r="AE63" i="3" s="1"/>
  <c r="AD63" i="3"/>
  <c r="AY116" i="19"/>
  <c r="AE64" i="3" s="1"/>
  <c r="AD64" i="3"/>
  <c r="AU138" i="19"/>
  <c r="AE134" i="3" s="1"/>
  <c r="AD134" i="3"/>
  <c r="AX52" i="19"/>
  <c r="AE39" i="3" s="1"/>
  <c r="AD39" i="3"/>
  <c r="BA60" i="19"/>
  <c r="AE146" i="3" s="1"/>
  <c r="AV76" i="19"/>
  <c r="AE31" i="3" s="1"/>
  <c r="AD31" i="3"/>
  <c r="AV98" i="19"/>
  <c r="AE57" i="3" s="1"/>
  <c r="AD57" i="3"/>
  <c r="AU104" i="19"/>
  <c r="AE61" i="3" s="1"/>
  <c r="AD61" i="3"/>
  <c r="AY166" i="19"/>
  <c r="AE18" i="3" s="1"/>
  <c r="AD18" i="3"/>
  <c r="AX180" i="19"/>
  <c r="AE86" i="3" s="1"/>
  <c r="AD86" i="3"/>
  <c r="AX205" i="19"/>
  <c r="AE101" i="3" s="1"/>
  <c r="AD101" i="3"/>
  <c r="BA24" i="19"/>
  <c r="AE123" i="3" s="1"/>
  <c r="AY13" i="19"/>
  <c r="AE48" i="3" s="1"/>
  <c r="AD48" i="3"/>
  <c r="AY56" i="19"/>
  <c r="AE41" i="3" s="1"/>
  <c r="AD41" i="3"/>
  <c r="AY64" i="19"/>
  <c r="AE55" i="3" s="1"/>
  <c r="AD55" i="3"/>
  <c r="AY73" i="19"/>
  <c r="AE121" i="3" s="1"/>
  <c r="AD121" i="3"/>
  <c r="AV82" i="19"/>
  <c r="AE30" i="3" s="1"/>
  <c r="AD30" i="3"/>
  <c r="BA89" i="19"/>
  <c r="AE133" i="3" s="1"/>
  <c r="AU147" i="19"/>
  <c r="AE129" i="3" s="1"/>
  <c r="AD129" i="3"/>
  <c r="AU209" i="19"/>
  <c r="AE104" i="3" s="1"/>
  <c r="AD104" i="3"/>
  <c r="N14" i="8"/>
  <c r="L15" i="8"/>
  <c r="L12" i="8"/>
  <c r="M41" i="8"/>
  <c r="C140" i="5"/>
  <c r="D140" i="5" s="1"/>
  <c r="C146" i="5"/>
  <c r="D146" i="5" s="1"/>
  <c r="O11" i="8"/>
  <c r="P11" i="8" s="1"/>
  <c r="P45" i="8" s="1"/>
  <c r="L47" i="8"/>
  <c r="M59" i="8"/>
  <c r="N61" i="8"/>
  <c r="C141" i="5"/>
  <c r="D141" i="5" s="1"/>
  <c r="C143" i="5"/>
  <c r="D143" i="5" s="1"/>
  <c r="O13" i="8"/>
  <c r="P13" i="8" s="1"/>
  <c r="P47" i="8" s="1"/>
  <c r="N60" i="8"/>
  <c r="O5" i="8"/>
  <c r="O39" i="8" s="1"/>
  <c r="L7" i="8"/>
  <c r="N13" i="8"/>
  <c r="L31" i="8"/>
  <c r="N5" i="8"/>
  <c r="N9" i="8"/>
  <c r="N18" i="8"/>
  <c r="N22" i="8"/>
  <c r="N26" i="8"/>
  <c r="M50" i="8"/>
  <c r="L10" i="8"/>
  <c r="O12" i="8"/>
  <c r="P12" i="8" s="1"/>
  <c r="P46" i="8" s="1"/>
  <c r="N30" i="8"/>
  <c r="N34" i="8"/>
  <c r="N8" i="8"/>
  <c r="N17" i="8"/>
  <c r="N21" i="8"/>
  <c r="N25" i="8"/>
  <c r="O28" i="8"/>
  <c r="P28" i="8" s="1"/>
  <c r="P62" i="8" s="1"/>
  <c r="N12" i="8"/>
  <c r="O17" i="8"/>
  <c r="O51" i="8" s="1"/>
  <c r="N29" i="8"/>
  <c r="N33" i="8"/>
  <c r="N52" i="8"/>
  <c r="N55" i="8"/>
  <c r="N7" i="8"/>
  <c r="O10" i="8"/>
  <c r="O44" i="8" s="1"/>
  <c r="N11" i="8"/>
  <c r="N16" i="8"/>
  <c r="N20" i="8"/>
  <c r="N24" i="8"/>
  <c r="N28" i="8"/>
  <c r="N68" i="8"/>
  <c r="L8" i="8"/>
  <c r="N32" i="8"/>
  <c r="N40" i="8"/>
  <c r="N15" i="8"/>
  <c r="N6" i="8"/>
  <c r="O9" i="8"/>
  <c r="P9" i="8" s="1"/>
  <c r="P43" i="8" s="1"/>
  <c r="N10" i="8"/>
  <c r="N19" i="8"/>
  <c r="N23" i="8"/>
  <c r="N27" i="8"/>
  <c r="N49" i="8"/>
  <c r="N62" i="8"/>
  <c r="N67" i="8"/>
  <c r="L11" i="8"/>
  <c r="L16" i="8"/>
  <c r="L20" i="8"/>
  <c r="N31" i="8"/>
  <c r="N53" i="8"/>
  <c r="O7" i="8"/>
  <c r="O41" i="8" s="1"/>
  <c r="O24" i="8"/>
  <c r="P24" i="8" s="1"/>
  <c r="P58" i="8" s="1"/>
  <c r="N46" i="8"/>
  <c r="M56" i="8"/>
  <c r="N66" i="8"/>
  <c r="O19" i="8"/>
  <c r="O53" i="8" s="1"/>
  <c r="O29" i="8"/>
  <c r="P29" i="8" s="1"/>
  <c r="P63" i="8" s="1"/>
  <c r="M42" i="8"/>
  <c r="N45" i="8"/>
  <c r="N65" i="8"/>
  <c r="O6" i="8"/>
  <c r="P6" i="8" s="1"/>
  <c r="P40" i="8" s="1"/>
  <c r="L21" i="8"/>
  <c r="O23" i="8"/>
  <c r="P23" i="8" s="1"/>
  <c r="P57" i="8" s="1"/>
  <c r="M54" i="8"/>
  <c r="N58" i="8"/>
  <c r="O14" i="8"/>
  <c r="O48" i="8" s="1"/>
  <c r="O22" i="8"/>
  <c r="P22" i="8" s="1"/>
  <c r="P56" i="8" s="1"/>
  <c r="M46" i="8"/>
  <c r="L53" i="8"/>
  <c r="N57" i="8"/>
  <c r="M60" i="8"/>
  <c r="N64" i="8"/>
  <c r="O18" i="8"/>
  <c r="O52" i="8" s="1"/>
  <c r="O27" i="8"/>
  <c r="O61" i="8" s="1"/>
  <c r="M52" i="8"/>
  <c r="O21" i="8"/>
  <c r="O55" i="8" s="1"/>
  <c r="M7" i="8"/>
  <c r="L13" i="8"/>
  <c r="L24" i="8"/>
  <c r="L25" i="8"/>
  <c r="O31" i="8"/>
  <c r="P31" i="8" s="1"/>
  <c r="P65" i="8" s="1"/>
  <c r="N42" i="8"/>
  <c r="N48" i="8"/>
  <c r="M58" i="8"/>
  <c r="L65" i="8"/>
  <c r="O8" i="8"/>
  <c r="O42" i="8" s="1"/>
  <c r="O15" i="8"/>
  <c r="P15" i="8" s="1"/>
  <c r="P49" i="8" s="1"/>
  <c r="O33" i="8"/>
  <c r="P33" i="8" s="1"/>
  <c r="P67" i="8" s="1"/>
  <c r="N41" i="8"/>
  <c r="N43" i="8"/>
  <c r="L44" i="8"/>
  <c r="N47" i="8"/>
  <c r="O16" i="8"/>
  <c r="O50" i="8" s="1"/>
  <c r="L23" i="8"/>
  <c r="N54" i="8"/>
  <c r="O25" i="8"/>
  <c r="P25" i="8" s="1"/>
  <c r="P59" i="8" s="1"/>
  <c r="O30" i="8"/>
  <c r="P30" i="8" s="1"/>
  <c r="P64" i="8" s="1"/>
  <c r="L22" i="8"/>
  <c r="N59" i="8"/>
  <c r="U5" i="19"/>
  <c r="T5" i="19"/>
  <c r="U6" i="19"/>
  <c r="T6" i="19"/>
  <c r="U7" i="19"/>
  <c r="L9" i="8"/>
  <c r="N39" i="8"/>
  <c r="N51" i="8"/>
  <c r="M9" i="8"/>
  <c r="M43" i="8"/>
  <c r="L43" i="8"/>
  <c r="N50" i="8"/>
  <c r="M55" i="8"/>
  <c r="L55" i="8"/>
  <c r="L17" i="8"/>
  <c r="L18" i="8"/>
  <c r="M18" i="8"/>
  <c r="L19" i="8"/>
  <c r="L26" i="8"/>
  <c r="L29" i="8"/>
  <c r="M61" i="8"/>
  <c r="L61" i="8"/>
  <c r="M39" i="8"/>
  <c r="L39" i="8"/>
  <c r="L27" i="8"/>
  <c r="N44" i="8"/>
  <c r="N56" i="8"/>
  <c r="L33" i="8"/>
  <c r="L5" i="8"/>
  <c r="L6" i="8"/>
  <c r="O20" i="8"/>
  <c r="M49" i="8"/>
  <c r="L49" i="8"/>
  <c r="N63" i="8"/>
  <c r="O26" i="8"/>
  <c r="M67" i="8"/>
  <c r="L67" i="8"/>
  <c r="O32" i="8"/>
  <c r="O34" i="8"/>
  <c r="L45" i="8"/>
  <c r="L51" i="8"/>
  <c r="L57" i="8"/>
  <c r="L63" i="8"/>
  <c r="L40" i="8"/>
  <c r="P17" i="14"/>
  <c r="P20" i="14"/>
  <c r="P19" i="14"/>
  <c r="P16" i="14"/>
  <c r="O67" i="14"/>
  <c r="O45" i="14"/>
  <c r="O68" i="14"/>
  <c r="O46" i="14"/>
  <c r="P18" i="14"/>
  <c r="O79" i="14"/>
  <c r="B35" i="14"/>
  <c r="O34" i="14"/>
  <c r="B57" i="14"/>
  <c r="O56" i="14"/>
  <c r="P21" i="14"/>
  <c r="O24" i="14"/>
  <c r="O78" i="14"/>
  <c r="AG36" i="3" l="1"/>
  <c r="AB36" i="3"/>
  <c r="AG133" i="3"/>
  <c r="AB133" i="3"/>
  <c r="AB44" i="3"/>
  <c r="AG44" i="3"/>
  <c r="AG46" i="3"/>
  <c r="AB46" i="3"/>
  <c r="AB148" i="3"/>
  <c r="AG148" i="3"/>
  <c r="AB123" i="3"/>
  <c r="AG123" i="3"/>
  <c r="AG76" i="3"/>
  <c r="AB76" i="3"/>
  <c r="AG111" i="3"/>
  <c r="AB111" i="3"/>
  <c r="AB126" i="3"/>
  <c r="AG126" i="3"/>
  <c r="AB146" i="3"/>
  <c r="AG146" i="3"/>
  <c r="AG193" i="3"/>
  <c r="AB193" i="3"/>
  <c r="AB42" i="3"/>
  <c r="AG42" i="3"/>
  <c r="AB131" i="3"/>
  <c r="AG131" i="3"/>
  <c r="AB40" i="3"/>
  <c r="AG40" i="3"/>
  <c r="O63" i="8"/>
  <c r="P19" i="8"/>
  <c r="P53" i="8" s="1"/>
  <c r="P5" i="8"/>
  <c r="P39" i="8" s="1"/>
  <c r="P17" i="8"/>
  <c r="P51" i="8" s="1"/>
  <c r="P8" i="8"/>
  <c r="P42" i="8" s="1"/>
  <c r="P18" i="8"/>
  <c r="P52" i="8" s="1"/>
  <c r="O43" i="8"/>
  <c r="O67" i="8"/>
  <c r="P21" i="8"/>
  <c r="P55" i="8" s="1"/>
  <c r="O47" i="8"/>
  <c r="P14" i="8"/>
  <c r="P48" i="8" s="1"/>
  <c r="O59" i="8"/>
  <c r="P27" i="8"/>
  <c r="P61" i="8" s="1"/>
  <c r="O45" i="8"/>
  <c r="E146" i="5"/>
  <c r="AB109" i="3"/>
  <c r="AG109" i="3"/>
  <c r="AB33" i="3"/>
  <c r="AG33" i="3"/>
  <c r="AB17" i="3"/>
  <c r="AG17" i="3"/>
  <c r="AB79" i="3"/>
  <c r="AG79" i="3"/>
  <c r="AB190" i="3"/>
  <c r="AG190" i="3"/>
  <c r="AB184" i="3"/>
  <c r="AG184" i="3"/>
  <c r="P7" i="8"/>
  <c r="P41" i="8" s="1"/>
  <c r="AB82" i="3"/>
  <c r="AG82" i="3"/>
  <c r="AB182" i="3"/>
  <c r="AG182" i="3"/>
  <c r="AB119" i="3"/>
  <c r="AG119" i="3"/>
  <c r="AB106" i="3"/>
  <c r="AG106" i="3"/>
  <c r="AB26" i="3"/>
  <c r="AG26" i="3"/>
  <c r="AB124" i="3"/>
  <c r="AG124" i="3"/>
  <c r="AB67" i="3"/>
  <c r="AG67" i="3"/>
  <c r="AB45" i="3"/>
  <c r="AG45" i="3"/>
  <c r="AB191" i="3"/>
  <c r="AG191" i="3"/>
  <c r="AB105" i="3"/>
  <c r="AG105" i="3"/>
  <c r="AB74" i="3"/>
  <c r="AG74" i="3"/>
  <c r="AB129" i="3"/>
  <c r="AG129" i="3"/>
  <c r="AB91" i="3"/>
  <c r="AG91" i="3"/>
  <c r="AB53" i="3"/>
  <c r="AG53" i="3"/>
  <c r="AB32" i="3"/>
  <c r="AG32" i="3"/>
  <c r="AB139" i="3"/>
  <c r="AG139" i="3"/>
  <c r="AB29" i="3"/>
  <c r="AG29" i="3"/>
  <c r="AB183" i="3"/>
  <c r="AG183" i="3"/>
  <c r="AB97" i="3"/>
  <c r="AG97" i="3"/>
  <c r="AB85" i="3"/>
  <c r="AG85" i="3"/>
  <c r="AB57" i="3"/>
  <c r="AG57" i="3"/>
  <c r="AB39" i="3"/>
  <c r="AG39" i="3"/>
  <c r="AB47" i="3"/>
  <c r="AG47" i="3"/>
  <c r="AB64" i="3"/>
  <c r="AG64" i="3"/>
  <c r="AB95" i="3"/>
  <c r="AG95" i="3"/>
  <c r="AB98" i="3"/>
  <c r="AG98" i="3"/>
  <c r="AB84" i="3"/>
  <c r="AG84" i="3"/>
  <c r="AB80" i="3"/>
  <c r="AG80" i="3"/>
  <c r="AB56" i="3"/>
  <c r="AG56" i="3"/>
  <c r="AB59" i="3"/>
  <c r="AG59" i="3"/>
  <c r="AB35" i="3"/>
  <c r="AG35" i="3"/>
  <c r="AB34" i="3"/>
  <c r="AG34" i="3"/>
  <c r="AB65" i="3"/>
  <c r="AG65" i="3"/>
  <c r="AB87" i="3"/>
  <c r="AG87" i="3"/>
  <c r="AB66" i="3"/>
  <c r="AG66" i="3"/>
  <c r="AB43" i="3"/>
  <c r="AG43" i="3"/>
  <c r="AB75" i="3"/>
  <c r="AG75" i="3"/>
  <c r="AB37" i="3"/>
  <c r="AG37" i="3"/>
  <c r="AB60" i="3"/>
  <c r="AG60" i="3"/>
  <c r="AB107" i="3"/>
  <c r="AG107" i="3"/>
  <c r="AB92" i="3"/>
  <c r="AG92" i="3"/>
  <c r="AB22" i="3"/>
  <c r="AG22" i="3"/>
  <c r="AB103" i="3"/>
  <c r="AG103" i="3"/>
  <c r="AB195" i="3"/>
  <c r="AG195" i="3"/>
  <c r="AB122" i="3"/>
  <c r="AG122" i="3"/>
  <c r="AB154" i="3"/>
  <c r="AG154" i="3"/>
  <c r="AB30" i="3"/>
  <c r="AG30" i="3"/>
  <c r="AB117" i="3"/>
  <c r="AG117" i="3"/>
  <c r="AB88" i="3"/>
  <c r="AG88" i="3"/>
  <c r="AB14" i="3"/>
  <c r="AG14" i="3"/>
  <c r="AB69" i="3"/>
  <c r="AG69" i="3"/>
  <c r="AB135" i="3"/>
  <c r="AG135" i="3"/>
  <c r="AB101" i="3"/>
  <c r="AG101" i="3"/>
  <c r="AB118" i="3"/>
  <c r="AG118" i="3"/>
  <c r="AB27" i="3"/>
  <c r="AG27" i="3"/>
  <c r="AB145" i="3"/>
  <c r="AG145" i="3"/>
  <c r="AB114" i="3"/>
  <c r="AG114" i="3"/>
  <c r="AB18" i="3"/>
  <c r="AG18" i="3"/>
  <c r="AB62" i="3"/>
  <c r="AG62" i="3"/>
  <c r="AB83" i="3"/>
  <c r="AG83" i="3"/>
  <c r="AB196" i="3"/>
  <c r="AG196" i="3"/>
  <c r="AB68" i="3"/>
  <c r="AG68" i="3"/>
  <c r="AB99" i="3"/>
  <c r="AG99" i="3"/>
  <c r="AB25" i="3"/>
  <c r="AG25" i="3"/>
  <c r="AB198" i="3"/>
  <c r="AG198" i="3"/>
  <c r="AB48" i="3"/>
  <c r="AG48" i="3"/>
  <c r="AB100" i="3"/>
  <c r="AG100" i="3"/>
  <c r="AB150" i="3"/>
  <c r="AG150" i="3"/>
  <c r="AB115" i="3"/>
  <c r="AG115" i="3"/>
  <c r="AB54" i="3"/>
  <c r="AG54" i="3"/>
  <c r="AB121" i="3"/>
  <c r="AG121" i="3"/>
  <c r="AB86" i="3"/>
  <c r="AG86" i="3"/>
  <c r="AB81" i="3"/>
  <c r="AG81" i="3"/>
  <c r="AB70" i="3"/>
  <c r="AG70" i="3"/>
  <c r="AB96" i="3"/>
  <c r="AG96" i="3"/>
  <c r="AB185" i="3"/>
  <c r="AG185" i="3"/>
  <c r="AB61" i="3"/>
  <c r="AG61" i="3"/>
  <c r="AB52" i="3"/>
  <c r="AG52" i="3"/>
  <c r="AB102" i="3"/>
  <c r="AG102" i="3"/>
  <c r="AB38" i="3"/>
  <c r="AG38" i="3"/>
  <c r="AB71" i="3"/>
  <c r="AG71" i="3"/>
  <c r="AB50" i="3"/>
  <c r="AG50" i="3"/>
  <c r="AB77" i="3"/>
  <c r="AG77" i="3"/>
  <c r="AB90" i="3"/>
  <c r="AG90" i="3"/>
  <c r="AB51" i="3"/>
  <c r="AG51" i="3"/>
  <c r="AB78" i="3"/>
  <c r="AG78" i="3"/>
  <c r="AB73" i="3"/>
  <c r="AG73" i="3"/>
  <c r="AB55" i="3"/>
  <c r="AG55" i="3"/>
  <c r="AB104" i="3"/>
  <c r="AG104" i="3"/>
  <c r="AB94" i="3"/>
  <c r="AG94" i="3"/>
  <c r="AB130" i="3"/>
  <c r="AG130" i="3"/>
  <c r="AB93" i="3"/>
  <c r="AG93" i="3"/>
  <c r="AB136" i="3"/>
  <c r="AG136" i="3"/>
  <c r="AB134" i="3"/>
  <c r="AG134" i="3"/>
  <c r="AB108" i="3"/>
  <c r="AG108" i="3"/>
  <c r="AB41" i="3"/>
  <c r="AG41" i="3"/>
  <c r="AB23" i="3"/>
  <c r="AG23" i="3"/>
  <c r="AB194" i="3"/>
  <c r="AG194" i="3"/>
  <c r="AB49" i="3"/>
  <c r="AG49" i="3"/>
  <c r="AB63" i="3"/>
  <c r="AG63" i="3"/>
  <c r="AB31" i="3"/>
  <c r="AG31" i="3"/>
  <c r="AB89" i="3"/>
  <c r="AG89" i="3"/>
  <c r="O57" i="8"/>
  <c r="P10" i="8"/>
  <c r="P44" i="8" s="1"/>
  <c r="O58" i="8"/>
  <c r="O62" i="8"/>
  <c r="E144" i="5"/>
  <c r="E140" i="5"/>
  <c r="E141" i="5"/>
  <c r="E139" i="5"/>
  <c r="P16" i="8"/>
  <c r="P50" i="8" s="1"/>
  <c r="O49" i="8"/>
  <c r="O40" i="8"/>
  <c r="O65" i="8"/>
  <c r="O56" i="8"/>
  <c r="E142" i="5"/>
  <c r="O64" i="8"/>
  <c r="O46" i="8"/>
  <c r="E143" i="5"/>
  <c r="T7" i="19"/>
  <c r="Q5" i="19"/>
  <c r="P5" i="19"/>
  <c r="M5" i="19"/>
  <c r="O5" i="19"/>
  <c r="L5" i="19"/>
  <c r="N5" i="19"/>
  <c r="L6" i="19"/>
  <c r="P6" i="19"/>
  <c r="O6" i="19"/>
  <c r="N6" i="19"/>
  <c r="M6" i="19"/>
  <c r="Q6" i="19"/>
  <c r="P31" i="14"/>
  <c r="P28" i="14"/>
  <c r="P33" i="14"/>
  <c r="P27" i="14"/>
  <c r="P32" i="14"/>
  <c r="P30" i="14"/>
  <c r="P29" i="14"/>
  <c r="O35" i="14"/>
  <c r="O66" i="8"/>
  <c r="P32" i="8"/>
  <c r="P66" i="8" s="1"/>
  <c r="O54" i="8"/>
  <c r="P20" i="8"/>
  <c r="P54" i="8" s="1"/>
  <c r="P76" i="14"/>
  <c r="P75" i="14"/>
  <c r="P72" i="14"/>
  <c r="P77" i="14"/>
  <c r="P71" i="14"/>
  <c r="P74" i="14"/>
  <c r="P73" i="14"/>
  <c r="P34" i="8"/>
  <c r="P68" i="8" s="1"/>
  <c r="O68" i="8"/>
  <c r="P62" i="14"/>
  <c r="P61" i="14"/>
  <c r="P64" i="14"/>
  <c r="P63" i="14"/>
  <c r="P60" i="14"/>
  <c r="P66" i="14"/>
  <c r="P65" i="14"/>
  <c r="P39" i="14"/>
  <c r="P42" i="14"/>
  <c r="P41" i="14"/>
  <c r="P40" i="14"/>
  <c r="P38" i="14"/>
  <c r="P44" i="14"/>
  <c r="P43" i="14"/>
  <c r="E145" i="5"/>
  <c r="P54" i="14"/>
  <c r="P53" i="14"/>
  <c r="P50" i="14"/>
  <c r="P55" i="14"/>
  <c r="P49" i="14"/>
  <c r="P52" i="14"/>
  <c r="P51" i="14"/>
  <c r="O57" i="14"/>
  <c r="O60" i="8"/>
  <c r="P26" i="8"/>
  <c r="P60" i="8" s="1"/>
  <c r="N7" i="19" l="1"/>
  <c r="L7" i="19"/>
  <c r="R5" i="19"/>
  <c r="O7" i="19"/>
  <c r="M7" i="19"/>
  <c r="P7" i="19"/>
  <c r="R6" i="19"/>
  <c r="BC5" i="19" s="1"/>
  <c r="Q7" i="19"/>
  <c r="R7" i="19" l="1"/>
  <c r="BC4" i="19"/>
  <c r="S5" i="19"/>
  <c r="S6" i="19"/>
  <c r="S7" i="19" l="1"/>
  <c r="L58" i="5" l="1" a="1"/>
  <c r="L58" i="5" s="1"/>
  <c r="M58" i="5" s="1"/>
  <c r="K58" i="5" l="1"/>
  <c r="L65" i="5"/>
  <c r="M65" i="5" l="1"/>
  <c r="L69" i="5"/>
  <c r="M69" i="5" s="1"/>
  <c r="K65" i="5"/>
  <c r="K69" i="5"/>
  <c r="S6" i="20" l="1"/>
  <c r="R6" i="20"/>
  <c r="R7" i="20" s="1"/>
  <c r="S7" i="20"/>
  <c r="J6" i="20" l="1"/>
  <c r="K6" i="20"/>
  <c r="K7" i="20" s="1"/>
  <c r="O6" i="20"/>
  <c r="O7" i="20" s="1"/>
  <c r="M6" i="20"/>
  <c r="M7" i="20" s="1"/>
  <c r="N6" i="20"/>
  <c r="N7" i="20" s="1"/>
  <c r="L6" i="20"/>
  <c r="L7" i="20" s="1"/>
  <c r="P6" i="20" l="1"/>
  <c r="J7" i="20"/>
  <c r="P7" i="20" l="1"/>
  <c r="AU5" i="19"/>
  <c r="AT5" i="19"/>
  <c r="AS5" i="19"/>
  <c r="AR5" i="19"/>
  <c r="AQ5" i="19"/>
  <c r="AP5" i="19"/>
  <c r="AO5" i="19"/>
  <c r="AN5" i="19"/>
  <c r="AM5" i="19"/>
  <c r="AL5" i="19"/>
  <c r="AK5" i="19"/>
  <c r="L4" i="3" l="1"/>
  <c r="M4" i="3"/>
  <c r="J2" i="24" s="1"/>
  <c r="E6" i="3"/>
  <c r="B4" i="24" l="1"/>
  <c r="M6" i="3" a="1"/>
  <c r="M6" i="3" s="1"/>
  <c r="J4" i="24" s="1"/>
  <c r="AL48" i="3"/>
  <c r="N4" i="3" s="1"/>
  <c r="K2" i="24" s="1"/>
  <c r="I2" i="24"/>
  <c r="L6" i="3"/>
  <c r="AN48" i="3" l="1"/>
  <c r="AK49" i="3" s="1"/>
  <c r="N6" i="3" s="1"/>
  <c r="K4" i="24" s="1"/>
  <c r="I4" i="24"/>
  <c r="B10" i="24" s="1"/>
  <c r="B8" i="24"/>
  <c r="D8" i="24"/>
  <c r="E8" i="24"/>
  <c r="F8" i="24"/>
  <c r="C8" i="24"/>
  <c r="C10" i="24" l="1"/>
  <c r="D10" i="24"/>
  <c r="F10" i="24"/>
  <c r="E10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D3E08-286F-4474-B835-3DA7A3C30097}" keepAlive="1" name="Query - Comb_Div" description="Connection to the 'Comb_Div' query in the workbook." type="5" refreshedVersion="8" background="1" saveData="1">
    <dbPr connection="Provider=Microsoft.Mashup.OleDb.1;Data Source=$Workbook$;Location=Comb_Div;Extended Properties=&quot;&quot;" command="SELECT * FROM [Comb_Div]"/>
  </connection>
  <connection id="2" xr16:uid="{E070C48A-AFB9-40AB-AC92-678E730FC97C}" keepAlive="1" name="Query - Dim_Combination" description="Connection to the 'Dim_Combination' query in the workbook." type="5" refreshedVersion="8" background="1" saveData="1">
    <dbPr connection="Provider=Microsoft.Mashup.OleDb.1;Data Source=$Workbook$;Location=Dim_Combination;Extended Properties=&quot;&quot;" command="SELECT * FROM [Dim_Combination]"/>
  </connection>
  <connection id="3" xr16:uid="{A079C264-F6B2-4D95-84DC-15CBA17E11B6}" keepAlive="1" name="Query - Dim_Student" description="Connection to the 'Dim_Student' query in the workbook." type="5" refreshedVersion="8" background="1" saveData="1">
    <dbPr connection="Provider=Microsoft.Mashup.OleDb.1;Data Source=$Workbook$;Location=Dim_Student;Extended Properties=&quot;&quot;" command="SELECT * FROM [Dim_Student]"/>
  </connection>
  <connection id="4" xr16:uid="{9F6CCD80-A41E-4EB0-9682-857447395365}" keepAlive="1" name="Query - Fact_Student_Result" description="Connection to the 'Fact_Student_Result' query in the workbook." type="5" refreshedVersion="8" background="1" saveData="1">
    <dbPr connection="Provider=Microsoft.Mashup.OleDb.1;Data Source=$Workbook$;Location=Fact_Student_Result;Extended Properties=&quot;&quot;" command="SELECT * FROM [Fact_Student_Result]"/>
  </connection>
  <connection id="5" xr16:uid="{31B1FEEC-7F5F-44BA-A6A0-3740FC2EF604}" keepAlive="1" name="Query - Fact_Subject_Grade" description="Connection to the 'Fact_Subject_Grade' query in the workbook." type="5" refreshedVersion="8" background="1" saveData="1">
    <dbPr connection="Provider=Microsoft.Mashup.OleDb.1;Data Source=$Workbook$;Location=Fact_Subject_Grade;Extended Properties=&quot;&quot;" command="SELECT * FROM [Fact_Subject_Grad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<sst xmlns="http://schemas.openxmlformats.org/spreadsheetml/2006/main" count="19931" uniqueCount="1042">
  <si>
    <t>GPA Grade</t>
  </si>
  <si>
    <t>Performance</t>
  </si>
  <si>
    <t>A</t>
  </si>
  <si>
    <t>B</t>
  </si>
  <si>
    <t>C</t>
  </si>
  <si>
    <t>D</t>
  </si>
  <si>
    <t>E</t>
  </si>
  <si>
    <t>S</t>
  </si>
  <si>
    <t>F</t>
  </si>
  <si>
    <t>Grade</t>
  </si>
  <si>
    <t>I</t>
  </si>
  <si>
    <t>II</t>
  </si>
  <si>
    <t>III</t>
  </si>
  <si>
    <t>IV</t>
  </si>
  <si>
    <t>ST. JUDE'S SECONDARY SCHOOL  ·  F6 NECTA RESULTS  ·  2026  ·  190 STUDENTS</t>
  </si>
  <si>
    <t>CAND NO</t>
  </si>
  <si>
    <t>YEAR</t>
  </si>
  <si>
    <t>PREM_NO</t>
  </si>
  <si>
    <t>FULL NAME</t>
  </si>
  <si>
    <t>COMB</t>
  </si>
  <si>
    <t>Group</t>
  </si>
  <si>
    <t>SEX</t>
  </si>
  <si>
    <t>DIV</t>
  </si>
  <si>
    <t>FROM</t>
  </si>
  <si>
    <t>GS</t>
  </si>
  <si>
    <t>HIST</t>
  </si>
  <si>
    <t>GEOG</t>
  </si>
  <si>
    <t>KISW</t>
  </si>
  <si>
    <t>ENGL</t>
  </si>
  <si>
    <t>PHY</t>
  </si>
  <si>
    <t>CHEM</t>
  </si>
  <si>
    <t>BIOL</t>
  </si>
  <si>
    <t>AGR</t>
  </si>
  <si>
    <t>BAM</t>
  </si>
  <si>
    <t>ADV.MATH</t>
  </si>
  <si>
    <t>ECON</t>
  </si>
  <si>
    <t>COMM</t>
  </si>
  <si>
    <t>ACCOU</t>
  </si>
  <si>
    <t>S4459/0501</t>
  </si>
  <si>
    <t>AGATHA ISACK MMBAGA</t>
  </si>
  <si>
    <t>HGK</t>
  </si>
  <si>
    <t>Arts</t>
  </si>
  <si>
    <t>ST.JUDE</t>
  </si>
  <si>
    <t>S4459/0502</t>
  </si>
  <si>
    <t>ANGELA ANYITIKE MBUBA</t>
  </si>
  <si>
    <t>HGL</t>
  </si>
  <si>
    <t>S4459/0503</t>
  </si>
  <si>
    <t>DIANA METIAKI LENG'IRIA</t>
  </si>
  <si>
    <t>S4459/0504</t>
  </si>
  <si>
    <t>DORIS GEORGE NYENGA</t>
  </si>
  <si>
    <t>S4459/0505</t>
  </si>
  <si>
    <t>FLORENSIA EMMANUEL MOLLEL</t>
  </si>
  <si>
    <t>S4459/0506</t>
  </si>
  <si>
    <t>GENIA HAMISI SANSA</t>
  </si>
  <si>
    <t>S4459/0507</t>
  </si>
  <si>
    <t>GIFT ZAKARIA KITUNDU</t>
  </si>
  <si>
    <t>S4459/0508</t>
  </si>
  <si>
    <t>IRENE GEORGE OROTHA</t>
  </si>
  <si>
    <t>S4459/0509</t>
  </si>
  <si>
    <t>JOYCE STEPHEN SAKARA</t>
  </si>
  <si>
    <t>S4459/0510</t>
  </si>
  <si>
    <t>JULIANA GASPER TESHA</t>
  </si>
  <si>
    <t>S4459/0511</t>
  </si>
  <si>
    <t>LINDA SOLOMON LUKUMAY</t>
  </si>
  <si>
    <t>S4459/0512</t>
  </si>
  <si>
    <t>MARIA EMANUEL CRISPIN</t>
  </si>
  <si>
    <t>S4459/0513</t>
  </si>
  <si>
    <t>NAJMA JUMA MPEMBA</t>
  </si>
  <si>
    <t>S4459/0514</t>
  </si>
  <si>
    <t>NORA EMANUEL KIRIA</t>
  </si>
  <si>
    <t>S4459/0515</t>
  </si>
  <si>
    <t>OPRA DASTAN MHINA</t>
  </si>
  <si>
    <t>S4459/0516</t>
  </si>
  <si>
    <t>RACHEL FESTO NDAGO</t>
  </si>
  <si>
    <t>S4459/0517</t>
  </si>
  <si>
    <t>RAHABU GIDEON MADUKA</t>
  </si>
  <si>
    <t>S4459/0518</t>
  </si>
  <si>
    <t>SARA MIRAJI MSHAKANGOTO</t>
  </si>
  <si>
    <t>S4459/0519</t>
  </si>
  <si>
    <t>SIJAWA MSAFIRI MNYONGE</t>
  </si>
  <si>
    <t>S4459/0520</t>
  </si>
  <si>
    <t>THERESIA JOHN MREMA</t>
  </si>
  <si>
    <t>S4459/0521</t>
  </si>
  <si>
    <t>ABUBAKARI KIBWANA MNGODO</t>
  </si>
  <si>
    <t>M</t>
  </si>
  <si>
    <t>S4459/0522</t>
  </si>
  <si>
    <t>FRED JOSEPH MASWI</t>
  </si>
  <si>
    <t>S4459/0523</t>
  </si>
  <si>
    <t>JAMES CHARLES MAHIMBO</t>
  </si>
  <si>
    <t>S4459/0524</t>
  </si>
  <si>
    <t>ROBERT ALBART LAWALAWA</t>
  </si>
  <si>
    <t>S4459/0525</t>
  </si>
  <si>
    <t>SAMWEL JEREMIA OWISO</t>
  </si>
  <si>
    <t>S4459/0526</t>
  </si>
  <si>
    <t>GVT</t>
  </si>
  <si>
    <t>S4459/0527</t>
  </si>
  <si>
    <t>ANGELA FRANK SEMHANDO</t>
  </si>
  <si>
    <t>S4459/0528</t>
  </si>
  <si>
    <t>ANJELA ELISANTE KIRWAY</t>
  </si>
  <si>
    <t>S4459/0529</t>
  </si>
  <si>
    <t>S4459/0530</t>
  </si>
  <si>
    <t>S4459/0531</t>
  </si>
  <si>
    <t>S4459/0532</t>
  </si>
  <si>
    <t>GLORIA ELISANTE MBISE</t>
  </si>
  <si>
    <t>S4459/0533</t>
  </si>
  <si>
    <t>HAPPYNESS LUCIANI BOI</t>
  </si>
  <si>
    <t>S4459/0534</t>
  </si>
  <si>
    <t>HAPPYNESS NIKODEMUS MATAYO</t>
  </si>
  <si>
    <t>S4459/0535</t>
  </si>
  <si>
    <t>HAPPYNESS SALIM KIMOLO</t>
  </si>
  <si>
    <t>S4459/0536</t>
  </si>
  <si>
    <t>JOAN JOSIA MSECHU</t>
  </si>
  <si>
    <t>S4459/0537</t>
  </si>
  <si>
    <t>JUDITH PASKALI MWESONGO</t>
  </si>
  <si>
    <t>S4459/0538</t>
  </si>
  <si>
    <t>S4459/0539</t>
  </si>
  <si>
    <t>MAGRETH JOFREY DAUDI</t>
  </si>
  <si>
    <t>S4459/0540</t>
  </si>
  <si>
    <t>MARY RAPHAEL KIMBEI</t>
  </si>
  <si>
    <t>S4459/0541</t>
  </si>
  <si>
    <t>PASKALINA TARMO QAMARA</t>
  </si>
  <si>
    <t>S4459/0542</t>
  </si>
  <si>
    <t>QUEEN AYUBU LAIZER</t>
  </si>
  <si>
    <t>S4459/0543</t>
  </si>
  <si>
    <t>ROSEMARY CHRISTOPHER CHIMATU</t>
  </si>
  <si>
    <t>S4459/0544</t>
  </si>
  <si>
    <t>SCOLA PETER NNKO</t>
  </si>
  <si>
    <t>S4459/0545</t>
  </si>
  <si>
    <t>S4459/0546</t>
  </si>
  <si>
    <t>S4459/0547</t>
  </si>
  <si>
    <t>ZUBEDA ISMAIL MKAMBA</t>
  </si>
  <si>
    <t>S4459/0548</t>
  </si>
  <si>
    <t>S4459/0549</t>
  </si>
  <si>
    <t>S4459/0550</t>
  </si>
  <si>
    <t>S4459/0551</t>
  </si>
  <si>
    <t>S4459/0552</t>
  </si>
  <si>
    <t>S4459/0553</t>
  </si>
  <si>
    <t>S4459/0554</t>
  </si>
  <si>
    <t>AGATHA FRANCIS MAMSERI</t>
  </si>
  <si>
    <t>EGM</t>
  </si>
  <si>
    <t>S4459/0555</t>
  </si>
  <si>
    <t>AMINA MOHAMMED HAMIS</t>
  </si>
  <si>
    <t>S4459/0556</t>
  </si>
  <si>
    <t>ANNA PETER HIDA</t>
  </si>
  <si>
    <t>S4459/0557</t>
  </si>
  <si>
    <t>BAHATI TADEUS SHIKONY</t>
  </si>
  <si>
    <t>S4459/0558</t>
  </si>
  <si>
    <t>CHRISTINA TITO SAMBAI</t>
  </si>
  <si>
    <t>S4459/0559</t>
  </si>
  <si>
    <t>ESTHER DAUDI MAZENGO</t>
  </si>
  <si>
    <t>S4459/0560</t>
  </si>
  <si>
    <t>GLORIA GIDEON LUKUMAI</t>
  </si>
  <si>
    <t>S4459/0561</t>
  </si>
  <si>
    <t>GWANTWA ASWILE KIBONA</t>
  </si>
  <si>
    <t>S4459/0562</t>
  </si>
  <si>
    <t>MWANAHAWA HUSSEIN BEWA</t>
  </si>
  <si>
    <t>S4459/0563</t>
  </si>
  <si>
    <t>NEEMA LAZARO MSENGI</t>
  </si>
  <si>
    <t>S4459/0564</t>
  </si>
  <si>
    <t>SAYUNI JASTIN MOLLEL</t>
  </si>
  <si>
    <t>S4459/0565</t>
  </si>
  <si>
    <t>SERAFIA LEBAHATI LAIZER</t>
  </si>
  <si>
    <t>S4459/0566</t>
  </si>
  <si>
    <t>ZIPORA TACHI MRAMBA</t>
  </si>
  <si>
    <t>S4459/0567</t>
  </si>
  <si>
    <t>ALBATH SOSPETER KATEMI</t>
  </si>
  <si>
    <t>S4459/0568</t>
  </si>
  <si>
    <t>ALLY YUSUPH MSANGI</t>
  </si>
  <si>
    <t>S4459/0569</t>
  </si>
  <si>
    <t>ARNOLD ERNEST TSAKARA</t>
  </si>
  <si>
    <t>S4459/0570</t>
  </si>
  <si>
    <t>DAMAS JOSEPH KIDAYA</t>
  </si>
  <si>
    <t>S4459/0571</t>
  </si>
  <si>
    <t>ERICK DAUDI OLODI</t>
  </si>
  <si>
    <t>S4459/0572</t>
  </si>
  <si>
    <t>ERICK DAVID MNANKA</t>
  </si>
  <si>
    <t>S4459/0573</t>
  </si>
  <si>
    <t>GASTON CALIST MWASE</t>
  </si>
  <si>
    <t>S4459/0574</t>
  </si>
  <si>
    <t>INNOCENT STEPHANO BATLAITE</t>
  </si>
  <si>
    <t>S4459/0575</t>
  </si>
  <si>
    <t>JOSEPH SEBASTIANI MELKIADI</t>
  </si>
  <si>
    <t>S4459/0576</t>
  </si>
  <si>
    <t>KENNEDY STEVEN KAWELE</t>
  </si>
  <si>
    <t>S4459/0577</t>
  </si>
  <si>
    <t>OMARI AYUBU MOHAMEDI</t>
  </si>
  <si>
    <t>S4459/0578</t>
  </si>
  <si>
    <t>RAMADHAN YUSUPH MPINGA</t>
  </si>
  <si>
    <t>S4459/0579</t>
  </si>
  <si>
    <t>ROMANO JULIUS KRINYI</t>
  </si>
  <si>
    <t>S4459/0580</t>
  </si>
  <si>
    <t>YASIR SHAFI MUNISI</t>
  </si>
  <si>
    <t>S4459/0581</t>
  </si>
  <si>
    <t>ADOLFINA GABRIEL SHIRIMA</t>
  </si>
  <si>
    <t>PCM</t>
  </si>
  <si>
    <t>S4459/0582</t>
  </si>
  <si>
    <t>BRENDA JOSEPH KISAKA</t>
  </si>
  <si>
    <t>S4459/0583</t>
  </si>
  <si>
    <t>DIANA PROSPER KILEO</t>
  </si>
  <si>
    <t>S4459/0584</t>
  </si>
  <si>
    <t>ELIZABETH ISMAILI MWENDO</t>
  </si>
  <si>
    <t>S4459/0585</t>
  </si>
  <si>
    <t>ELIZABETH VITUC FRANCIS</t>
  </si>
  <si>
    <t>S4459/0586</t>
  </si>
  <si>
    <t>LUCIANA SAULI LESSION</t>
  </si>
  <si>
    <t>S4459/0587</t>
  </si>
  <si>
    <t>MAGDALENA ROBERT FABIAN</t>
  </si>
  <si>
    <t>S4459/0588</t>
  </si>
  <si>
    <t>MARIAMU MOHAMED SELEMANI</t>
  </si>
  <si>
    <t>S4459/0589</t>
  </si>
  <si>
    <t>MARRY JACKSON MWEMA</t>
  </si>
  <si>
    <t>S4459/0590</t>
  </si>
  <si>
    <t>S4459/0591</t>
  </si>
  <si>
    <t>NORA ELIAS MKUDE</t>
  </si>
  <si>
    <t>S4459/0592</t>
  </si>
  <si>
    <t>S4459/0593</t>
  </si>
  <si>
    <t>ALEKIUS SLIVERY KAZOBA</t>
  </si>
  <si>
    <t>S4459/0594</t>
  </si>
  <si>
    <t>BABAETU LOISHIYE SARUNI</t>
  </si>
  <si>
    <t>S4459/0595</t>
  </si>
  <si>
    <t>DANIEL EVATHONY MWANZIA</t>
  </si>
  <si>
    <t>S4459/0596</t>
  </si>
  <si>
    <t>S4459/0597</t>
  </si>
  <si>
    <t>S4459/0598</t>
  </si>
  <si>
    <t>GWAATEMA THOMAS SUMAWE</t>
  </si>
  <si>
    <t>S4459/0599</t>
  </si>
  <si>
    <t>HENRY REVOCATUS SHELEMBI</t>
  </si>
  <si>
    <t>S4459/0600</t>
  </si>
  <si>
    <t>S4459/0601</t>
  </si>
  <si>
    <t>JASTINI ELIAON SHAO</t>
  </si>
  <si>
    <t>S4459/0602</t>
  </si>
  <si>
    <t>S4459/0603</t>
  </si>
  <si>
    <t>S4459/0604</t>
  </si>
  <si>
    <t>S4459/0605</t>
  </si>
  <si>
    <t>S4459/0606</t>
  </si>
  <si>
    <t>MICHAEL FRANK URIO</t>
  </si>
  <si>
    <t>S4459/0607</t>
  </si>
  <si>
    <t>S4459/0608</t>
  </si>
  <si>
    <t>YASSIN YUSUPH RASHIDY</t>
  </si>
  <si>
    <t>S4459/0609</t>
  </si>
  <si>
    <t>PCB</t>
  </si>
  <si>
    <t>S4459/0610</t>
  </si>
  <si>
    <t>ANNASTAZIA YONA ANDREA</t>
  </si>
  <si>
    <t>S4459/0611</t>
  </si>
  <si>
    <t>S4459/0612</t>
  </si>
  <si>
    <t>S4459/0613</t>
  </si>
  <si>
    <t>DORCAS SHABANI MSANGI</t>
  </si>
  <si>
    <t>S4459/0614</t>
  </si>
  <si>
    <t>S4459/0615</t>
  </si>
  <si>
    <t>S4459/0616</t>
  </si>
  <si>
    <t>S4459/0617</t>
  </si>
  <si>
    <t>S4459/0618</t>
  </si>
  <si>
    <t>S4459/0619</t>
  </si>
  <si>
    <t>GLORIA ALBINI VICENT</t>
  </si>
  <si>
    <t>S4459/0620</t>
  </si>
  <si>
    <t>S4459/0621</t>
  </si>
  <si>
    <t>JULIANA JOHN NGOMUO</t>
  </si>
  <si>
    <t>S4459/0622</t>
  </si>
  <si>
    <t>S4459/0623</t>
  </si>
  <si>
    <t>LOVENESS ABISHUA MPANDA</t>
  </si>
  <si>
    <t>S4459/0624</t>
  </si>
  <si>
    <t>MARIA GABRIEL KOROMBA</t>
  </si>
  <si>
    <t>S4459/0625</t>
  </si>
  <si>
    <t>MWANAISHA SHABANI JUMA</t>
  </si>
  <si>
    <t>S4459/0626</t>
  </si>
  <si>
    <t>NANCY GADIEL MBAGA</t>
  </si>
  <si>
    <t>S4459/0627</t>
  </si>
  <si>
    <t>PASKALINA KWASLEMA HHAYUMA</t>
  </si>
  <si>
    <t>S4459/0628</t>
  </si>
  <si>
    <t>ROSE DONATI LYIMO</t>
  </si>
  <si>
    <t>S4459/0629</t>
  </si>
  <si>
    <t>SALOME ABEL LAIZER</t>
  </si>
  <si>
    <t>S4459/0630</t>
  </si>
  <si>
    <t>VALERIA FABIAN MOLLEL</t>
  </si>
  <si>
    <t>S4459/0631</t>
  </si>
  <si>
    <t>S4459/0632</t>
  </si>
  <si>
    <t>S4459/0633</t>
  </si>
  <si>
    <t>S4459/0634</t>
  </si>
  <si>
    <t>S4459/0635</t>
  </si>
  <si>
    <t>S4459/0636</t>
  </si>
  <si>
    <t>S4459/0637</t>
  </si>
  <si>
    <t>S4459/0638</t>
  </si>
  <si>
    <t>S4459/0639</t>
  </si>
  <si>
    <t>S4459/0640</t>
  </si>
  <si>
    <t>GEOVIN STEVEN MACHA</t>
  </si>
  <si>
    <t>S4459/0641</t>
  </si>
  <si>
    <t>S4459/0642</t>
  </si>
  <si>
    <t>S4459/0643</t>
  </si>
  <si>
    <t>S4459/0644</t>
  </si>
  <si>
    <t>CBA</t>
  </si>
  <si>
    <t>S4459/0645</t>
  </si>
  <si>
    <t>S4459/0646</t>
  </si>
  <si>
    <t>S4459/0647</t>
  </si>
  <si>
    <t>S4459/0648</t>
  </si>
  <si>
    <t>JUMA SEIF SUSULU</t>
  </si>
  <si>
    <t>S4459/0649</t>
  </si>
  <si>
    <t>S4459/0650</t>
  </si>
  <si>
    <t>S4459/0651</t>
  </si>
  <si>
    <t>S4459/0652</t>
  </si>
  <si>
    <t>SAMWEL PATRIS DURU</t>
  </si>
  <si>
    <t>S4459/0653</t>
  </si>
  <si>
    <t>S4459/0654</t>
  </si>
  <si>
    <t>S4459/0655</t>
  </si>
  <si>
    <t>ANNA JOHN PIUS</t>
  </si>
  <si>
    <t>ECA</t>
  </si>
  <si>
    <t>S4459/0656</t>
  </si>
  <si>
    <t>ANNA PRAYAGOD MBISE</t>
  </si>
  <si>
    <t>S4459/0657</t>
  </si>
  <si>
    <t>HAPPINES BOI CLEMENT</t>
  </si>
  <si>
    <t>S4459/0658</t>
  </si>
  <si>
    <t>HAPPYNESS JACOB LAZARO</t>
  </si>
  <si>
    <t>S4459/0659</t>
  </si>
  <si>
    <t>HIDAYA HAMISI KAYANDA</t>
  </si>
  <si>
    <t>S4459/0660</t>
  </si>
  <si>
    <t>IVONE OSCA MUNISI</t>
  </si>
  <si>
    <t>S4459/0661</t>
  </si>
  <si>
    <t>VANESSA ALLEX MOLLEL</t>
  </si>
  <si>
    <t>S4459/0662</t>
  </si>
  <si>
    <t>ALLEN HUSSEIN IDDI</t>
  </si>
  <si>
    <t>S4459/0663</t>
  </si>
  <si>
    <t>AMBROSI CHRISTOPHER LALA</t>
  </si>
  <si>
    <t>S4459/0664</t>
  </si>
  <si>
    <t>DANIEL ISAYA KIVUYO</t>
  </si>
  <si>
    <t>S4459/0665</t>
  </si>
  <si>
    <t>GODLIZEN EDEN TENGA</t>
  </si>
  <si>
    <t>S4459/0666</t>
  </si>
  <si>
    <t>RASHIDI NURDIN DHAHABU</t>
  </si>
  <si>
    <t>S4459/0667</t>
  </si>
  <si>
    <t>SAMWEL ZAKAYO MPINGA</t>
  </si>
  <si>
    <t>AMANI ELIKANA TSUHHAY</t>
  </si>
  <si>
    <t>CHRISTOFA MARCO KASHANG'A</t>
  </si>
  <si>
    <t>DICKSON CHRISPIN TARIMO</t>
  </si>
  <si>
    <t>EMANUELI VITA LAGWENI</t>
  </si>
  <si>
    <t>FRANCIS ALTO NICHOMBE</t>
  </si>
  <si>
    <t>ISRAEL JOHN SIKAY</t>
  </si>
  <si>
    <t>KARIM ALLY YAHI</t>
  </si>
  <si>
    <t>JESKA IGNAS KIMARIO</t>
  </si>
  <si>
    <t>SWETNEY IBRAHIMU MHENGA</t>
  </si>
  <si>
    <t>ZULPHA RAZAKI BAKIRI</t>
  </si>
  <si>
    <t>HARUNI LOISHOOKI NAFTAL</t>
  </si>
  <si>
    <t>ILIASA IJUMAA MWANISENGE</t>
  </si>
  <si>
    <t>JOHNSON ELINAZI MNGURUTA</t>
  </si>
  <si>
    <t>RIZIKI NDASKOI LESHIKOKO</t>
  </si>
  <si>
    <t>Category</t>
  </si>
  <si>
    <t>Total</t>
  </si>
  <si>
    <t>GPA</t>
  </si>
  <si>
    <t>GPA GRADE</t>
  </si>
  <si>
    <t>KPI %</t>
  </si>
  <si>
    <t>KPI Status</t>
  </si>
  <si>
    <t>St. Jude's</t>
  </si>
  <si>
    <t>TOTAL</t>
  </si>
  <si>
    <t>O</t>
  </si>
  <si>
    <t>KPI</t>
  </si>
  <si>
    <t>PTS</t>
  </si>
  <si>
    <t>📊  GRADE SUMMARY BY COMBINATION  —  F6 NECTA 2026  |  ST. JUDE'S SECONDARY SCHOOL</t>
  </si>
  <si>
    <t xml:space="preserve">  CBA  ·  Science  ·  17 Students</t>
  </si>
  <si>
    <t xml:space="preserve">  SECTION A — GRADE COUNT PER SUBJECT</t>
  </si>
  <si>
    <t>Subject</t>
  </si>
  <si>
    <t>Subj GPA</t>
  </si>
  <si>
    <t>Maelezo</t>
  </si>
  <si>
    <t xml:space="preserve">  General Studies</t>
  </si>
  <si>
    <t xml:space="preserve">  Chemistry</t>
  </si>
  <si>
    <t xml:space="preserve">  Biology</t>
  </si>
  <si>
    <t xml:space="preserve">  Agriculture</t>
  </si>
  <si>
    <t xml:space="preserve">  Basic Applied Math</t>
  </si>
  <si>
    <t xml:space="preserve">  SECTION B — GRADE PERCENTAGE PER SUBJECT  (%)</t>
  </si>
  <si>
    <t>A %</t>
  </si>
  <si>
    <t>B %</t>
  </si>
  <si>
    <t>C %</t>
  </si>
  <si>
    <t>D %</t>
  </si>
  <si>
    <t>E %</t>
  </si>
  <si>
    <t>S %</t>
  </si>
  <si>
    <t>F %</t>
  </si>
  <si>
    <t>Sat (n)</t>
  </si>
  <si>
    <t>Students</t>
  </si>
  <si>
    <t xml:space="preserve">  ECA  ·  Business  ·  13 Students</t>
  </si>
  <si>
    <t xml:space="preserve">  Economics</t>
  </si>
  <si>
    <t xml:space="preserve">  Commerce</t>
  </si>
  <si>
    <t xml:space="preserve">  Accounting</t>
  </si>
  <si>
    <t xml:space="preserve">  EGM  ·  Business  ·  27 Students</t>
  </si>
  <si>
    <t xml:space="preserve">  Geography</t>
  </si>
  <si>
    <t xml:space="preserve">  Advanced Mathematics</t>
  </si>
  <si>
    <t xml:space="preserve">  HGK  ·  Arts  ·  29 Students</t>
  </si>
  <si>
    <t xml:space="preserve">  History</t>
  </si>
  <si>
    <t xml:space="preserve">  Kiswahili</t>
  </si>
  <si>
    <t xml:space="preserve">  HGL  ·  Arts  ·  24 Students</t>
  </si>
  <si>
    <t xml:space="preserve">  English</t>
  </si>
  <si>
    <t xml:space="preserve">  PCB  ·  Science  ·  45 Students</t>
  </si>
  <si>
    <t xml:space="preserve">  Physics</t>
  </si>
  <si>
    <t xml:space="preserve">  PCM  ·  Science  ·  28 Students</t>
  </si>
  <si>
    <t xml:space="preserve">  PMCs  ·  Science  ·  7 Students</t>
  </si>
  <si>
    <t xml:space="preserve">  Computer Science</t>
  </si>
  <si>
    <t xml:space="preserve">  ★  MASTER COMBINATION GPA COMPARISON  —  ALL COMBINATIONS</t>
  </si>
  <si>
    <t>Combination</t>
  </si>
  <si>
    <t>Subject GPA</t>
  </si>
  <si>
    <t xml:space="preserve">  CBA</t>
  </si>
  <si>
    <t xml:space="preserve">  ECA</t>
  </si>
  <si>
    <t xml:space="preserve">  EGM</t>
  </si>
  <si>
    <t xml:space="preserve">  HGK</t>
  </si>
  <si>
    <t xml:space="preserve">  HGL</t>
  </si>
  <si>
    <t xml:space="preserve">  PCB</t>
  </si>
  <si>
    <t xml:space="preserve">  PCM</t>
  </si>
  <si>
    <t xml:space="preserve">  PMCs</t>
  </si>
  <si>
    <t>COUNT TABLE  —  Grade Distribution per Subject  (A = Excellent · B = Very Good · C = Good · D = Average · E = Satisfactory · S = Subsidiary (35–39) · F = Fail (&lt;35)</t>
  </si>
  <si>
    <t>Total Sat</t>
  </si>
  <si>
    <t>KPI MOBILITY
FROM TARGET</t>
  </si>
  <si>
    <t>Below KPI</t>
  </si>
  <si>
    <t>General Studies</t>
  </si>
  <si>
    <t>History</t>
  </si>
  <si>
    <t>Geography</t>
  </si>
  <si>
    <t>Kiswahili</t>
  </si>
  <si>
    <t>English</t>
  </si>
  <si>
    <t>Physics</t>
  </si>
  <si>
    <t>Chemistry</t>
  </si>
  <si>
    <t>Biology</t>
  </si>
  <si>
    <t>Agriculture</t>
  </si>
  <si>
    <t>Adv. Mathematics</t>
  </si>
  <si>
    <t>Computer Science</t>
  </si>
  <si>
    <t>Economics</t>
  </si>
  <si>
    <t>Commerce</t>
  </si>
  <si>
    <t>Accounting</t>
  </si>
  <si>
    <t>PERCENTAGE TABLE  —  % of Students per Grade per Subject</t>
  </si>
  <si>
    <t>%A</t>
  </si>
  <si>
    <t>%B</t>
  </si>
  <si>
    <t>%C</t>
  </si>
  <si>
    <t>%D</t>
  </si>
  <si>
    <t>%E</t>
  </si>
  <si>
    <t>%S</t>
  </si>
  <si>
    <t>%F</t>
  </si>
  <si>
    <t>% Below KPI</t>
  </si>
  <si>
    <t>★  KPI Formula: Total Grade Points ÷ (N × 5) × 100  where A=5, B=4, C=3, D=2, E=1, S=0, F=0  |  Subject GPA: NECTA scale (A=1…F=7), lower = better  |  BAM &amp; GS excluded from GPA.</t>
  </si>
  <si>
    <t>SUBJECT GRADE ANALYSIS  —  BY SCHOOL</t>
  </si>
  <si>
    <t>Govt (GVT)</t>
  </si>
  <si>
    <t>LEGEND,  NOTES  &amp;  FORMULA GUIDE</t>
  </si>
  <si>
    <t>DIVISION KEY</t>
  </si>
  <si>
    <t>Div I</t>
  </si>
  <si>
    <t>Division I — Excellent</t>
  </si>
  <si>
    <t>Div II</t>
  </si>
  <si>
    <t>Div III</t>
  </si>
  <si>
    <t>Div IV</t>
  </si>
  <si>
    <t>Div 0</t>
  </si>
  <si>
    <t>Division 0 / Fail</t>
  </si>
  <si>
    <t>GRADE KEY  —  with Score Ranges &amp; Remarks</t>
  </si>
  <si>
    <t>Score Range</t>
  </si>
  <si>
    <t>Remark</t>
  </si>
  <si>
    <t>80 – 100</t>
  </si>
  <si>
    <t>Excellent</t>
  </si>
  <si>
    <t>70 – 79</t>
  </si>
  <si>
    <t>Very Good</t>
  </si>
  <si>
    <t>60 – 69</t>
  </si>
  <si>
    <t>Good</t>
  </si>
  <si>
    <t>50 – 59</t>
  </si>
  <si>
    <t>Average</t>
  </si>
  <si>
    <t>40 – 49</t>
  </si>
  <si>
    <t>Satisfactory</t>
  </si>
  <si>
    <t>35 – 39</t>
  </si>
  <si>
    <t>Subsidiary</t>
  </si>
  <si>
    <t>Below 35</t>
  </si>
  <si>
    <t>Fail</t>
  </si>
  <si>
    <t>COMBINATION CLASSIFICATION</t>
  </si>
  <si>
    <t>DATA NOTES</t>
  </si>
  <si>
    <t>• PMCs retained as correct combination code (Science group)</t>
  </si>
  <si>
    <t>• Busi → Business  (standardized group name)</t>
  </si>
  <si>
    <t>• Duplicate CAND_NO entries removed</t>
  </si>
  <si>
    <t>• Grade validation: only A, B, C, D, E, F, S retained; all other values cleared</t>
  </si>
  <si>
    <t>• Summary/aggregate rows from source file excluded — student rows only</t>
  </si>
  <si>
    <t>TOP 10 STUDENTS BY ACADEMIC GROUP  —  Auto-Ranked by Points (Lower = Better)  |  Tiebreaker: Aggr Points</t>
  </si>
  <si>
    <t>Source: RESULTS sheet — ResultsTable  |  Primary: POINT (asc)  |  Tiebreaker: AGGR POINTS (asc)  |  Formulas update automatically</t>
  </si>
  <si>
    <t>🏆  BEST OVERALL  —  TOP 10 BEST STUDENTS</t>
  </si>
  <si>
    <t>#</t>
  </si>
  <si>
    <t>AGGR</t>
  </si>
  <si>
    <t>AGGR PTS</t>
  </si>
  <si>
    <t>🏆  ARTS GROUP  —  TOP 10 BEST STUDENTS</t>
  </si>
  <si>
    <t>GROUP</t>
  </si>
  <si>
    <t>POINTS</t>
  </si>
  <si>
    <t>🏆  BUSINESS GROUP  —  TOP 10 BEST STUDENTS</t>
  </si>
  <si>
    <t>LAST 20 STUDENTS WITH WEAK POINTS OVERALL</t>
  </si>
  <si>
    <t>VOCATIONAL</t>
  </si>
  <si>
    <t>HUMANITIES</t>
  </si>
  <si>
    <t>LANGUAGES</t>
  </si>
  <si>
    <t>BUSINESS</t>
  </si>
  <si>
    <t>GRADE PERFORMANCE — RAW DATA (2020 – 2025)</t>
  </si>
  <si>
    <t>PHY SCIENCES</t>
  </si>
  <si>
    <t>BIO/CHEM</t>
  </si>
  <si>
    <t>MATH/ICT</t>
  </si>
  <si>
    <t xml:space="preserve">  2025 RESULTS</t>
  </si>
  <si>
    <t>GRADE</t>
  </si>
  <si>
    <t>% TOTAL</t>
  </si>
  <si>
    <t>SCHOOL AVG</t>
  </si>
  <si>
    <t xml:space="preserve">  2024 RESULTS</t>
  </si>
  <si>
    <t xml:space="preserve">  2023 RESULTS</t>
  </si>
  <si>
    <t xml:space="preserve">  2022 RESULTS</t>
  </si>
  <si>
    <t xml:space="preserve">  2021 RESULTS</t>
  </si>
  <si>
    <t xml:space="preserve">  2020 RESULTS</t>
  </si>
  <si>
    <t>SUBJECT → DEPARTMENT REFERENCE</t>
  </si>
  <si>
    <t>English Language</t>
  </si>
  <si>
    <t>Basic Applied Mathematics</t>
  </si>
  <si>
    <t>Advanced Mathematics</t>
  </si>
  <si>
    <t>THE NATIONAL EXAMINATION COUNCIL OF TANZANIA
CSEE RESULTS 2025
ST.JUDE'S SECONDARY AND ST JUDES GIRLS SECONDARY</t>
  </si>
  <si>
    <t>RESULTS SUMMARY</t>
  </si>
  <si>
    <t>ABS</t>
  </si>
  <si>
    <t>TOT</t>
  </si>
  <si>
    <t>SPA</t>
  </si>
  <si>
    <t>7PTS</t>
  </si>
  <si>
    <t>BOYS</t>
  </si>
  <si>
    <t>GIRLS</t>
  </si>
  <si>
    <t>COMPILED</t>
  </si>
  <si>
    <t>CAND_NO</t>
  </si>
  <si>
    <t>FULL_NAME</t>
  </si>
  <si>
    <t>FORM</t>
  </si>
  <si>
    <t>STREAM</t>
  </si>
  <si>
    <t>EXAM_NAME</t>
  </si>
  <si>
    <t>CIV</t>
  </si>
  <si>
    <t>GEO</t>
  </si>
  <si>
    <t>LIT</t>
  </si>
  <si>
    <t>B/KEEP</t>
  </si>
  <si>
    <t>ICS</t>
  </si>
  <si>
    <t>MATH</t>
  </si>
  <si>
    <t>AD_MATH</t>
  </si>
  <si>
    <t>BIOS</t>
  </si>
  <si>
    <t>BIBLE</t>
  </si>
  <si>
    <t>DIVISION</t>
  </si>
  <si>
    <t>HKL</t>
  </si>
  <si>
    <t>HGE</t>
  </si>
  <si>
    <t>CBG</t>
  </si>
  <si>
    <t>ECM</t>
  </si>
  <si>
    <t>EBUAC</t>
  </si>
  <si>
    <t>PMC</t>
  </si>
  <si>
    <t>S4459/0001/2023</t>
  </si>
  <si>
    <t>NICHOLAUS JOSEPH GODWIN</t>
  </si>
  <si>
    <t>CSEE</t>
  </si>
  <si>
    <t>S4459/0002/2023</t>
  </si>
  <si>
    <t>RAMADHANI ISSA MOHAMED</t>
  </si>
  <si>
    <t>S4459/0003/2023</t>
  </si>
  <si>
    <t>GODRICH MATHAYO MAFIE</t>
  </si>
  <si>
    <t>S4459/0004/2023</t>
  </si>
  <si>
    <t>S4459/0005/2023</t>
  </si>
  <si>
    <t>IBRAHIMU SHABANI LUKUMAY</t>
  </si>
  <si>
    <t>S4459/0006/2023</t>
  </si>
  <si>
    <t>S4459/0007/2023</t>
  </si>
  <si>
    <t>S4459/0008/2023</t>
  </si>
  <si>
    <t>S4459/0009/2023</t>
  </si>
  <si>
    <t>S4459/0010/2023</t>
  </si>
  <si>
    <t>LIVINGSTONE MBOOKWA AYUBU</t>
  </si>
  <si>
    <t>S4459/0011/2023</t>
  </si>
  <si>
    <t>S4459/0012/2023</t>
  </si>
  <si>
    <t>COLLIN JULIUS SENZIGHE</t>
  </si>
  <si>
    <t>S4459/0013/2023</t>
  </si>
  <si>
    <t>BARAKA BONI MASSAWE</t>
  </si>
  <si>
    <t>S4459/0014/2023</t>
  </si>
  <si>
    <t>S4459/0015/2023</t>
  </si>
  <si>
    <t>S4459/0016/2023</t>
  </si>
  <si>
    <t>BENSON NICHOLAUS MREMA</t>
  </si>
  <si>
    <t>S4459/0017/2023</t>
  </si>
  <si>
    <t>GWAATEMA THOMASS SUMAWE</t>
  </si>
  <si>
    <t>S4459/0018/2023</t>
  </si>
  <si>
    <t>S4459/0019/2023</t>
  </si>
  <si>
    <t>CORNEL JOSEPH KAROLI</t>
  </si>
  <si>
    <t>S4459/0020/2023</t>
  </si>
  <si>
    <t>S4459/0021/2023</t>
  </si>
  <si>
    <t>S4459/0022/2023</t>
  </si>
  <si>
    <t>S4459/0023/2023</t>
  </si>
  <si>
    <t>DAUSON ERNEST MWANKYUSA</t>
  </si>
  <si>
    <t>S4459/0024/2023</t>
  </si>
  <si>
    <t>S4459/0025/2023</t>
  </si>
  <si>
    <t>S4459/0026/2023</t>
  </si>
  <si>
    <t>BENSON DONATH NGOTIO</t>
  </si>
  <si>
    <t>S4459/0027/2023</t>
  </si>
  <si>
    <t>S4459/0028/2023</t>
  </si>
  <si>
    <t>ELISHA SEBASTIANI EMANUEL</t>
  </si>
  <si>
    <t>S4459/0029/2023</t>
  </si>
  <si>
    <t>S4459/0030/2023</t>
  </si>
  <si>
    <t>ABDULHAFIDHU MIRAJI MDOE</t>
  </si>
  <si>
    <t>S4459/0031/2023</t>
  </si>
  <si>
    <t>S4459/0032/2023</t>
  </si>
  <si>
    <t>S4459/0033/2023</t>
  </si>
  <si>
    <t>S4459/0034/2023</t>
  </si>
  <si>
    <t>SAIMONI BENEDICT LUKUMAY</t>
  </si>
  <si>
    <t>S4459/0035/2023</t>
  </si>
  <si>
    <t>S4459/0036/2023</t>
  </si>
  <si>
    <t>GIDEON JOSEPH KIBURE</t>
  </si>
  <si>
    <t>S4459/0037/2023</t>
  </si>
  <si>
    <t>S4459/0038/2023</t>
  </si>
  <si>
    <t>S4459/0039/2023</t>
  </si>
  <si>
    <t>S4459/0040/2023</t>
  </si>
  <si>
    <t>VICENT AGREY KIMARO</t>
  </si>
  <si>
    <t>S4459/0041/2023</t>
  </si>
  <si>
    <t>AMIRI MUSSA KIVUYO</t>
  </si>
  <si>
    <t>S4459/0042/2023</t>
  </si>
  <si>
    <t>S4459/0043/2023</t>
  </si>
  <si>
    <t>S4459/0044/2023</t>
  </si>
  <si>
    <t>S4459/0045/2023</t>
  </si>
  <si>
    <t>S4459/0046/2023</t>
  </si>
  <si>
    <t>S4459/0047/2023</t>
  </si>
  <si>
    <t>S4459/0048/2023</t>
  </si>
  <si>
    <t>FAUSTIN JOSEPH HAULE</t>
  </si>
  <si>
    <t>S4459/0049/2023</t>
  </si>
  <si>
    <t>S4459/0050/2023</t>
  </si>
  <si>
    <t>DENIS ABEDNEGO ELISA</t>
  </si>
  <si>
    <t>S4459/0051/2023</t>
  </si>
  <si>
    <t>S4459/0052/2023</t>
  </si>
  <si>
    <t>JOSEPH AMAN MAGALA</t>
  </si>
  <si>
    <t>S4459/0053/2023</t>
  </si>
  <si>
    <t>S4459/0054/2023</t>
  </si>
  <si>
    <t>ELIHURUMA SAMWELI PETRO</t>
  </si>
  <si>
    <t>S4459/0055/2023</t>
  </si>
  <si>
    <t>S4459/0056/2023</t>
  </si>
  <si>
    <t>RAMADHANI TANDA LUKALE</t>
  </si>
  <si>
    <t>S4459/0057/2023</t>
  </si>
  <si>
    <t>ERICK PARTICK PAULO</t>
  </si>
  <si>
    <t>S4459/0058/2023</t>
  </si>
  <si>
    <t>ELISHA MATHIAS GILIDAI</t>
  </si>
  <si>
    <t>S4459/0059/2023</t>
  </si>
  <si>
    <t>JUNIOR ELIBARIKI MBISE</t>
  </si>
  <si>
    <t>S4459/0060/2023</t>
  </si>
  <si>
    <t>S4459/0061/2023</t>
  </si>
  <si>
    <t>S4459/0062/2023</t>
  </si>
  <si>
    <t>S4459/0063/2023</t>
  </si>
  <si>
    <t>LEBAHATI LANGIDARI LAIZER</t>
  </si>
  <si>
    <t>S4459/0064/2023</t>
  </si>
  <si>
    <t>S4459/0065/2023</t>
  </si>
  <si>
    <t>ERICK ZUBERI KASHUKU</t>
  </si>
  <si>
    <t>S4459/0066/2023</t>
  </si>
  <si>
    <t>NELSON DAUSON MINJA</t>
  </si>
  <si>
    <t>S4459/0067/2023</t>
  </si>
  <si>
    <t>S4459/0068/2023</t>
  </si>
  <si>
    <t>S4459/0069/2023</t>
  </si>
  <si>
    <t>PETRO BAHA LULU</t>
  </si>
  <si>
    <t>S4459/0070/2023</t>
  </si>
  <si>
    <t>RAJABU SALUM KIMWERI</t>
  </si>
  <si>
    <t>S4459/0071/2023</t>
  </si>
  <si>
    <t>S4459/0072/2023</t>
  </si>
  <si>
    <t>RAMADHANI BAKARI MIUNDI</t>
  </si>
  <si>
    <t>S4459/0073/2023</t>
  </si>
  <si>
    <t>S4459/0074/2023</t>
  </si>
  <si>
    <t>S4459/0075/2023</t>
  </si>
  <si>
    <t>FAHMY SHABANI MUNGADI</t>
  </si>
  <si>
    <t>S4459/0076/2023</t>
  </si>
  <si>
    <t>JOHN PAUL SHAO</t>
  </si>
  <si>
    <t>S4459/0077/2023</t>
  </si>
  <si>
    <t>AYUBU HATIBU WANAHASE</t>
  </si>
  <si>
    <t>S4459/0078/2023</t>
  </si>
  <si>
    <t>S4459/0079/2023</t>
  </si>
  <si>
    <t>HAMIS JOSEPH MAMBYA</t>
  </si>
  <si>
    <t>S4459/0080/2023</t>
  </si>
  <si>
    <t>S4459/0081/2023</t>
  </si>
  <si>
    <t>BENEDICTO PETRO MARTINI</t>
  </si>
  <si>
    <t>S4459/0082/2023</t>
  </si>
  <si>
    <t>TARSISIUS JULIUS TAHHANI</t>
  </si>
  <si>
    <t>S4459/0083/2023</t>
  </si>
  <si>
    <t>S4459/0084/2023</t>
  </si>
  <si>
    <t>TING'IDE MOINGETI LOIBOR</t>
  </si>
  <si>
    <t>S4459/0085/2023</t>
  </si>
  <si>
    <t>KELVINI DONATH MUSHI</t>
  </si>
  <si>
    <t>S4459/0086/2023</t>
  </si>
  <si>
    <t>HAMIS JUMA JOSEPH</t>
  </si>
  <si>
    <t>S4459/0087/2023</t>
  </si>
  <si>
    <t>S5864/0001/2023</t>
  </si>
  <si>
    <t>S5864/0002/2023</t>
  </si>
  <si>
    <t>S5864/0003/2023</t>
  </si>
  <si>
    <t>S5864/0004/2023</t>
  </si>
  <si>
    <t/>
  </si>
  <si>
    <t>S5864/0005/2023</t>
  </si>
  <si>
    <t xml:space="preserve"> </t>
  </si>
  <si>
    <t>S5864/0006/2023</t>
  </si>
  <si>
    <t>S5864/0007/2023</t>
  </si>
  <si>
    <t>S5864/0008/2023</t>
  </si>
  <si>
    <t>S5864/0009/2023</t>
  </si>
  <si>
    <t>S5864/0010/2023</t>
  </si>
  <si>
    <t>S5864/0011/2023</t>
  </si>
  <si>
    <t>S5864/0012/2023</t>
  </si>
  <si>
    <t>S5864/0013/2023</t>
  </si>
  <si>
    <t>S5864/0014/2023</t>
  </si>
  <si>
    <t>S5864/0015/2023</t>
  </si>
  <si>
    <t>ANNA PRAYGOD MBISE</t>
  </si>
  <si>
    <t>S5864/0016/2023</t>
  </si>
  <si>
    <t>S5864/0017/2023</t>
  </si>
  <si>
    <t>S5864/0018/2023</t>
  </si>
  <si>
    <t>S5864/0019/2023</t>
  </si>
  <si>
    <t>S5864/0020/2023</t>
  </si>
  <si>
    <t>S5864/0021/2023</t>
  </si>
  <si>
    <t>S5864/0022/2023</t>
  </si>
  <si>
    <t>S5864/0023/2023</t>
  </si>
  <si>
    <t>S5864/0024/2023</t>
  </si>
  <si>
    <t>S5864/0025/2023</t>
  </si>
  <si>
    <t>S5864/0026/2023</t>
  </si>
  <si>
    <t>S5864/0027/2023</t>
  </si>
  <si>
    <t>S5864/0028/2023</t>
  </si>
  <si>
    <t>DOREEN KAMILI MALAMSHA</t>
  </si>
  <si>
    <t>S5864/0029/2023</t>
  </si>
  <si>
    <t>S5864/0030/2023</t>
  </si>
  <si>
    <t>S5864/0031/2023</t>
  </si>
  <si>
    <t>S5864/0032/2023</t>
  </si>
  <si>
    <t>S5864/0033/2023</t>
  </si>
  <si>
    <t>S5864/0034/2023</t>
  </si>
  <si>
    <t>S5864/0035/2023</t>
  </si>
  <si>
    <t>S5864/0036/2023</t>
  </si>
  <si>
    <t>S5864/0037/2023</t>
  </si>
  <si>
    <t>S5864/0038/2023</t>
  </si>
  <si>
    <t>S5864/0039/2023</t>
  </si>
  <si>
    <t>S5864/0040/2023</t>
  </si>
  <si>
    <t>S5864/0041/2023</t>
  </si>
  <si>
    <t>GLORIA GIDEON LUKUMAY</t>
  </si>
  <si>
    <t>S5864/0042/2023</t>
  </si>
  <si>
    <t>S5864/0043/2023</t>
  </si>
  <si>
    <t>S5864/0044/2023</t>
  </si>
  <si>
    <t>S5864/0045/2023</t>
  </si>
  <si>
    <t>S5864/0046/2023</t>
  </si>
  <si>
    <t>S5864/0047/2023</t>
  </si>
  <si>
    <t>S5864/0048/2023</t>
  </si>
  <si>
    <t>S5864/0049/2023</t>
  </si>
  <si>
    <t>S5864/0050/2023</t>
  </si>
  <si>
    <t>S5864/0051/2023</t>
  </si>
  <si>
    <t>S5864/0052/2023</t>
  </si>
  <si>
    <t>S5864/0053/2023</t>
  </si>
  <si>
    <t>S5864/0054/2023</t>
  </si>
  <si>
    <t>S5864/0055/2023</t>
  </si>
  <si>
    <t>S5864/0056/2023</t>
  </si>
  <si>
    <t>S5864/0057/2023</t>
  </si>
  <si>
    <t>S5864/0058/2023</t>
  </si>
  <si>
    <t>S5864/0059/2023</t>
  </si>
  <si>
    <t>S5864/0060/2023</t>
  </si>
  <si>
    <t>S5864/0061/2023</t>
  </si>
  <si>
    <t>S5864/0062/2023</t>
  </si>
  <si>
    <t>S5864/0063/2023</t>
  </si>
  <si>
    <t>S5864/0064/2023</t>
  </si>
  <si>
    <t>S5864/0065/2023</t>
  </si>
  <si>
    <t>S5864/0066/2023</t>
  </si>
  <si>
    <t>S5864/0067/2023</t>
  </si>
  <si>
    <t>S5864/0068/2023</t>
  </si>
  <si>
    <t>S5864/0069/2023</t>
  </si>
  <si>
    <t>S5864/0070/2023</t>
  </si>
  <si>
    <t>S5864/0071/2023</t>
  </si>
  <si>
    <t>S5864/0072/2023</t>
  </si>
  <si>
    <t>S5864/0073/2023</t>
  </si>
  <si>
    <t>S5864/0074/2023</t>
  </si>
  <si>
    <t>S5864/0075/2023</t>
  </si>
  <si>
    <t>S5864/0076/2023</t>
  </si>
  <si>
    <t>S5864/0077/2023</t>
  </si>
  <si>
    <t>S5864/0078/2023</t>
  </si>
  <si>
    <t>S5864/0079/2023</t>
  </si>
  <si>
    <t>S5864/0080/2023</t>
  </si>
  <si>
    <t>S5864/0081/2023</t>
  </si>
  <si>
    <t>S5864/0082/2023</t>
  </si>
  <si>
    <t>S5864/0083/2023</t>
  </si>
  <si>
    <t>S5864/0084/2023</t>
  </si>
  <si>
    <t>S5864/0085/2023</t>
  </si>
  <si>
    <t>S5864/0087/2023</t>
  </si>
  <si>
    <t>S5864/0088/2023</t>
  </si>
  <si>
    <t>S5864/0089/2023</t>
  </si>
  <si>
    <t>S5864/0090/2023</t>
  </si>
  <si>
    <t>S5864/0091/2023</t>
  </si>
  <si>
    <t>S5864/0092/2023</t>
  </si>
  <si>
    <t>S5864/0093/2023</t>
  </si>
  <si>
    <t>S5864/0094/2023</t>
  </si>
  <si>
    <t>S5864/0095/2023</t>
  </si>
  <si>
    <t>S5864/0096/2023</t>
  </si>
  <si>
    <t>S5864/0097/2023</t>
  </si>
  <si>
    <t>S5864/0098/2023</t>
  </si>
  <si>
    <t>S5864/0099/2023</t>
  </si>
  <si>
    <t>S5864/0100/2023</t>
  </si>
  <si>
    <t>S5864/0101/2023</t>
  </si>
  <si>
    <t>S5864/0102/2023</t>
  </si>
  <si>
    <t>S5864/0103/2023</t>
  </si>
  <si>
    <t>S5864/0104/2023</t>
  </si>
  <si>
    <t>S5864/0105/2023</t>
  </si>
  <si>
    <t>S5864/0106/2023</t>
  </si>
  <si>
    <t>S5864/0107/2023</t>
  </si>
  <si>
    <t>S5864/0108/2023</t>
  </si>
  <si>
    <t>S5864/0109/2023</t>
  </si>
  <si>
    <t>S5864/0110/2023</t>
  </si>
  <si>
    <t>S5864/0111/2023</t>
  </si>
  <si>
    <t>S5864/0112/2023</t>
  </si>
  <si>
    <t>S5864/0113/2023</t>
  </si>
  <si>
    <t>S5864/0114/2023</t>
  </si>
  <si>
    <t>S5864/0115/2023</t>
  </si>
  <si>
    <t>INC</t>
  </si>
  <si>
    <t>KPI%</t>
  </si>
  <si>
    <t>FEMALE</t>
  </si>
  <si>
    <t xml:space="preserve">SCHOOL </t>
  </si>
  <si>
    <t>MALE</t>
  </si>
  <si>
    <t>AVERAGE</t>
  </si>
  <si>
    <t>Students Details</t>
  </si>
  <si>
    <t>F6 Results</t>
  </si>
  <si>
    <t>Subjects and Aggr Points</t>
  </si>
  <si>
    <t>F4 CSEE 2023</t>
  </si>
  <si>
    <t>HKL_Q</t>
  </si>
  <si>
    <t>HE_Q</t>
  </si>
  <si>
    <t>CBG_Q</t>
  </si>
  <si>
    <t>ECM_Q</t>
  </si>
  <si>
    <t>HGL_Q</t>
  </si>
  <si>
    <t>HGK_Q</t>
  </si>
  <si>
    <t>EGM_Q</t>
  </si>
  <si>
    <t>EBUAC_Q</t>
  </si>
  <si>
    <t>PCB_Q</t>
  </si>
  <si>
    <t>PCM_Q</t>
  </si>
  <si>
    <t>PMC_Q</t>
  </si>
  <si>
    <t>CBA_Q</t>
  </si>
  <si>
    <t>Prem_No</t>
  </si>
  <si>
    <t>TOTAL A'S</t>
  </si>
  <si>
    <t>FTNA</t>
  </si>
  <si>
    <t>AGNESS ABUBAKAR SAIDI</t>
  </si>
  <si>
    <t>AMANA AYUB MGONELA</t>
  </si>
  <si>
    <t>AMINA MUHINA HAJI</t>
  </si>
  <si>
    <t>ANGELA ELIAKIM MOLLEL</t>
  </si>
  <si>
    <t>ANGELA WISTON MBWAMBO</t>
  </si>
  <si>
    <t>ANJELA JEREMIA DIBED</t>
  </si>
  <si>
    <t>BERTHA DANIEL HHAWU</t>
  </si>
  <si>
    <t>CAREEN KENETH DESDERY</t>
  </si>
  <si>
    <t>CAREEN VEDASTUS MSECHU</t>
  </si>
  <si>
    <t>CHRISTERBEL ELIAKIMU KITOMARY</t>
  </si>
  <si>
    <t>DEBORA AYUBU ABDALLAH</t>
  </si>
  <si>
    <t>EVELYN ANAEL MARUWA</t>
  </si>
  <si>
    <t>FARHIA KASSIM MKILAHA</t>
  </si>
  <si>
    <t>FARIHIYA SHABANI MWELI</t>
  </si>
  <si>
    <t>FLORA EMMANUEL NGEZILABONA</t>
  </si>
  <si>
    <t>GIFTY SIFAELI KITOMARI</t>
  </si>
  <si>
    <t>HADIJA ABDALAH MWANAJA</t>
  </si>
  <si>
    <t>HADIJA HUSSEN OMARY</t>
  </si>
  <si>
    <t>IRENE CHRISTIAN KITALI</t>
  </si>
  <si>
    <t>IRINE ALBERT PARESO</t>
  </si>
  <si>
    <t>JACKLINE EMILIANI MFOY</t>
  </si>
  <si>
    <t>JACKLINE EZEKIEL NDALI</t>
  </si>
  <si>
    <t>JASMIN FERNANDI BAYYO</t>
  </si>
  <si>
    <t>JESCA DEOGLAS MOSHA</t>
  </si>
  <si>
    <t>KAREN THOMAS CHUWA</t>
  </si>
  <si>
    <t>LINDA SOLOMONI LUKUMAY</t>
  </si>
  <si>
    <t>MARY NICHOLAUS MOLLEL</t>
  </si>
  <si>
    <t>MARYANA GABRIEL MWEGA</t>
  </si>
  <si>
    <t>MIRIAM ABDUL LUKINDO</t>
  </si>
  <si>
    <t>NEEMA SIPITEK OLENJORO</t>
  </si>
  <si>
    <t>PRISCA AUGUSTINO NYONI</t>
  </si>
  <si>
    <t>ROSE MATHAYO MESHILI</t>
  </si>
  <si>
    <t>SALMA AYUBU SHELUKINDO</t>
  </si>
  <si>
    <t>SARA SAIGURANI MWASUNI</t>
  </si>
  <si>
    <t>SECHE HASSAN MADEREMU</t>
  </si>
  <si>
    <t>SHAMIMU ABDALLAH MDOE</t>
  </si>
  <si>
    <t>SHARON ANDERSON MOLLEL</t>
  </si>
  <si>
    <t>STELLA MIKA MOLLEL</t>
  </si>
  <si>
    <t>VANESSA WILLIAMU MOLLEL</t>
  </si>
  <si>
    <t>Absent</t>
  </si>
  <si>
    <t>B/KNOWL</t>
  </si>
  <si>
    <t>KISW...</t>
  </si>
  <si>
    <t>ENGL...</t>
  </si>
  <si>
    <t>PHY....</t>
  </si>
  <si>
    <t>CHEM...</t>
  </si>
  <si>
    <t>BIO....</t>
  </si>
  <si>
    <t>NICOLAUS JOSEPH GODWIN</t>
  </si>
  <si>
    <t>JOHN NELSON MUNISI</t>
  </si>
  <si>
    <t>LIVINI ROGATI NGOWI</t>
  </si>
  <si>
    <t>CASSIAN ANNO NDONDE</t>
  </si>
  <si>
    <t>ISSA OMARI JOHN</t>
  </si>
  <si>
    <t>BK</t>
  </si>
  <si>
    <t>F2 CSEE 2021</t>
  </si>
  <si>
    <t>Comb_Qualification</t>
  </si>
  <si>
    <t>Cand_No</t>
  </si>
  <si>
    <t>Year</t>
  </si>
  <si>
    <t>Full_Name</t>
  </si>
  <si>
    <t>Comb</t>
  </si>
  <si>
    <t>Sex</t>
  </si>
  <si>
    <t>Points</t>
  </si>
  <si>
    <t>Div</t>
  </si>
  <si>
    <t>From</t>
  </si>
  <si>
    <t>Gs</t>
  </si>
  <si>
    <t>Hist</t>
  </si>
  <si>
    <t>Geo</t>
  </si>
  <si>
    <t>Kisw</t>
  </si>
  <si>
    <t>Engl</t>
  </si>
  <si>
    <t>Phy</t>
  </si>
  <si>
    <t>Chem</t>
  </si>
  <si>
    <t>Biol</t>
  </si>
  <si>
    <t>Agr</t>
  </si>
  <si>
    <t>Bam</t>
  </si>
  <si>
    <t>Adv_Math</t>
  </si>
  <si>
    <t>Comp_Sci</t>
  </si>
  <si>
    <t>Econ</t>
  </si>
  <si>
    <t>Comm</t>
  </si>
  <si>
    <t>Acco</t>
  </si>
  <si>
    <t>Aggr_Pts</t>
  </si>
  <si>
    <t>F4_Pts</t>
  </si>
  <si>
    <t>F4_Div</t>
  </si>
  <si>
    <t>Csee_A's</t>
  </si>
  <si>
    <t>Comb_Adm_Pts</t>
  </si>
  <si>
    <t>FTNA_Pts</t>
  </si>
  <si>
    <t>FTNA_Div</t>
  </si>
  <si>
    <t>FTNA_A's</t>
  </si>
  <si>
    <t>MATH &amp; TECH</t>
  </si>
  <si>
    <t>Subject_Code</t>
  </si>
  <si>
    <t>Department</t>
  </si>
  <si>
    <t>Division II —Very Good</t>
  </si>
  <si>
    <t>Division III — Good</t>
  </si>
  <si>
    <t>Division IV — Pass</t>
  </si>
  <si>
    <t>🏆  Business GROUP  —  TOP 10 BEST STUDENTS</t>
  </si>
  <si>
    <t>Value</t>
  </si>
  <si>
    <t>-</t>
  </si>
  <si>
    <t>Business</t>
  </si>
  <si>
    <t>Science</t>
  </si>
  <si>
    <t>ADV.MAT</t>
  </si>
  <si>
    <t>AGRIPINA PAULO ROBERT</t>
  </si>
  <si>
    <t>ANJELA JEROME MAIKO</t>
  </si>
  <si>
    <t>ARAFA BAKARI ABDALLAH</t>
  </si>
  <si>
    <t>FARAJA HEMED MSHANA</t>
  </si>
  <si>
    <t>LEAH SARUNI LEKEMBA</t>
  </si>
  <si>
    <t>SHARON EDWARD MNYAMPANDA</t>
  </si>
  <si>
    <t>ZAMDA KASIMU KHALIFA</t>
  </si>
  <si>
    <t>EDWARD CHRISTOPHER FRANCIS</t>
  </si>
  <si>
    <t>EMANUEL JOSEPH KIMARO</t>
  </si>
  <si>
    <t>JAMES BARAKA SIKAWA</t>
  </si>
  <si>
    <t>JOSEPH JOEL DANIEL</t>
  </si>
  <si>
    <t>SULEMANI LAURENTI WEMA</t>
  </si>
  <si>
    <t>WEMA TLUWAY AMMI</t>
  </si>
  <si>
    <t>NEEMA ROBINSON MUSHI</t>
  </si>
  <si>
    <t>AGUSTINO FAUSTINI TLATLAA</t>
  </si>
  <si>
    <t>DAUDI DANIEL MGWENA</t>
  </si>
  <si>
    <t>GODBLESS SENYAEL KAAYA</t>
  </si>
  <si>
    <t>INNOCENT RAPHAEL MTUI</t>
  </si>
  <si>
    <t>JORDAN ERICK KIVUYO</t>
  </si>
  <si>
    <t>JOSEPH DIDAS SWAY</t>
  </si>
  <si>
    <t>KIKWETE MARIAS LEMWANDE</t>
  </si>
  <si>
    <t>LUKAS VALENTINO MBOYA</t>
  </si>
  <si>
    <t>STEPHANO ELIA MASOVYA</t>
  </si>
  <si>
    <t>ANITA APOLNARI MASAWE</t>
  </si>
  <si>
    <t>BRIGITA LUDOVICK GENES</t>
  </si>
  <si>
    <t>DEBORA MATEI ALOYCE</t>
  </si>
  <si>
    <t>DORKASIA DAUDI JACOB</t>
  </si>
  <si>
    <t>DORKASIA DAUDI YEREMIA</t>
  </si>
  <si>
    <t>EDINA MARTIN JONATHAN</t>
  </si>
  <si>
    <t>EDITHA TEREVAEL KAAYA</t>
  </si>
  <si>
    <t>EMANUELA CHRISTIAN HIMIT</t>
  </si>
  <si>
    <t>GRACE ADAMU NGOWI</t>
  </si>
  <si>
    <t>KANDIDA KASIANI MALLYA</t>
  </si>
  <si>
    <t>ABDULIMAJIDI RAMADHANI MOHAMED</t>
  </si>
  <si>
    <t>ALLY SALUMU LIWILE</t>
  </si>
  <si>
    <t>BARAKA ELIYA TIPPE</t>
  </si>
  <si>
    <t>BRAYSON ZAKARIA MTANGI</t>
  </si>
  <si>
    <t>ELIA ONESMO MALLEY</t>
  </si>
  <si>
    <t>EMANUEL JOSEPH QAMARA</t>
  </si>
  <si>
    <t>ENOCK LEMBRI MEMOY</t>
  </si>
  <si>
    <t>FAITH JOHN WANJARA</t>
  </si>
  <si>
    <t>FIKIRINI CHARLES FIKIRINI</t>
  </si>
  <si>
    <t>GERVAS CLEMENCE MCHARO</t>
  </si>
  <si>
    <t>GODFREY FELIX KABERA</t>
  </si>
  <si>
    <t>HIPOLITI JOHN JOAKIMU</t>
  </si>
  <si>
    <t>IBRAHIM ANTHONY PAULO</t>
  </si>
  <si>
    <t>IDAN SAMWEL MWENDA</t>
  </si>
  <si>
    <t>JOHN MADIMA YOHANA</t>
  </si>
  <si>
    <t>JOSHUA DANIEL LAGWEN</t>
  </si>
  <si>
    <t>MOHAMED ISMAIL ATHUMANI</t>
  </si>
  <si>
    <t>PASKALI AMOSI MARGWE</t>
  </si>
  <si>
    <t>RASHIDI ABDILAH BEKO</t>
  </si>
  <si>
    <t>SHAFII ZUBERI MGAYA</t>
  </si>
  <si>
    <t>YOVINO ERENE MROSSO</t>
  </si>
  <si>
    <t>S4459/0668</t>
  </si>
  <si>
    <t>ELIUPENDO YOTHAM MASAWE</t>
  </si>
  <si>
    <t>S4459/0669</t>
  </si>
  <si>
    <t>FILMINA BOMBO NADE</t>
  </si>
  <si>
    <t>S4459/0670</t>
  </si>
  <si>
    <t>NURUANA MOIKANI LAIZER</t>
  </si>
  <si>
    <t>S4459/0671</t>
  </si>
  <si>
    <t>PASKALINA SAMWEL LUKAS</t>
  </si>
  <si>
    <t>S4459/0672</t>
  </si>
  <si>
    <t>ROSE ELIATOSHA MBWAMBO</t>
  </si>
  <si>
    <t>S4459/0673</t>
  </si>
  <si>
    <t>ALOISI DANIEL SIMON</t>
  </si>
  <si>
    <t>S4459/0674</t>
  </si>
  <si>
    <t>S4459/0675</t>
  </si>
  <si>
    <t>S4459/0676</t>
  </si>
  <si>
    <t>S4459/0677</t>
  </si>
  <si>
    <t>S4459/0678</t>
  </si>
  <si>
    <t>S4459/0679</t>
  </si>
  <si>
    <t>S4459/0680</t>
  </si>
  <si>
    <t>S4459/0681</t>
  </si>
  <si>
    <t>RAYMUNDI STEVEN PAULO</t>
  </si>
  <si>
    <t>S4459/0682</t>
  </si>
  <si>
    <t>STEPHANO PASKALI JACOBO</t>
  </si>
  <si>
    <t>S4459/0683</t>
  </si>
  <si>
    <t>VICENT LUCIAN NICOLA</t>
  </si>
  <si>
    <t>S4459/0684</t>
  </si>
  <si>
    <t>PMCs</t>
  </si>
  <si>
    <t>S4459/0685</t>
  </si>
  <si>
    <t>S4459/0686</t>
  </si>
  <si>
    <t>S4459/0687</t>
  </si>
  <si>
    <t>S4459/0688</t>
  </si>
  <si>
    <t>S4459/0689</t>
  </si>
  <si>
    <t>S4459/0690</t>
  </si>
  <si>
    <t>SUBJECTS GRADE SUMMARY TABLE</t>
  </si>
  <si>
    <t>Accountancy</t>
  </si>
  <si>
    <t>GP</t>
  </si>
  <si>
    <t>total</t>
  </si>
  <si>
    <t>MALE DP</t>
  </si>
  <si>
    <t>FEMALE DP</t>
  </si>
  <si>
    <t>Y</t>
  </si>
  <si>
    <t>N</t>
  </si>
  <si>
    <t>IINC</t>
  </si>
  <si>
    <t xml:space="preserve">  2026 RESULTS</t>
  </si>
  <si>
    <t>DIVISION ANALYSIS BY GENDER, GROUP &amp; SCHOOL</t>
  </si>
  <si>
    <t>Division by Gender</t>
  </si>
  <si>
    <t>Division</t>
  </si>
  <si>
    <t>Female</t>
  </si>
  <si>
    <t>Male</t>
  </si>
  <si>
    <t>% of Total</t>
  </si>
  <si>
    <t>Division by Subject Group</t>
  </si>
  <si>
    <t>Div I %</t>
  </si>
  <si>
    <t>Sci</t>
  </si>
  <si>
    <t>Busi</t>
  </si>
  <si>
    <t>Division by School</t>
  </si>
  <si>
    <t>School</t>
  </si>
  <si>
    <t>SCHOOL PERFORMANCE COMPARISON: ST.JUDE vs GVT</t>
  </si>
  <si>
    <t>Metric</t>
  </si>
  <si>
    <t>Difference</t>
  </si>
  <si>
    <t>Winner</t>
  </si>
  <si>
    <t>Total Candidates</t>
  </si>
  <si>
    <t>Division I</t>
  </si>
  <si>
    <t>Division II</t>
  </si>
  <si>
    <t>Division III</t>
  </si>
  <si>
    <t>Div I Rate (%)</t>
  </si>
  <si>
    <t>Average Agg Points</t>
  </si>
  <si>
    <t>Best Agg Points</t>
  </si>
  <si>
    <t>Female Candidates</t>
  </si>
  <si>
    <t>Male Candidates</t>
  </si>
  <si>
    <t>DIVISION PERFORMANCE IN YEARS</t>
  </si>
  <si>
    <t>YEARS/DIV</t>
  </si>
  <si>
    <t>KPI
GRADE</t>
  </si>
  <si>
    <t>KPI MOB</t>
  </si>
  <si>
    <r>
      <rPr>
        <b/>
        <strike/>
        <sz val="11"/>
        <color theme="0"/>
        <rFont val="Calibri"/>
        <family val="2"/>
      </rPr>
      <t xml:space="preserve">% </t>
    </r>
    <r>
      <rPr>
        <b/>
        <sz val="11"/>
        <color theme="0"/>
        <rFont val="Calibri"/>
        <family val="2"/>
        <charset val="1"/>
      </rPr>
      <t>DIVISION PERFORMANCE IN YEARS</t>
    </r>
  </si>
  <si>
    <t>STUDENTS DIVISION POINTS STRENGTH IN YEARS</t>
  </si>
  <si>
    <t>3P</t>
  </si>
  <si>
    <t>4P</t>
  </si>
  <si>
    <t>5P</t>
  </si>
  <si>
    <t>6P</t>
  </si>
  <si>
    <t>7P</t>
  </si>
  <si>
    <t>8P</t>
  </si>
  <si>
    <t>9P</t>
  </si>
  <si>
    <t>10P</t>
  </si>
  <si>
    <t>11P</t>
  </si>
  <si>
    <t>12P</t>
  </si>
  <si>
    <t>13P</t>
  </si>
  <si>
    <t>14P</t>
  </si>
  <si>
    <t>15P</t>
  </si>
  <si>
    <t>16P</t>
  </si>
  <si>
    <t>17P</t>
  </si>
  <si>
    <r>
      <rPr>
        <b/>
        <strike/>
        <sz val="11"/>
        <color theme="0"/>
        <rFont val="Calibri"/>
        <family val="2"/>
      </rPr>
      <t xml:space="preserve">% </t>
    </r>
    <r>
      <rPr>
        <b/>
        <sz val="11"/>
        <color theme="0"/>
        <rFont val="Calibri"/>
        <family val="2"/>
        <charset val="1"/>
      </rPr>
      <t>STUDENTS DIVISION POINTS STRENGTH IN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</si>
</sst>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%"/>
    <numFmt numFmtId="165" formatCode="0.0"/>
    <numFmt numFmtId="166" formatCode="0.0000"/>
    <numFmt numFmtId="167" formatCode="0.0%"/>
  </numFmts>
  <fonts count="70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4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0"/>
      <color rgb="FF1F3864"/>
      <name val="Calibri"/>
      <family val="2"/>
      <charset val="1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Arial"/>
      <family val="2"/>
    </font>
    <font>
      <sz val="10"/>
      <name val="Arial"/>
      <family val="2"/>
      <charset val="1"/>
    </font>
    <font>
      <b/>
      <sz val="8"/>
      <color theme="0"/>
      <name val="Cambria"/>
      <family val="1"/>
      <charset val="1"/>
    </font>
    <font>
      <i/>
      <sz val="9"/>
      <color rgb="FF000000"/>
      <name val="Calibri"/>
      <family val="2"/>
      <charset val="1"/>
    </font>
    <font>
      <i/>
      <sz val="9"/>
      <color rgb="FF595959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2"/>
      <color rgb="FFFFFFFF"/>
      <name val="Calibri"/>
      <family val="2"/>
    </font>
    <font>
      <sz val="9"/>
      <color rgb="FF404040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FFFFFF"/>
      <name val="Calibri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2060"/>
      <name val="Cambria"/>
      <family val="1"/>
    </font>
    <font>
      <b/>
      <sz val="10"/>
      <color theme="0"/>
      <name val="Cambria"/>
      <family val="1"/>
    </font>
    <font>
      <b/>
      <sz val="9"/>
      <color rgb="FF002060"/>
      <name val="Cambria"/>
      <family val="1"/>
    </font>
    <font>
      <sz val="11"/>
      <name val="Calibri"/>
      <family val="2"/>
      <scheme val="minor"/>
    </font>
    <font>
      <b/>
      <sz val="10"/>
      <name val="Cambria"/>
      <family val="1"/>
    </font>
    <font>
      <b/>
      <sz val="9"/>
      <color theme="0"/>
      <name val="Cambria"/>
      <family val="1"/>
    </font>
    <font>
      <sz val="10"/>
      <name val="Cambria"/>
      <family val="1"/>
    </font>
    <font>
      <sz val="10"/>
      <color theme="1"/>
      <name val="Cambria"/>
      <family val="1"/>
    </font>
    <font>
      <b/>
      <sz val="10"/>
      <color rgb="FFFFFFFF"/>
      <name val="Arial"/>
      <family val="2"/>
    </font>
    <font>
      <b/>
      <sz val="9"/>
      <color rgb="FFFFFFFF"/>
      <name val="Calibri"/>
      <family val="2"/>
    </font>
    <font>
      <b/>
      <sz val="10"/>
      <name val="Maiandra GD"/>
      <family val="2"/>
    </font>
    <font>
      <sz val="11"/>
      <color theme="1"/>
      <name val="Maiandra GD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</font>
    <font>
      <b/>
      <sz val="9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2060"/>
      <name val="Cambria"/>
      <family val="1"/>
    </font>
    <font>
      <sz val="11"/>
      <color rgb="FF0061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1"/>
      <color theme="0"/>
      <name val="Calibri"/>
      <family val="2"/>
      <charset val="1"/>
    </font>
    <font>
      <sz val="10"/>
      <color rgb="FF002060"/>
      <name val="Cambria"/>
      <family val="1"/>
    </font>
    <font>
      <sz val="9"/>
      <name val="Arial"/>
      <family val="2"/>
    </font>
    <font>
      <b/>
      <sz val="9"/>
      <color rgb="FF1F3864"/>
      <name val="Arial"/>
      <family val="2"/>
    </font>
    <font>
      <b/>
      <sz val="11"/>
      <color theme="1"/>
      <name val="Calibri"/>
      <family val="2"/>
      <charset val="1"/>
    </font>
    <font>
      <b/>
      <sz val="11"/>
      <color theme="1"/>
      <name val="Cambria"/>
      <family val="1"/>
      <charset val="1"/>
    </font>
    <font>
      <sz val="11"/>
      <color theme="1"/>
      <name val="Cambria"/>
      <family val="1"/>
      <charset val="1"/>
    </font>
    <font>
      <sz val="10"/>
      <color theme="1"/>
      <name val="Cambria"/>
      <family val="1"/>
      <charset val="1"/>
    </font>
    <font>
      <sz val="10"/>
      <name val="Cambria"/>
      <family val="1"/>
      <charset val="1"/>
    </font>
    <font>
      <b/>
      <strike/>
      <sz val="11"/>
      <color theme="0"/>
      <name val="Calibri"/>
      <family val="2"/>
    </font>
    <font>
      <b/>
      <sz val="11"/>
      <name val="Calibri"/>
      <family val="2"/>
      <charset val="1"/>
    </font>
    <font>
      <sz val="10"/>
      <color rgb="FF002060"/>
      <name val="Cambria"/>
      <family val="1"/>
      <charset val="1"/>
    </font>
  </fonts>
  <fills count="83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2E75B6"/>
        <bgColor rgb="FF2F75B6"/>
      </patternFill>
    </fill>
    <fill>
      <patternFill patternType="solid">
        <fgColor rgb="FFBDD7EE"/>
        <bgColor rgb="FFAED6F1"/>
      </patternFill>
    </fill>
    <fill>
      <patternFill patternType="solid">
        <fgColor rgb="FFD6E4F0"/>
        <bgColor rgb="FFDEEAF1"/>
      </patternFill>
    </fill>
    <fill>
      <patternFill patternType="solid">
        <fgColor rgb="FF00B050"/>
        <bgColor rgb="FF1E8449"/>
      </patternFill>
    </fill>
    <fill>
      <patternFill patternType="solid">
        <fgColor rgb="FF833C00"/>
        <bgColor rgb="FF984807"/>
      </patternFill>
    </fill>
    <fill>
      <patternFill patternType="solid">
        <fgColor rgb="FF17375E"/>
        <bgColor rgb="FF1F3864"/>
      </patternFill>
    </fill>
    <fill>
      <patternFill patternType="solid">
        <fgColor rgb="FFFFFFFF"/>
        <bgColor rgb="FFFAFAFA"/>
      </patternFill>
    </fill>
    <fill>
      <patternFill patternType="solid">
        <fgColor rgb="FFDEEAF1"/>
        <bgColor rgb="FFD6E4F0"/>
      </patternFill>
    </fill>
    <fill>
      <patternFill patternType="solid">
        <fgColor rgb="FF2F75B6"/>
        <bgColor rgb="FF2E75B6"/>
      </patternFill>
    </fill>
    <fill>
      <patternFill patternType="solid">
        <fgColor rgb="FFF2F2F2"/>
        <bgColor rgb="FFFAFAFA"/>
      </patternFill>
    </fill>
    <fill>
      <patternFill patternType="solid">
        <fgColor rgb="FF002060"/>
        <bgColor rgb="FF17375E"/>
      </patternFill>
    </fill>
    <fill>
      <patternFill patternType="solid">
        <fgColor rgb="FFFFF2CC"/>
        <bgColor rgb="FFF2F2F2"/>
      </patternFill>
    </fill>
    <fill>
      <patternFill patternType="solid">
        <fgColor rgb="FF006400"/>
        <bgColor rgb="FF006100"/>
      </patternFill>
    </fill>
    <fill>
      <patternFill patternType="solid">
        <fgColor rgb="FF388E3C"/>
        <bgColor rgb="FF1E8449"/>
      </patternFill>
    </fill>
    <fill>
      <patternFill patternType="solid">
        <fgColor rgb="FFFFC000"/>
        <bgColor rgb="FFD1D105"/>
      </patternFill>
    </fill>
    <fill>
      <patternFill patternType="solid">
        <fgColor rgb="FFFF6600"/>
        <bgColor rgb="FFE46C0A"/>
      </patternFill>
    </fill>
    <fill>
      <patternFill patternType="solid">
        <fgColor rgb="FFC00000"/>
        <bgColor rgb="FFFF0000"/>
      </patternFill>
    </fill>
    <fill>
      <patternFill patternType="solid">
        <fgColor rgb="FF90CF50"/>
        <bgColor rgb="FFA9DFBF"/>
      </patternFill>
    </fill>
    <fill>
      <patternFill patternType="solid">
        <fgColor rgb="FFFFFF00"/>
        <bgColor rgb="FFFFFF66"/>
      </patternFill>
    </fill>
    <fill>
      <patternFill patternType="solid">
        <fgColor rgb="FFFF4500"/>
        <bgColor rgb="FFFF6600"/>
      </patternFill>
    </fill>
    <fill>
      <patternFill patternType="solid">
        <fgColor rgb="FF808080"/>
        <bgColor rgb="FF595959"/>
      </patternFill>
    </fill>
    <fill>
      <patternFill patternType="solid">
        <fgColor rgb="FFFAFAFA"/>
        <bgColor rgb="FFFFFFFF"/>
      </patternFill>
    </fill>
    <fill>
      <patternFill patternType="solid">
        <fgColor rgb="FF1F7A5C"/>
        <bgColor rgb="FF117A65"/>
      </patternFill>
    </fill>
    <fill>
      <patternFill patternType="solid">
        <fgColor rgb="FFBDC3C7"/>
        <bgColor rgb="FFD7BDE2"/>
      </patternFill>
    </fill>
    <fill>
      <patternFill patternType="solid">
        <fgColor rgb="FFE67E22"/>
        <bgColor rgb="FFED7D31"/>
      </patternFill>
    </fill>
    <fill>
      <patternFill patternType="solid">
        <fgColor rgb="FF1A5276"/>
        <bgColor rgb="FF1F3864"/>
      </patternFill>
    </fill>
    <fill>
      <patternFill patternType="solid">
        <fgColor rgb="FF1E8449"/>
        <bgColor rgb="FF1F7A5C"/>
      </patternFill>
    </fill>
    <fill>
      <patternFill patternType="darkGray">
        <fgColor rgb="FF792E98"/>
        <bgColor rgb="FF595959"/>
      </patternFill>
    </fill>
    <fill>
      <patternFill patternType="solid">
        <fgColor rgb="FF117A65"/>
        <bgColor rgb="FF1F7A5C"/>
      </patternFill>
    </fill>
    <fill>
      <patternFill patternType="solid">
        <fgColor rgb="FFB7950B"/>
        <bgColor rgb="FFE67E22"/>
      </patternFill>
    </fill>
    <fill>
      <patternFill patternType="solid">
        <fgColor rgb="FF922B21"/>
        <bgColor rgb="FF833C00"/>
      </patternFill>
    </fill>
    <fill>
      <patternFill patternType="solid">
        <fgColor rgb="FFFAD7A0"/>
        <bgColor rgb="FFF9E79F"/>
      </patternFill>
    </fill>
    <fill>
      <patternFill patternType="solid">
        <fgColor rgb="FFAED6F1"/>
        <bgColor rgb="FFBDD7EE"/>
      </patternFill>
    </fill>
    <fill>
      <patternFill patternType="solid">
        <fgColor rgb="FFA9DFBF"/>
        <bgColor rgb="FFA2D9CE"/>
      </patternFill>
    </fill>
    <fill>
      <patternFill patternType="solid">
        <fgColor rgb="FFD7BDE2"/>
        <bgColor rgb="FFE6B9B8"/>
      </patternFill>
    </fill>
    <fill>
      <patternFill patternType="solid">
        <fgColor rgb="FFA2D9CE"/>
        <bgColor rgb="FFA9DFBF"/>
      </patternFill>
    </fill>
    <fill>
      <patternFill patternType="solid">
        <fgColor rgb="FFF9E79F"/>
        <bgColor rgb="FFFAD7A0"/>
      </patternFill>
    </fill>
    <fill>
      <patternFill patternType="solid">
        <fgColor rgb="FFF5B7B1"/>
        <bgColor rgb="FFE6B9B8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BDD7EE"/>
      </patternFill>
    </fill>
    <fill>
      <patternFill patternType="solid">
        <fgColor rgb="FFEBF3FB"/>
      </patternFill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2E4057"/>
      </patternFill>
    </fill>
    <fill>
      <patternFill patternType="solid">
        <fgColor rgb="FF00B05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17375E"/>
      </patternFill>
    </fill>
    <fill>
      <patternFill patternType="solid">
        <fgColor theme="0"/>
        <bgColor rgb="FF333333"/>
      </patternFill>
    </fill>
    <fill>
      <patternFill patternType="solid">
        <fgColor theme="2" tint="-0.499984740745262"/>
        <bgColor rgb="FF17375E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922B21"/>
      </patternFill>
    </fill>
    <fill>
      <patternFill patternType="solid">
        <fgColor theme="0"/>
        <bgColor rgb="FFD6E4F0"/>
      </patternFill>
    </fill>
    <fill>
      <patternFill patternType="solid">
        <fgColor rgb="FFEBF3FB"/>
        <bgColor indexed="64"/>
      </patternFill>
    </fill>
    <fill>
      <patternFill patternType="solid">
        <fgColor rgb="FFC6EFCE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theme="5" tint="-0.499984740745262"/>
        <bgColor rgb="FF1F38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2E75B6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theme="9" tint="-0.499984740745262"/>
        <bgColor rgb="FF833C00"/>
      </patternFill>
    </fill>
    <fill>
      <patternFill patternType="solid">
        <fgColor theme="5" tint="0.59987182226020086"/>
        <bgColor rgb="FFFFCCCC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FCE4D6"/>
      </patternFill>
    </fill>
  </fills>
  <borders count="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theme="0"/>
      </left>
      <right style="thin">
        <color rgb="FF002060"/>
      </right>
      <top style="medium">
        <color theme="0"/>
      </top>
      <bottom style="medium">
        <color theme="0"/>
      </bottom>
      <diagonal/>
    </border>
    <border>
      <left/>
      <right style="thin">
        <color rgb="FF002060"/>
      </right>
      <top style="thin">
        <color theme="0"/>
      </top>
      <bottom style="thin">
        <color theme="0"/>
      </bottom>
      <diagonal/>
    </border>
    <border>
      <left style="thin">
        <color rgb="FF002060"/>
      </left>
      <right style="thin">
        <color rgb="FF00206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ck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/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rgb="FFBDC3C7"/>
      </left>
      <right/>
      <top style="thin">
        <color rgb="FFBDC3C7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medium">
        <color rgb="FF1F4E78"/>
      </top>
      <bottom/>
      <diagonal/>
    </border>
    <border>
      <left style="thin">
        <color rgb="FFBFBFBF"/>
      </left>
      <right/>
      <top style="medium">
        <color rgb="FF1F4E78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medium">
        <color auto="1"/>
      </bottom>
      <diagonal/>
    </border>
    <border>
      <left style="medium">
        <color auto="1"/>
      </left>
      <right/>
      <top style="thin">
        <color theme="0"/>
      </top>
      <bottom/>
      <diagonal/>
    </border>
  </borders>
  <cellStyleXfs count="3">
    <xf numFmtId="0" fontId="0" fillId="0" borderId="0"/>
    <xf numFmtId="9" fontId="30" fillId="0" borderId="0"/>
    <xf numFmtId="0" fontId="53" fillId="66" borderId="0" applyNumberFormat="0" applyBorder="0" applyAlignment="0" applyProtection="0"/>
  </cellStyleXfs>
  <cellXfs count="453">
    <xf numFmtId="0" fontId="0" fillId="0" borderId="0" xfId="0"/>
    <xf numFmtId="0" fontId="3" fillId="8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3" fontId="7" fillId="10" borderId="2" xfId="0" applyNumberFormat="1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3" fontId="7" fillId="9" borderId="2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28" fillId="44" borderId="25" xfId="0" applyFont="1" applyFill="1" applyBorder="1" applyAlignment="1">
      <alignment horizontal="center" vertical="center" wrapText="1"/>
    </xf>
    <xf numFmtId="0" fontId="29" fillId="45" borderId="25" xfId="0" applyFont="1" applyFill="1" applyBorder="1" applyAlignment="1">
      <alignment horizontal="left" vertical="center"/>
    </xf>
    <xf numFmtId="0" fontId="29" fillId="45" borderId="25" xfId="0" applyFont="1" applyFill="1" applyBorder="1" applyAlignment="1">
      <alignment horizontal="center" vertical="center" wrapText="1"/>
    </xf>
    <xf numFmtId="0" fontId="30" fillId="45" borderId="25" xfId="0" applyFont="1" applyFill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 wrapText="1"/>
    </xf>
    <xf numFmtId="3" fontId="4" fillId="10" borderId="9" xfId="0" applyNumberFormat="1" applyFont="1" applyFill="1" applyBorder="1" applyAlignment="1">
      <alignment horizontal="center" vertical="center"/>
    </xf>
    <xf numFmtId="2" fontId="4" fillId="10" borderId="9" xfId="0" applyNumberFormat="1" applyFont="1" applyFill="1" applyBorder="1" applyAlignment="1">
      <alignment horizontal="center" vertical="center"/>
    </xf>
    <xf numFmtId="1" fontId="13" fillId="13" borderId="11" xfId="0" applyNumberFormat="1" applyFont="1" applyFill="1" applyBorder="1" applyAlignment="1" applyProtection="1">
      <alignment horizontal="left" vertical="center" wrapText="1"/>
      <protection hidden="1"/>
    </xf>
    <xf numFmtId="0" fontId="4" fillId="9" borderId="9" xfId="0" applyFont="1" applyFill="1" applyBorder="1" applyAlignment="1">
      <alignment horizontal="left" vertical="center"/>
    </xf>
    <xf numFmtId="3" fontId="7" fillId="9" borderId="9" xfId="0" applyNumberFormat="1" applyFont="1" applyFill="1" applyBorder="1" applyAlignment="1">
      <alignment horizontal="center" vertical="center"/>
    </xf>
    <xf numFmtId="3" fontId="6" fillId="9" borderId="9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2" fontId="14" fillId="14" borderId="2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/>
    </xf>
    <xf numFmtId="0" fontId="19" fillId="12" borderId="4" xfId="0" applyFont="1" applyFill="1" applyBorder="1" applyAlignment="1">
      <alignment horizontal="left" vertical="center"/>
    </xf>
    <xf numFmtId="0" fontId="19" fillId="12" borderId="4" xfId="0" applyFont="1" applyFill="1" applyBorder="1" applyAlignment="1">
      <alignment horizontal="center" vertical="center"/>
    </xf>
    <xf numFmtId="0" fontId="19" fillId="9" borderId="4" xfId="0" applyFont="1" applyFill="1" applyBorder="1" applyAlignment="1">
      <alignment horizontal="left" vertical="center"/>
    </xf>
    <xf numFmtId="0" fontId="19" fillId="9" borderId="4" xfId="0" applyFont="1" applyFill="1" applyBorder="1" applyAlignment="1">
      <alignment horizontal="center" vertical="center"/>
    </xf>
    <xf numFmtId="0" fontId="10" fillId="25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20" fillId="26" borderId="15" xfId="0" applyFont="1" applyFill="1" applyBorder="1" applyAlignment="1">
      <alignment horizontal="center" vertical="center"/>
    </xf>
    <xf numFmtId="0" fontId="9" fillId="27" borderId="15" xfId="0" applyFont="1" applyFill="1" applyBorder="1" applyAlignment="1">
      <alignment horizontal="left" vertical="center"/>
    </xf>
    <xf numFmtId="0" fontId="9" fillId="28" borderId="15" xfId="0" applyFont="1" applyFill="1" applyBorder="1" applyAlignment="1">
      <alignment horizontal="left" vertical="center"/>
    </xf>
    <xf numFmtId="0" fontId="9" fillId="29" borderId="15" xfId="0" applyFont="1" applyFill="1" applyBorder="1" applyAlignment="1">
      <alignment horizontal="left" vertical="center"/>
    </xf>
    <xf numFmtId="0" fontId="9" fillId="30" borderId="15" xfId="0" applyFont="1" applyFill="1" applyBorder="1" applyAlignment="1">
      <alignment horizontal="left" vertical="center"/>
    </xf>
    <xf numFmtId="0" fontId="9" fillId="31" borderId="15" xfId="0" applyFont="1" applyFill="1" applyBorder="1" applyAlignment="1">
      <alignment horizontal="left" vertical="center"/>
    </xf>
    <xf numFmtId="0" fontId="9" fillId="32" borderId="15" xfId="0" applyFont="1" applyFill="1" applyBorder="1" applyAlignment="1">
      <alignment horizontal="left" vertical="center"/>
    </xf>
    <xf numFmtId="0" fontId="9" fillId="33" borderId="15" xfId="0" applyFont="1" applyFill="1" applyBorder="1" applyAlignment="1">
      <alignment horizontal="left" vertical="center"/>
    </xf>
    <xf numFmtId="0" fontId="0" fillId="2" borderId="0" xfId="0" applyFill="1"/>
    <xf numFmtId="0" fontId="10" fillId="27" borderId="15" xfId="0" applyFont="1" applyFill="1" applyBorder="1" applyAlignment="1">
      <alignment horizontal="center" vertical="center"/>
    </xf>
    <xf numFmtId="0" fontId="10" fillId="30" borderId="15" xfId="0" applyFont="1" applyFill="1" applyBorder="1" applyAlignment="1">
      <alignment horizontal="center" vertical="center"/>
    </xf>
    <xf numFmtId="0" fontId="9" fillId="27" borderId="15" xfId="0" applyFont="1" applyFill="1" applyBorder="1" applyAlignment="1">
      <alignment horizontal="center" vertical="center"/>
    </xf>
    <xf numFmtId="0" fontId="9" fillId="28" borderId="15" xfId="0" applyFont="1" applyFill="1" applyBorder="1" applyAlignment="1">
      <alignment horizontal="center" vertical="center"/>
    </xf>
    <xf numFmtId="0" fontId="9" fillId="29" borderId="15" xfId="0" applyFont="1" applyFill="1" applyBorder="1" applyAlignment="1">
      <alignment horizontal="center" vertical="center"/>
    </xf>
    <xf numFmtId="0" fontId="9" fillId="30" borderId="15" xfId="0" applyFont="1" applyFill="1" applyBorder="1" applyAlignment="1">
      <alignment horizontal="center" vertical="center"/>
    </xf>
    <xf numFmtId="0" fontId="9" fillId="31" borderId="15" xfId="0" applyFont="1" applyFill="1" applyBorder="1" applyAlignment="1">
      <alignment horizontal="center" vertical="center"/>
    </xf>
    <xf numFmtId="0" fontId="9" fillId="32" borderId="15" xfId="0" applyFont="1" applyFill="1" applyBorder="1" applyAlignment="1">
      <alignment horizontal="center" vertical="center"/>
    </xf>
    <xf numFmtId="0" fontId="9" fillId="33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2" fontId="21" fillId="5" borderId="15" xfId="0" applyNumberFormat="1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horizontal="center" vertical="center"/>
    </xf>
    <xf numFmtId="2" fontId="20" fillId="34" borderId="15" xfId="0" applyNumberFormat="1" applyFont="1" applyFill="1" applyBorder="1" applyAlignment="1">
      <alignment horizontal="center" vertical="center"/>
    </xf>
    <xf numFmtId="2" fontId="9" fillId="27" borderId="15" xfId="0" applyNumberFormat="1" applyFont="1" applyFill="1" applyBorder="1" applyAlignment="1">
      <alignment horizontal="center" vertical="center"/>
    </xf>
    <xf numFmtId="0" fontId="23" fillId="27" borderId="0" xfId="0" applyFont="1" applyFill="1" applyAlignment="1">
      <alignment horizontal="center" vertical="center"/>
    </xf>
    <xf numFmtId="0" fontId="20" fillId="34" borderId="15" xfId="0" applyFont="1" applyFill="1" applyBorder="1" applyAlignment="1">
      <alignment horizontal="center" vertical="center"/>
    </xf>
    <xf numFmtId="0" fontId="20" fillId="35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center" vertical="center"/>
    </xf>
    <xf numFmtId="0" fontId="20" fillId="37" borderId="15" xfId="0" applyFont="1" applyFill="1" applyBorder="1" applyAlignment="1">
      <alignment horizontal="center" vertical="center"/>
    </xf>
    <xf numFmtId="0" fontId="20" fillId="38" borderId="15" xfId="0" applyFont="1" applyFill="1" applyBorder="1" applyAlignment="1">
      <alignment horizontal="center" vertical="center"/>
    </xf>
    <xf numFmtId="0" fontId="20" fillId="39" borderId="15" xfId="0" applyFont="1" applyFill="1" applyBorder="1" applyAlignment="1">
      <alignment horizontal="center" vertical="center"/>
    </xf>
    <xf numFmtId="0" fontId="20" fillId="40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2" fillId="51" borderId="0" xfId="0" applyFont="1" applyFill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35" fillId="51" borderId="0" xfId="0" applyFont="1" applyFill="1" applyAlignment="1">
      <alignment vertical="center"/>
    </xf>
    <xf numFmtId="0" fontId="34" fillId="0" borderId="7" xfId="0" applyFont="1" applyBorder="1" applyAlignment="1">
      <alignment vertical="center" wrapText="1"/>
    </xf>
    <xf numFmtId="0" fontId="36" fillId="50" borderId="26" xfId="0" applyFont="1" applyFill="1" applyBorder="1" applyAlignment="1">
      <alignment horizontal="right" vertical="center"/>
    </xf>
    <xf numFmtId="0" fontId="36" fillId="50" borderId="5" xfId="0" applyFont="1" applyFill="1" applyBorder="1" applyAlignment="1">
      <alignment horizontal="center" vertical="center"/>
    </xf>
    <xf numFmtId="0" fontId="36" fillId="50" borderId="5" xfId="0" applyFont="1" applyFill="1" applyBorder="1" applyAlignment="1">
      <alignment vertical="center"/>
    </xf>
    <xf numFmtId="0" fontId="36" fillId="50" borderId="27" xfId="0" applyFont="1" applyFill="1" applyBorder="1" applyAlignment="1">
      <alignment vertical="center"/>
    </xf>
    <xf numFmtId="0" fontId="36" fillId="50" borderId="28" xfId="0" applyFont="1" applyFill="1" applyBorder="1" applyAlignment="1">
      <alignment vertical="center"/>
    </xf>
    <xf numFmtId="0" fontId="36" fillId="50" borderId="20" xfId="0" applyFont="1" applyFill="1" applyBorder="1" applyAlignment="1">
      <alignment vertical="center"/>
    </xf>
    <xf numFmtId="0" fontId="33" fillId="50" borderId="0" xfId="0" applyFont="1" applyFill="1"/>
    <xf numFmtId="9" fontId="0" fillId="0" borderId="0" xfId="1" applyFont="1"/>
    <xf numFmtId="0" fontId="35" fillId="51" borderId="13" xfId="0" applyFont="1" applyFill="1" applyBorder="1" applyAlignment="1">
      <alignment horizontal="center" vertical="center"/>
    </xf>
    <xf numFmtId="0" fontId="37" fillId="51" borderId="13" xfId="0" applyFont="1" applyFill="1" applyBorder="1" applyAlignment="1">
      <alignment vertical="center"/>
    </xf>
    <xf numFmtId="0" fontId="35" fillId="51" borderId="2" xfId="0" applyFont="1" applyFill="1" applyBorder="1" applyAlignment="1">
      <alignment horizontal="center" vertical="center"/>
    </xf>
    <xf numFmtId="0" fontId="37" fillId="51" borderId="2" xfId="0" applyFont="1" applyFill="1" applyBorder="1" applyAlignment="1">
      <alignment vertical="center"/>
    </xf>
    <xf numFmtId="0" fontId="38" fillId="51" borderId="0" xfId="0" applyFont="1" applyFill="1"/>
    <xf numFmtId="0" fontId="36" fillId="50" borderId="29" xfId="0" applyFont="1" applyFill="1" applyBorder="1" applyAlignment="1">
      <alignment horizontal="right" vertical="center"/>
    </xf>
    <xf numFmtId="0" fontId="39" fillId="51" borderId="0" xfId="0" applyFont="1" applyFill="1" applyAlignment="1">
      <alignment horizontal="center" vertical="center"/>
    </xf>
    <xf numFmtId="0" fontId="39" fillId="51" borderId="0" xfId="0" applyFont="1" applyFill="1" applyAlignment="1">
      <alignment vertical="center"/>
    </xf>
    <xf numFmtId="0" fontId="40" fillId="50" borderId="30" xfId="0" applyFont="1" applyFill="1" applyBorder="1" applyAlignment="1">
      <alignment horizontal="center" vertical="center" wrapText="1"/>
    </xf>
    <xf numFmtId="0" fontId="40" fillId="50" borderId="30" xfId="0" applyFont="1" applyFill="1" applyBorder="1" applyAlignment="1">
      <alignment horizontal="center" vertical="top" textRotation="255" wrapText="1"/>
    </xf>
    <xf numFmtId="0" fontId="32" fillId="53" borderId="30" xfId="0" applyFont="1" applyFill="1" applyBorder="1" applyAlignment="1">
      <alignment vertical="top" textRotation="255"/>
    </xf>
    <xf numFmtId="0" fontId="32" fillId="53" borderId="30" xfId="0" applyFont="1" applyFill="1" applyBorder="1" applyAlignment="1">
      <alignment vertical="center" wrapText="1"/>
    </xf>
    <xf numFmtId="0" fontId="40" fillId="52" borderId="30" xfId="0" applyFont="1" applyFill="1" applyBorder="1" applyAlignment="1">
      <alignment horizontal="center" vertical="top" textRotation="255"/>
    </xf>
    <xf numFmtId="0" fontId="40" fillId="50" borderId="22" xfId="0" applyFont="1" applyFill="1" applyBorder="1" applyAlignment="1" applyProtection="1">
      <alignment horizontal="center" vertical="top" textRotation="90" wrapText="1"/>
      <protection hidden="1"/>
    </xf>
    <xf numFmtId="0" fontId="40" fillId="50" borderId="22" xfId="0" applyFont="1" applyFill="1" applyBorder="1" applyAlignment="1" applyProtection="1">
      <alignment horizontal="center" vertical="top" textRotation="90"/>
      <protection hidden="1"/>
    </xf>
    <xf numFmtId="0" fontId="40" fillId="54" borderId="31" xfId="0" applyFont="1" applyFill="1" applyBorder="1" applyAlignment="1">
      <alignment horizontal="center" vertical="top" textRotation="255"/>
    </xf>
    <xf numFmtId="49" fontId="40" fillId="54" borderId="31" xfId="0" applyNumberFormat="1" applyFont="1" applyFill="1" applyBorder="1" applyAlignment="1">
      <alignment horizontal="center" vertical="top" textRotation="255"/>
    </xf>
    <xf numFmtId="0" fontId="40" fillId="54" borderId="22" xfId="0" applyFont="1" applyFill="1" applyBorder="1" applyAlignment="1">
      <alignment horizontal="center" vertical="top" textRotation="255"/>
    </xf>
    <xf numFmtId="0" fontId="40" fillId="54" borderId="32" xfId="0" applyFont="1" applyFill="1" applyBorder="1" applyAlignment="1">
      <alignment horizontal="center" vertical="top" textRotation="255"/>
    </xf>
    <xf numFmtId="0" fontId="40" fillId="54" borderId="33" xfId="0" applyFont="1" applyFill="1" applyBorder="1" applyAlignment="1">
      <alignment horizontal="center" vertical="top" textRotation="255"/>
    </xf>
    <xf numFmtId="0" fontId="40" fillId="54" borderId="34" xfId="0" applyFont="1" applyFill="1" applyBorder="1" applyAlignment="1">
      <alignment horizontal="center" vertical="top" textRotation="255"/>
    </xf>
    <xf numFmtId="0" fontId="40" fillId="54" borderId="7" xfId="0" applyFont="1" applyFill="1" applyBorder="1" applyAlignment="1">
      <alignment horizontal="center" vertical="top" textRotation="255"/>
    </xf>
    <xf numFmtId="0" fontId="40" fillId="55" borderId="7" xfId="0" applyFont="1" applyFill="1" applyBorder="1" applyAlignment="1">
      <alignment horizontal="center" vertical="top" textRotation="255"/>
    </xf>
    <xf numFmtId="0" fontId="40" fillId="55" borderId="7" xfId="0" applyFont="1" applyFill="1" applyBorder="1" applyAlignment="1" applyProtection="1">
      <alignment horizontal="center" vertical="top" textRotation="255"/>
      <protection hidden="1"/>
    </xf>
    <xf numFmtId="0" fontId="40" fillId="55" borderId="0" xfId="0" applyFont="1" applyFill="1" applyAlignment="1">
      <alignment horizontal="center" vertical="top" textRotation="255"/>
    </xf>
    <xf numFmtId="0" fontId="0" fillId="55" borderId="30" xfId="0" applyFill="1" applyBorder="1" applyAlignment="1">
      <alignment horizontal="center" vertical="top" textRotation="255"/>
    </xf>
    <xf numFmtId="0" fontId="0" fillId="56" borderId="35" xfId="0" applyFill="1" applyBorder="1"/>
    <xf numFmtId="0" fontId="0" fillId="51" borderId="36" xfId="0" applyFill="1" applyBorder="1"/>
    <xf numFmtId="0" fontId="32" fillId="50" borderId="5" xfId="0" applyFont="1" applyFill="1" applyBorder="1" applyAlignment="1">
      <alignment horizontal="center" vertical="center"/>
    </xf>
    <xf numFmtId="0" fontId="0" fillId="51" borderId="37" xfId="0" applyFill="1" applyBorder="1"/>
    <xf numFmtId="0" fontId="42" fillId="51" borderId="35" xfId="0" applyFont="1" applyFill="1" applyBorder="1" applyAlignment="1" applyProtection="1">
      <alignment horizontal="center" vertical="center"/>
      <protection hidden="1"/>
    </xf>
    <xf numFmtId="0" fontId="42" fillId="51" borderId="36" xfId="0" applyFont="1" applyFill="1" applyBorder="1" applyAlignment="1" applyProtection="1">
      <alignment horizontal="center" vertical="center"/>
      <protection hidden="1"/>
    </xf>
    <xf numFmtId="0" fontId="35" fillId="56" borderId="35" xfId="0" applyFont="1" applyFill="1" applyBorder="1" applyAlignment="1">
      <alignment horizontal="left"/>
    </xf>
    <xf numFmtId="0" fontId="36" fillId="50" borderId="5" xfId="0" applyFont="1" applyFill="1" applyBorder="1" applyAlignment="1" applyProtection="1">
      <alignment horizontal="center" vertical="center"/>
      <protection hidden="1"/>
    </xf>
    <xf numFmtId="0" fontId="43" fillId="58" borderId="38" xfId="0" applyFont="1" applyFill="1" applyBorder="1" applyAlignment="1">
      <alignment horizontal="center" vertical="center" wrapText="1"/>
    </xf>
    <xf numFmtId="0" fontId="43" fillId="58" borderId="39" xfId="0" applyFont="1" applyFill="1" applyBorder="1" applyAlignment="1">
      <alignment horizontal="center" vertical="center" wrapText="1"/>
    </xf>
    <xf numFmtId="0" fontId="43" fillId="58" borderId="40" xfId="0" applyFont="1" applyFill="1" applyBorder="1" applyAlignment="1">
      <alignment horizontal="left" vertical="center" wrapText="1"/>
    </xf>
    <xf numFmtId="0" fontId="45" fillId="51" borderId="2" xfId="0" applyFont="1" applyFill="1" applyBorder="1" applyAlignment="1" applyProtection="1">
      <alignment horizontal="center" vertical="center"/>
      <protection hidden="1"/>
    </xf>
    <xf numFmtId="0" fontId="45" fillId="51" borderId="1" xfId="0" applyFont="1" applyFill="1" applyBorder="1" applyAlignment="1" applyProtection="1">
      <alignment horizontal="center" vertical="center"/>
      <protection locked="0"/>
    </xf>
    <xf numFmtId="0" fontId="43" fillId="58" borderId="41" xfId="0" applyFont="1" applyFill="1" applyBorder="1" applyAlignment="1">
      <alignment horizontal="center" vertical="center" wrapText="1"/>
    </xf>
    <xf numFmtId="0" fontId="43" fillId="58" borderId="42" xfId="0" applyFont="1" applyFill="1" applyBorder="1" applyAlignment="1">
      <alignment horizontal="center" vertical="center" wrapText="1"/>
    </xf>
    <xf numFmtId="0" fontId="43" fillId="58" borderId="40" xfId="0" applyFont="1" applyFill="1" applyBorder="1" applyAlignment="1">
      <alignment horizontal="center" vertical="center" wrapText="1"/>
    </xf>
    <xf numFmtId="1" fontId="43" fillId="58" borderId="41" xfId="0" applyNumberFormat="1" applyFont="1" applyFill="1" applyBorder="1" applyAlignment="1">
      <alignment horizontal="center" vertical="center" wrapText="1"/>
    </xf>
    <xf numFmtId="1" fontId="45" fillId="51" borderId="2" xfId="0" applyNumberFormat="1" applyFont="1" applyFill="1" applyBorder="1" applyAlignment="1" applyProtection="1">
      <alignment horizontal="center" vertical="center"/>
      <protection hidden="1"/>
    </xf>
    <xf numFmtId="0" fontId="28" fillId="44" borderId="43" xfId="0" applyFont="1" applyFill="1" applyBorder="1" applyAlignment="1">
      <alignment horizontal="center" vertical="center" wrapText="1"/>
    </xf>
    <xf numFmtId="0" fontId="29" fillId="45" borderId="44" xfId="0" applyFont="1" applyFill="1" applyBorder="1" applyAlignment="1">
      <alignment horizontal="left" vertical="center"/>
    </xf>
    <xf numFmtId="0" fontId="45" fillId="51" borderId="13" xfId="0" applyFont="1" applyFill="1" applyBorder="1" applyAlignment="1" applyProtection="1">
      <alignment horizontal="center" vertical="center"/>
      <protection hidden="1"/>
    </xf>
    <xf numFmtId="0" fontId="29" fillId="45" borderId="44" xfId="0" applyFont="1" applyFill="1" applyBorder="1" applyAlignment="1">
      <alignment horizontal="center" vertical="center" wrapText="1"/>
    </xf>
    <xf numFmtId="2" fontId="4" fillId="10" borderId="21" xfId="0" applyNumberFormat="1" applyFont="1" applyFill="1" applyBorder="1" applyAlignment="1">
      <alignment horizontal="center" vertical="center"/>
    </xf>
    <xf numFmtId="1" fontId="13" fillId="13" borderId="33" xfId="0" applyNumberFormat="1" applyFont="1" applyFill="1" applyBorder="1" applyAlignment="1" applyProtection="1">
      <alignment horizontal="left" vertical="center" wrapText="1"/>
      <protection hidden="1"/>
    </xf>
    <xf numFmtId="0" fontId="28" fillId="44" borderId="2" xfId="0" applyFont="1" applyFill="1" applyBorder="1" applyAlignment="1">
      <alignment horizontal="center" vertical="center" wrapText="1"/>
    </xf>
    <xf numFmtId="0" fontId="29" fillId="45" borderId="2" xfId="0" applyFont="1" applyFill="1" applyBorder="1" applyAlignment="1">
      <alignment horizontal="left" vertical="center"/>
    </xf>
    <xf numFmtId="0" fontId="29" fillId="45" borderId="2" xfId="0" applyFont="1" applyFill="1" applyBorder="1" applyAlignment="1">
      <alignment horizontal="center" vertical="center" wrapText="1"/>
    </xf>
    <xf numFmtId="2" fontId="4" fillId="10" borderId="2" xfId="0" applyNumberFormat="1" applyFont="1" applyFill="1" applyBorder="1" applyAlignment="1">
      <alignment horizontal="center" vertical="center"/>
    </xf>
    <xf numFmtId="1" fontId="13" fillId="13" borderId="2" xfId="0" applyNumberFormat="1" applyFont="1" applyFill="1" applyBorder="1" applyAlignment="1" applyProtection="1">
      <alignment horizontal="left" vertical="center" wrapText="1"/>
      <protection hidden="1"/>
    </xf>
    <xf numFmtId="0" fontId="30" fillId="45" borderId="2" xfId="0" applyFont="1" applyFill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1" fontId="13" fillId="59" borderId="2" xfId="0" applyNumberFormat="1" applyFont="1" applyFill="1" applyBorder="1" applyAlignment="1" applyProtection="1">
      <alignment horizontal="left" vertical="center" wrapText="1"/>
      <protection hidden="1"/>
    </xf>
    <xf numFmtId="0" fontId="28" fillId="44" borderId="45" xfId="0" applyFont="1" applyFill="1" applyBorder="1" applyAlignment="1">
      <alignment horizontal="center" vertical="center" wrapText="1"/>
    </xf>
    <xf numFmtId="167" fontId="11" fillId="0" borderId="2" xfId="1" applyNumberFormat="1" applyFont="1" applyBorder="1"/>
    <xf numFmtId="0" fontId="30" fillId="45" borderId="43" xfId="0" applyFont="1" applyFill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0" fontId="47" fillId="44" borderId="45" xfId="0" applyFont="1" applyFill="1" applyBorder="1" applyAlignment="1">
      <alignment horizontal="center" vertical="center" wrapText="1"/>
    </xf>
    <xf numFmtId="0" fontId="27" fillId="43" borderId="2" xfId="0" applyFont="1" applyFill="1" applyBorder="1" applyAlignment="1">
      <alignment horizontal="center" vertical="center" wrapText="1"/>
    </xf>
    <xf numFmtId="0" fontId="31" fillId="46" borderId="2" xfId="0" applyFont="1" applyFill="1" applyBorder="1" applyAlignment="1">
      <alignment horizontal="center" vertical="center" wrapText="1"/>
    </xf>
    <xf numFmtId="0" fontId="31" fillId="47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/>
    </xf>
    <xf numFmtId="0" fontId="27" fillId="49" borderId="2" xfId="0" applyFont="1" applyFill="1" applyBorder="1" applyAlignment="1">
      <alignment horizontal="center" vertical="center" wrapText="1"/>
    </xf>
    <xf numFmtId="0" fontId="43" fillId="60" borderId="0" xfId="0" applyFont="1" applyFill="1" applyAlignment="1">
      <alignment horizontal="center" vertical="center" wrapText="1"/>
    </xf>
    <xf numFmtId="1" fontId="43" fillId="60" borderId="0" xfId="0" applyNumberFormat="1" applyFont="1" applyFill="1" applyAlignment="1">
      <alignment horizontal="center" vertical="center" wrapText="1"/>
    </xf>
    <xf numFmtId="0" fontId="0" fillId="51" borderId="0" xfId="0" applyFill="1"/>
    <xf numFmtId="0" fontId="2" fillId="2" borderId="12" xfId="0" applyFont="1" applyFill="1" applyBorder="1" applyAlignment="1">
      <alignment horizontal="center" vertical="center"/>
    </xf>
    <xf numFmtId="0" fontId="2" fillId="59" borderId="0" xfId="0" applyFont="1" applyFill="1" applyAlignment="1">
      <alignment horizontal="center" vertical="center"/>
    </xf>
    <xf numFmtId="0" fontId="2" fillId="59" borderId="46" xfId="0" applyFont="1" applyFill="1" applyBorder="1" applyAlignment="1">
      <alignment horizontal="center" vertical="center"/>
    </xf>
    <xf numFmtId="0" fontId="44" fillId="8" borderId="5" xfId="0" applyFont="1" applyFill="1" applyBorder="1" applyAlignment="1">
      <alignment horizontal="center" vertical="center" wrapText="1"/>
    </xf>
    <xf numFmtId="0" fontId="0" fillId="51" borderId="0" xfId="0" applyFill="1" applyAlignment="1">
      <alignment horizontal="center" vertical="center"/>
    </xf>
    <xf numFmtId="0" fontId="40" fillId="50" borderId="22" xfId="0" applyFont="1" applyFill="1" applyBorder="1" applyAlignment="1" applyProtection="1">
      <alignment horizontal="center" vertical="center" wrapText="1"/>
      <protection hidden="1"/>
    </xf>
    <xf numFmtId="0" fontId="0" fillId="57" borderId="0" xfId="0" applyFill="1" applyAlignment="1">
      <alignment horizontal="center"/>
    </xf>
    <xf numFmtId="0" fontId="46" fillId="0" borderId="2" xfId="0" applyFont="1" applyBorder="1"/>
    <xf numFmtId="0" fontId="41" fillId="56" borderId="35" xfId="0" applyFont="1" applyFill="1" applyBorder="1" applyAlignment="1">
      <alignment horizontal="left"/>
    </xf>
    <xf numFmtId="0" fontId="41" fillId="56" borderId="35" xfId="0" applyFont="1" applyFill="1" applyBorder="1" applyAlignment="1">
      <alignment horizontal="center"/>
    </xf>
    <xf numFmtId="0" fontId="0" fillId="51" borderId="35" xfId="0" applyFill="1" applyBorder="1"/>
    <xf numFmtId="0" fontId="46" fillId="0" borderId="2" xfId="0" applyFont="1" applyBorder="1" applyAlignment="1">
      <alignment horizontal="center" textRotation="90"/>
    </xf>
    <xf numFmtId="0" fontId="24" fillId="8" borderId="5" xfId="0" applyFont="1" applyFill="1" applyBorder="1" applyAlignment="1">
      <alignment horizontal="center" vertical="center" wrapText="1"/>
    </xf>
    <xf numFmtId="0" fontId="21" fillId="9" borderId="16" xfId="0" applyFont="1" applyFill="1" applyBorder="1" applyAlignment="1">
      <alignment horizontal="left" vertical="center"/>
    </xf>
    <xf numFmtId="0" fontId="21" fillId="9" borderId="47" xfId="0" applyFont="1" applyFill="1" applyBorder="1" applyAlignment="1">
      <alignment horizontal="left" vertical="center"/>
    </xf>
    <xf numFmtId="0" fontId="20" fillId="26" borderId="48" xfId="0" applyFont="1" applyFill="1" applyBorder="1" applyAlignment="1">
      <alignment horizontal="center" vertical="center"/>
    </xf>
    <xf numFmtId="0" fontId="20" fillId="26" borderId="49" xfId="0" applyFont="1" applyFill="1" applyBorder="1" applyAlignment="1">
      <alignment horizontal="center" vertical="center"/>
    </xf>
    <xf numFmtId="0" fontId="20" fillId="40" borderId="50" xfId="0" applyFont="1" applyFill="1" applyBorder="1" applyAlignment="1">
      <alignment horizontal="center" vertical="center"/>
    </xf>
    <xf numFmtId="0" fontId="9" fillId="33" borderId="50" xfId="0" applyFont="1" applyFill="1" applyBorder="1" applyAlignment="1">
      <alignment horizontal="left" vertical="center"/>
    </xf>
    <xf numFmtId="0" fontId="21" fillId="9" borderId="51" xfId="0" applyFont="1" applyFill="1" applyBorder="1" applyAlignment="1">
      <alignment horizontal="left" vertical="center"/>
    </xf>
    <xf numFmtId="0" fontId="16" fillId="63" borderId="0" xfId="0" applyFont="1" applyFill="1" applyAlignment="1">
      <alignment horizontal="center" vertical="center"/>
    </xf>
    <xf numFmtId="0" fontId="7" fillId="64" borderId="0" xfId="0" applyFont="1" applyFill="1" applyAlignment="1">
      <alignment horizontal="left" vertical="center"/>
    </xf>
    <xf numFmtId="1" fontId="13" fillId="13" borderId="10" xfId="0" applyNumberFormat="1" applyFont="1" applyFill="1" applyBorder="1" applyAlignment="1" applyProtection="1">
      <alignment horizontal="left" vertical="center" wrapText="1"/>
      <protection hidden="1"/>
    </xf>
    <xf numFmtId="0" fontId="29" fillId="45" borderId="8" xfId="0" applyFont="1" applyFill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1" fontId="13" fillId="13" borderId="1" xfId="0" applyNumberFormat="1" applyFont="1" applyFill="1" applyBorder="1" applyAlignment="1" applyProtection="1">
      <alignment horizontal="left" vertical="center" wrapText="1"/>
      <protection hidden="1"/>
    </xf>
    <xf numFmtId="0" fontId="28" fillId="44" borderId="52" xfId="0" applyFont="1" applyFill="1" applyBorder="1" applyAlignment="1">
      <alignment horizontal="center" vertical="center" wrapText="1"/>
    </xf>
    <xf numFmtId="0" fontId="28" fillId="44" borderId="13" xfId="0" applyFont="1" applyFill="1" applyBorder="1" applyAlignment="1">
      <alignment horizontal="center" vertical="center" wrapText="1"/>
    </xf>
    <xf numFmtId="0" fontId="28" fillId="44" borderId="3" xfId="0" applyFont="1" applyFill="1" applyBorder="1" applyAlignment="1">
      <alignment horizontal="center" vertical="center" wrapText="1"/>
    </xf>
    <xf numFmtId="0" fontId="29" fillId="45" borderId="53" xfId="0" applyFont="1" applyFill="1" applyBorder="1" applyAlignment="1">
      <alignment horizontal="left" vertical="center"/>
    </xf>
    <xf numFmtId="0" fontId="45" fillId="51" borderId="10" xfId="0" applyFont="1" applyFill="1" applyBorder="1" applyAlignment="1" applyProtection="1">
      <alignment horizontal="center" vertical="center"/>
      <protection hidden="1"/>
    </xf>
    <xf numFmtId="0" fontId="29" fillId="45" borderId="10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/>
    </xf>
    <xf numFmtId="2" fontId="4" fillId="10" borderId="10" xfId="0" applyNumberFormat="1" applyFont="1" applyFill="1" applyBorder="1" applyAlignment="1">
      <alignment horizontal="center" vertical="center"/>
    </xf>
    <xf numFmtId="1" fontId="13" fillId="13" borderId="12" xfId="0" applyNumberFormat="1" applyFont="1" applyFill="1" applyBorder="1" applyAlignment="1" applyProtection="1">
      <alignment horizontal="left" vertical="center" wrapText="1"/>
      <protection hidden="1"/>
    </xf>
    <xf numFmtId="0" fontId="48" fillId="0" borderId="53" xfId="0" applyFont="1" applyBorder="1" applyAlignment="1">
      <alignment horizontal="left" vertical="center"/>
    </xf>
    <xf numFmtId="167" fontId="11" fillId="0" borderId="10" xfId="1" applyNumberFormat="1" applyFont="1" applyBorder="1"/>
    <xf numFmtId="2" fontId="29" fillId="45" borderId="10" xfId="0" applyNumberFormat="1" applyFont="1" applyFill="1" applyBorder="1" applyAlignment="1">
      <alignment horizontal="center" vertical="center" wrapText="1"/>
    </xf>
    <xf numFmtId="0" fontId="29" fillId="45" borderId="43" xfId="0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28" fillId="44" borderId="54" xfId="0" applyFont="1" applyFill="1" applyBorder="1" applyAlignment="1">
      <alignment horizontal="center" vertical="center" wrapText="1"/>
    </xf>
    <xf numFmtId="0" fontId="28" fillId="44" borderId="44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left" vertical="center"/>
    </xf>
    <xf numFmtId="0" fontId="28" fillId="44" borderId="55" xfId="0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0" fillId="0" borderId="18" xfId="0" applyBorder="1"/>
    <xf numFmtId="0" fontId="0" fillId="0" borderId="0" xfId="0"/>
    <xf numFmtId="0" fontId="0" fillId="0" borderId="17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10" borderId="2" xfId="0" applyFont="1" applyFill="1" applyBorder="1" applyAlignment="1">
      <alignment horizontal="left" vertical="center"/>
    </xf>
    <xf numFmtId="0" fontId="45" fillId="51" borderId="6" xfId="0" applyFont="1" applyFill="1" applyBorder="1" applyAlignment="1" applyProtection="1">
      <alignment horizontal="center" vertical="center"/>
      <protection hidden="1"/>
    </xf>
    <xf numFmtId="0" fontId="1" fillId="65" borderId="5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/>
    </xf>
    <xf numFmtId="2" fontId="4" fillId="10" borderId="6" xfId="0" applyNumberFormat="1" applyFon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43" fillId="58" borderId="42" xfId="0" applyNumberFormat="1" applyFont="1" applyFill="1" applyBorder="1" applyAlignment="1">
      <alignment horizontal="center" vertical="center" wrapText="1"/>
    </xf>
    <xf numFmtId="165" fontId="43" fillId="60" borderId="0" xfId="0" applyNumberFormat="1" applyFont="1" applyFill="1" applyAlignment="1">
      <alignment horizontal="center" vertical="center" wrapText="1"/>
    </xf>
    <xf numFmtId="164" fontId="7" fillId="10" borderId="2" xfId="0" applyNumberFormat="1" applyFont="1" applyFill="1" applyBorder="1" applyAlignment="1">
      <alignment horizontal="center" vertical="center"/>
    </xf>
    <xf numFmtId="165" fontId="12" fillId="0" borderId="21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166" fontId="30" fillId="45" borderId="2" xfId="0" applyNumberFormat="1" applyFont="1" applyFill="1" applyBorder="1" applyAlignment="1">
      <alignment horizontal="center" vertical="center" wrapText="1"/>
    </xf>
    <xf numFmtId="165" fontId="4" fillId="10" borderId="0" xfId="0" applyNumberFormat="1" applyFont="1" applyFill="1" applyAlignment="1">
      <alignment horizontal="left" vertical="center"/>
    </xf>
    <xf numFmtId="164" fontId="7" fillId="9" borderId="9" xfId="0" applyNumberFormat="1" applyFont="1" applyFill="1" applyBorder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5" fontId="35" fillId="51" borderId="13" xfId="0" applyNumberFormat="1" applyFont="1" applyFill="1" applyBorder="1" applyAlignment="1">
      <alignment horizontal="center" vertical="center"/>
    </xf>
    <xf numFmtId="166" fontId="35" fillId="51" borderId="3" xfId="0" applyNumberFormat="1" applyFont="1" applyFill="1" applyBorder="1" applyAlignment="1">
      <alignment vertical="center"/>
    </xf>
    <xf numFmtId="165" fontId="35" fillId="51" borderId="2" xfId="0" applyNumberFormat="1" applyFont="1" applyFill="1" applyBorder="1" applyAlignment="1">
      <alignment horizontal="center" vertical="center"/>
    </xf>
    <xf numFmtId="166" fontId="35" fillId="51" borderId="1" xfId="0" applyNumberFormat="1" applyFont="1" applyFill="1" applyBorder="1" applyAlignment="1">
      <alignment vertical="center"/>
    </xf>
    <xf numFmtId="165" fontId="39" fillId="51" borderId="0" xfId="0" applyNumberFormat="1" applyFont="1" applyFill="1" applyAlignment="1">
      <alignment horizontal="center" vertical="center"/>
    </xf>
    <xf numFmtId="166" fontId="39" fillId="51" borderId="0" xfId="0" applyNumberFormat="1" applyFont="1" applyFill="1" applyAlignment="1">
      <alignment horizontal="center" vertical="center"/>
    </xf>
    <xf numFmtId="0" fontId="51" fillId="0" borderId="2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32" fillId="67" borderId="30" xfId="2" applyFont="1" applyFill="1" applyBorder="1" applyAlignment="1">
      <alignment horizontal="center" vertical="center"/>
    </xf>
    <xf numFmtId="165" fontId="54" fillId="51" borderId="13" xfId="2" applyNumberFormat="1" applyFont="1" applyFill="1" applyBorder="1" applyAlignment="1">
      <alignment horizontal="center" vertical="center"/>
    </xf>
    <xf numFmtId="165" fontId="52" fillId="51" borderId="13" xfId="0" applyNumberFormat="1" applyFont="1" applyFill="1" applyBorder="1" applyAlignment="1">
      <alignment horizontal="center"/>
    </xf>
    <xf numFmtId="165" fontId="54" fillId="51" borderId="2" xfId="2" applyNumberFormat="1" applyFont="1" applyFill="1" applyBorder="1" applyAlignment="1">
      <alignment horizontal="center" vertical="center"/>
    </xf>
    <xf numFmtId="165" fontId="52" fillId="51" borderId="2" xfId="0" applyNumberFormat="1" applyFont="1" applyFill="1" applyBorder="1" applyAlignment="1">
      <alignment horizontal="center" vertical="center"/>
    </xf>
    <xf numFmtId="165" fontId="52" fillId="51" borderId="2" xfId="0" applyNumberFormat="1" applyFont="1" applyFill="1" applyBorder="1" applyAlignment="1">
      <alignment horizontal="center"/>
    </xf>
    <xf numFmtId="0" fontId="32" fillId="50" borderId="56" xfId="2" applyFont="1" applyFill="1" applyBorder="1" applyAlignment="1">
      <alignment vertical="center"/>
    </xf>
    <xf numFmtId="0" fontId="32" fillId="50" borderId="19" xfId="2" applyFont="1" applyFill="1" applyBorder="1" applyAlignment="1">
      <alignment horizontal="center" vertical="center"/>
    </xf>
    <xf numFmtId="0" fontId="0" fillId="0" borderId="0" xfId="0" applyNumberFormat="1" applyAlignment="1"/>
    <xf numFmtId="0" fontId="0" fillId="0" borderId="0" xfId="0" applyNumberFormat="1"/>
    <xf numFmtId="0" fontId="0" fillId="0" borderId="0" xfId="0" applyAlignment="1"/>
    <xf numFmtId="0" fontId="0" fillId="0" borderId="0" xfId="0"/>
    <xf numFmtId="0" fontId="0" fillId="0" borderId="0" xfId="0" applyBorder="1"/>
    <xf numFmtId="0" fontId="50" fillId="5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/>
    <xf numFmtId="0" fontId="4" fillId="9" borderId="52" xfId="0" applyFont="1" applyFill="1" applyBorder="1" applyAlignment="1">
      <alignment horizontal="left" vertical="center"/>
    </xf>
    <xf numFmtId="0" fontId="56" fillId="69" borderId="59" xfId="0" applyNumberFormat="1" applyFont="1" applyFill="1" applyBorder="1" applyAlignment="1">
      <alignment horizontal="center"/>
    </xf>
    <xf numFmtId="0" fontId="56" fillId="69" borderId="60" xfId="0" applyNumberFormat="1" applyFont="1" applyFill="1" applyBorder="1" applyAlignment="1">
      <alignment horizontal="center"/>
    </xf>
    <xf numFmtId="0" fontId="57" fillId="70" borderId="62" xfId="0" applyNumberFormat="1" applyFont="1" applyFill="1" applyBorder="1" applyAlignment="1">
      <alignment horizontal="left"/>
    </xf>
    <xf numFmtId="0" fontId="57" fillId="70" borderId="63" xfId="0" applyNumberFormat="1" applyFont="1" applyFill="1" applyBorder="1" applyAlignment="1">
      <alignment horizontal="left"/>
    </xf>
    <xf numFmtId="0" fontId="57" fillId="70" borderId="64" xfId="0" applyNumberFormat="1" applyFont="1" applyFill="1" applyBorder="1" applyAlignment="1">
      <alignment horizontal="left"/>
    </xf>
    <xf numFmtId="3" fontId="57" fillId="70" borderId="0" xfId="0" applyNumberFormat="1" applyFont="1" applyFill="1" applyBorder="1" applyAlignment="1">
      <alignment horizontal="center"/>
    </xf>
    <xf numFmtId="3" fontId="57" fillId="70" borderId="61" xfId="0" applyNumberFormat="1" applyFont="1" applyFill="1" applyBorder="1" applyAlignment="1">
      <alignment horizontal="center"/>
    </xf>
    <xf numFmtId="3" fontId="57" fillId="70" borderId="64" xfId="0" applyNumberFormat="1" applyFont="1" applyFill="1" applyBorder="1" applyAlignment="1">
      <alignment horizontal="center"/>
    </xf>
    <xf numFmtId="3" fontId="57" fillId="70" borderId="68" xfId="0" applyNumberFormat="1" applyFont="1" applyFill="1" applyBorder="1" applyAlignment="1">
      <alignment horizontal="center"/>
    </xf>
    <xf numFmtId="3" fontId="57" fillId="70" borderId="62" xfId="0" applyNumberFormat="1" applyFont="1" applyFill="1" applyBorder="1" applyAlignment="1">
      <alignment horizontal="center"/>
    </xf>
    <xf numFmtId="3" fontId="57" fillId="70" borderId="63" xfId="0" applyNumberFormat="1" applyFont="1" applyFill="1" applyBorder="1" applyAlignment="1">
      <alignment horizontal="center"/>
    </xf>
    <xf numFmtId="2" fontId="57" fillId="71" borderId="0" xfId="0" applyNumberFormat="1" applyFont="1" applyFill="1" applyBorder="1" applyAlignment="1">
      <alignment horizontal="center"/>
    </xf>
    <xf numFmtId="2" fontId="57" fillId="71" borderId="68" xfId="0" applyNumberFormat="1" applyFont="1" applyFill="1" applyBorder="1" applyAlignment="1">
      <alignment horizontal="center"/>
    </xf>
    <xf numFmtId="0" fontId="57" fillId="71" borderId="66" xfId="0" applyNumberFormat="1" applyFont="1" applyFill="1" applyBorder="1" applyAlignment="1">
      <alignment horizontal="left"/>
    </xf>
    <xf numFmtId="0" fontId="57" fillId="71" borderId="67" xfId="0" applyNumberFormat="1" applyFont="1" applyFill="1" applyBorder="1" applyAlignment="1">
      <alignment horizontal="left"/>
    </xf>
    <xf numFmtId="3" fontId="57" fillId="71" borderId="65" xfId="0" applyNumberFormat="1" applyFont="1" applyFill="1" applyBorder="1" applyAlignment="1">
      <alignment horizontal="center"/>
    </xf>
    <xf numFmtId="3" fontId="0" fillId="0" borderId="0" xfId="0" applyNumberFormat="1"/>
    <xf numFmtId="0" fontId="57" fillId="71" borderId="62" xfId="0" applyNumberFormat="1" applyFont="1" applyFill="1" applyBorder="1" applyAlignment="1">
      <alignment horizontal="left"/>
    </xf>
    <xf numFmtId="0" fontId="0" fillId="0" borderId="5" xfId="0" applyBorder="1"/>
    <xf numFmtId="0" fontId="56" fillId="69" borderId="5" xfId="0" applyNumberFormat="1" applyFont="1" applyFill="1" applyBorder="1" applyAlignment="1">
      <alignment horizontal="center"/>
    </xf>
    <xf numFmtId="0" fontId="45" fillId="51" borderId="5" xfId="0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35" fillId="51" borderId="52" xfId="0" applyFont="1" applyFill="1" applyBorder="1" applyAlignment="1">
      <alignment horizontal="left" vertical="top"/>
    </xf>
    <xf numFmtId="0" fontId="35" fillId="51" borderId="13" xfId="0" applyFont="1" applyFill="1" applyBorder="1" applyAlignment="1">
      <alignment horizontal="left" vertical="top"/>
    </xf>
    <xf numFmtId="0" fontId="35" fillId="51" borderId="8" xfId="0" applyFont="1" applyFill="1" applyBorder="1" applyAlignment="1">
      <alignment horizontal="left" vertical="top"/>
    </xf>
    <xf numFmtId="0" fontId="35" fillId="51" borderId="2" xfId="0" applyFont="1" applyFill="1" applyBorder="1" applyAlignment="1">
      <alignment horizontal="left" vertical="top"/>
    </xf>
    <xf numFmtId="0" fontId="35" fillId="51" borderId="8" xfId="0" applyFont="1" applyFill="1" applyBorder="1" applyAlignment="1">
      <alignment horizontal="center" vertical="center"/>
    </xf>
    <xf numFmtId="0" fontId="35" fillId="51" borderId="53" xfId="0" applyFont="1" applyFill="1" applyBorder="1" applyAlignment="1">
      <alignment horizontal="left" vertical="top"/>
    </xf>
    <xf numFmtId="0" fontId="35" fillId="51" borderId="10" xfId="0" applyFont="1" applyFill="1" applyBorder="1" applyAlignment="1">
      <alignment horizontal="left" vertical="top"/>
    </xf>
    <xf numFmtId="0" fontId="59" fillId="51" borderId="2" xfId="0" applyFont="1" applyFill="1" applyBorder="1" applyAlignment="1">
      <alignment horizontal="center" vertical="center"/>
    </xf>
    <xf numFmtId="0" fontId="59" fillId="72" borderId="13" xfId="0" applyFont="1" applyFill="1" applyBorder="1" applyAlignment="1">
      <alignment horizontal="center" vertical="center"/>
    </xf>
    <xf numFmtId="0" fontId="59" fillId="72" borderId="13" xfId="0" applyFont="1" applyFill="1" applyBorder="1" applyAlignment="1">
      <alignment horizontal="left" vertical="center"/>
    </xf>
    <xf numFmtId="0" fontId="59" fillId="64" borderId="13" xfId="0" applyFont="1" applyFill="1" applyBorder="1" applyAlignment="1">
      <alignment horizontal="center" vertical="center"/>
    </xf>
    <xf numFmtId="0" fontId="59" fillId="51" borderId="13" xfId="0" applyFont="1" applyFill="1" applyBorder="1" applyAlignment="1">
      <alignment horizontal="center" vertical="center"/>
    </xf>
    <xf numFmtId="0" fontId="59" fillId="51" borderId="13" xfId="0" applyFont="1" applyFill="1" applyBorder="1"/>
    <xf numFmtId="0" fontId="59" fillId="51" borderId="3" xfId="0" applyFont="1" applyFill="1" applyBorder="1"/>
    <xf numFmtId="0" fontId="59" fillId="72" borderId="2" xfId="0" applyFont="1" applyFill="1" applyBorder="1" applyAlignment="1">
      <alignment horizontal="center" vertical="center"/>
    </xf>
    <xf numFmtId="0" fontId="59" fillId="72" borderId="2" xfId="0" applyFont="1" applyFill="1" applyBorder="1" applyAlignment="1">
      <alignment horizontal="left" vertical="center"/>
    </xf>
    <xf numFmtId="0" fontId="59" fillId="64" borderId="2" xfId="0" applyFont="1" applyFill="1" applyBorder="1" applyAlignment="1">
      <alignment horizontal="center" vertical="center"/>
    </xf>
    <xf numFmtId="0" fontId="59" fillId="51" borderId="2" xfId="0" applyFont="1" applyFill="1" applyBorder="1"/>
    <xf numFmtId="0" fontId="59" fillId="51" borderId="1" xfId="0" applyFont="1" applyFill="1" applyBorder="1"/>
    <xf numFmtId="0" fontId="59" fillId="51" borderId="8" xfId="0" applyFont="1" applyFill="1" applyBorder="1"/>
    <xf numFmtId="0" fontId="59" fillId="51" borderId="2" xfId="0" applyNumberFormat="1" applyFont="1" applyFill="1" applyBorder="1" applyAlignment="1">
      <alignment horizontal="center" vertical="center"/>
    </xf>
    <xf numFmtId="0" fontId="59" fillId="51" borderId="2" xfId="0" applyNumberFormat="1" applyFont="1" applyFill="1" applyBorder="1" applyAlignment="1"/>
    <xf numFmtId="0" fontId="59" fillId="51" borderId="2" xfId="0" applyNumberFormat="1" applyFont="1" applyFill="1" applyBorder="1"/>
    <xf numFmtId="0" fontId="59" fillId="51" borderId="1" xfId="0" applyNumberFormat="1" applyFont="1" applyFill="1" applyBorder="1"/>
    <xf numFmtId="0" fontId="59" fillId="51" borderId="1" xfId="0" applyFont="1" applyFill="1" applyBorder="1" applyAlignment="1">
      <alignment horizontal="center" vertical="center"/>
    </xf>
    <xf numFmtId="0" fontId="59" fillId="72" borderId="10" xfId="0" applyFont="1" applyFill="1" applyBorder="1" applyAlignment="1">
      <alignment horizontal="center" vertical="center"/>
    </xf>
    <xf numFmtId="0" fontId="59" fillId="72" borderId="10" xfId="0" applyFont="1" applyFill="1" applyBorder="1" applyAlignment="1">
      <alignment horizontal="left" vertical="center"/>
    </xf>
    <xf numFmtId="0" fontId="59" fillId="64" borderId="10" xfId="0" applyFont="1" applyFill="1" applyBorder="1" applyAlignment="1">
      <alignment horizontal="center" vertical="center"/>
    </xf>
    <xf numFmtId="0" fontId="35" fillId="51" borderId="10" xfId="0" applyFont="1" applyFill="1" applyBorder="1" applyAlignment="1">
      <alignment horizontal="center" vertical="center"/>
    </xf>
    <xf numFmtId="0" fontId="59" fillId="51" borderId="10" xfId="0" applyFont="1" applyFill="1" applyBorder="1" applyAlignment="1">
      <alignment horizontal="center" vertical="center"/>
    </xf>
    <xf numFmtId="0" fontId="59" fillId="51" borderId="10" xfId="0" applyFont="1" applyFill="1" applyBorder="1"/>
    <xf numFmtId="0" fontId="59" fillId="51" borderId="12" xfId="0" applyFont="1" applyFill="1" applyBorder="1"/>
    <xf numFmtId="0" fontId="24" fillId="73" borderId="5" xfId="0" applyFont="1" applyFill="1" applyBorder="1" applyAlignment="1">
      <alignment horizontal="center" vertical="center" wrapText="1"/>
    </xf>
    <xf numFmtId="0" fontId="50" fillId="74" borderId="5" xfId="0" applyFont="1" applyFill="1" applyBorder="1" applyAlignment="1">
      <alignment horizontal="center" vertical="center"/>
    </xf>
    <xf numFmtId="0" fontId="50" fillId="74" borderId="5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43" fillId="58" borderId="39" xfId="0" applyFont="1" applyFill="1" applyBorder="1" applyAlignment="1">
      <alignment horizontal="right" vertical="center" wrapText="1"/>
    </xf>
    <xf numFmtId="0" fontId="43" fillId="58" borderId="40" xfId="0" applyFont="1" applyFill="1" applyBorder="1" applyAlignment="1">
      <alignment horizontal="right" vertical="center" wrapText="1"/>
    </xf>
    <xf numFmtId="9" fontId="30" fillId="0" borderId="0" xfId="1"/>
    <xf numFmtId="0" fontId="27" fillId="75" borderId="75" xfId="0" applyFont="1" applyFill="1" applyBorder="1" applyAlignment="1">
      <alignment horizontal="center" vertical="center" wrapText="1"/>
    </xf>
    <xf numFmtId="0" fontId="60" fillId="76" borderId="75" xfId="0" applyFont="1" applyFill="1" applyBorder="1" applyAlignment="1">
      <alignment horizontal="center" vertical="center"/>
    </xf>
    <xf numFmtId="167" fontId="60" fillId="76" borderId="75" xfId="0" applyNumberFormat="1" applyFont="1" applyFill="1" applyBorder="1" applyAlignment="1">
      <alignment horizontal="center" vertical="center"/>
    </xf>
    <xf numFmtId="0" fontId="60" fillId="77" borderId="75" xfId="0" applyFont="1" applyFill="1" applyBorder="1" applyAlignment="1">
      <alignment horizontal="center" vertical="center"/>
    </xf>
    <xf numFmtId="167" fontId="60" fillId="77" borderId="75" xfId="0" applyNumberFormat="1" applyFont="1" applyFill="1" applyBorder="1" applyAlignment="1">
      <alignment horizontal="center" vertical="center"/>
    </xf>
    <xf numFmtId="0" fontId="61" fillId="78" borderId="75" xfId="0" applyFont="1" applyFill="1" applyBorder="1" applyAlignment="1">
      <alignment horizontal="center"/>
    </xf>
    <xf numFmtId="167" fontId="61" fillId="78" borderId="75" xfId="0" applyNumberFormat="1" applyFont="1" applyFill="1" applyBorder="1" applyAlignment="1">
      <alignment horizontal="center"/>
    </xf>
    <xf numFmtId="0" fontId="27" fillId="58" borderId="75" xfId="0" applyFont="1" applyFill="1" applyBorder="1" applyAlignment="1">
      <alignment horizontal="center" vertical="center" wrapText="1"/>
    </xf>
    <xf numFmtId="2" fontId="60" fillId="77" borderId="75" xfId="0" applyNumberFormat="1" applyFont="1" applyFill="1" applyBorder="1" applyAlignment="1">
      <alignment horizontal="center" vertical="center"/>
    </xf>
    <xf numFmtId="0" fontId="60" fillId="77" borderId="75" xfId="0" applyFont="1" applyFill="1" applyBorder="1" applyAlignment="1">
      <alignment horizontal="left" vertical="center"/>
    </xf>
    <xf numFmtId="0" fontId="60" fillId="76" borderId="75" xfId="0" applyFont="1" applyFill="1" applyBorder="1" applyAlignment="1">
      <alignment horizontal="left" vertical="center"/>
    </xf>
    <xf numFmtId="10" fontId="60" fillId="77" borderId="75" xfId="0" applyNumberFormat="1" applyFont="1" applyFill="1" applyBorder="1" applyAlignment="1">
      <alignment horizontal="center" vertical="center"/>
    </xf>
    <xf numFmtId="0" fontId="62" fillId="80" borderId="6" xfId="0" applyFont="1" applyFill="1" applyBorder="1" applyAlignment="1">
      <alignment vertical="center"/>
    </xf>
    <xf numFmtId="0" fontId="63" fillId="80" borderId="2" xfId="0" applyFont="1" applyFill="1" applyBorder="1" applyAlignment="1">
      <alignment horizontal="center" vertical="center"/>
    </xf>
    <xf numFmtId="0" fontId="63" fillId="80" borderId="6" xfId="0" applyFont="1" applyFill="1" applyBorder="1" applyAlignment="1">
      <alignment vertical="center"/>
    </xf>
    <xf numFmtId="0" fontId="63" fillId="80" borderId="6" xfId="0" applyFont="1" applyFill="1" applyBorder="1" applyAlignment="1">
      <alignment vertical="center" wrapText="1"/>
    </xf>
    <xf numFmtId="0" fontId="64" fillId="9" borderId="2" xfId="0" applyFont="1" applyFill="1" applyBorder="1" applyAlignment="1">
      <alignment horizontal="center" vertical="center"/>
    </xf>
    <xf numFmtId="0" fontId="64" fillId="9" borderId="2" xfId="0" applyFont="1" applyFill="1" applyBorder="1" applyAlignment="1">
      <alignment horizontal="left" vertical="center"/>
    </xf>
    <xf numFmtId="165" fontId="64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" fontId="64" fillId="9" borderId="2" xfId="0" applyNumberFormat="1" applyFont="1" applyFill="1" applyBorder="1" applyAlignment="1">
      <alignment horizontal="center" vertical="center"/>
    </xf>
    <xf numFmtId="0" fontId="65" fillId="9" borderId="2" xfId="0" applyFont="1" applyFill="1" applyBorder="1" applyAlignment="1">
      <alignment horizontal="center" vertical="center"/>
    </xf>
    <xf numFmtId="0" fontId="66" fillId="9" borderId="2" xfId="0" applyFont="1" applyFill="1" applyBorder="1" applyAlignment="1" applyProtection="1">
      <alignment horizontal="center" vertical="center"/>
      <protection hidden="1"/>
    </xf>
    <xf numFmtId="0" fontId="66" fillId="9" borderId="2" xfId="0" applyFont="1" applyFill="1" applyBorder="1" applyAlignment="1" applyProtection="1">
      <alignment horizontal="left" vertical="center"/>
      <protection hidden="1"/>
    </xf>
    <xf numFmtId="166" fontId="66" fillId="9" borderId="2" xfId="0" applyNumberFormat="1" applyFont="1" applyFill="1" applyBorder="1" applyAlignment="1" applyProtection="1">
      <alignment horizontal="left" vertical="center"/>
      <protection hidden="1"/>
    </xf>
    <xf numFmtId="0" fontId="63" fillId="80" borderId="0" xfId="0" applyFont="1" applyFill="1" applyAlignment="1">
      <alignment vertical="center"/>
    </xf>
    <xf numFmtId="167" fontId="30" fillId="0" borderId="2" xfId="1" applyNumberFormat="1" applyBorder="1" applyAlignment="1">
      <alignment horizontal="center" vertical="center"/>
    </xf>
    <xf numFmtId="9" fontId="30" fillId="0" borderId="2" xfId="1" applyBorder="1" applyAlignment="1">
      <alignment horizontal="center" vertical="center"/>
    </xf>
    <xf numFmtId="9" fontId="30" fillId="0" borderId="0" xfId="1" applyAlignment="1">
      <alignment horizontal="center" vertical="center"/>
    </xf>
    <xf numFmtId="0" fontId="68" fillId="80" borderId="76" xfId="0" applyFont="1" applyFill="1" applyBorder="1" applyAlignment="1">
      <alignment horizontal="center" vertical="center"/>
    </xf>
    <xf numFmtId="0" fontId="62" fillId="80" borderId="76" xfId="0" applyFont="1" applyFill="1" applyBorder="1" applyAlignment="1">
      <alignment horizontal="center" vertical="center"/>
    </xf>
    <xf numFmtId="0" fontId="62" fillId="9" borderId="7" xfId="0" applyFont="1" applyFill="1" applyBorder="1"/>
    <xf numFmtId="0" fontId="0" fillId="9" borderId="6" xfId="0" applyFill="1" applyBorder="1"/>
    <xf numFmtId="0" fontId="62" fillId="80" borderId="78" xfId="0" applyFont="1" applyFill="1" applyBorder="1" applyAlignment="1">
      <alignment horizontal="center" vertical="center"/>
    </xf>
    <xf numFmtId="0" fontId="0" fillId="9" borderId="79" xfId="0" applyFill="1" applyBorder="1"/>
    <xf numFmtId="0" fontId="0" fillId="9" borderId="80" xfId="0" applyFill="1" applyBorder="1"/>
    <xf numFmtId="0" fontId="0" fillId="9" borderId="81" xfId="0" applyFill="1" applyBorder="1"/>
    <xf numFmtId="0" fontId="62" fillId="80" borderId="82" xfId="0" applyFont="1" applyFill="1" applyBorder="1" applyAlignment="1">
      <alignment horizontal="center" vertical="center"/>
    </xf>
    <xf numFmtId="0" fontId="0" fillId="9" borderId="8" xfId="0" applyFill="1" applyBorder="1"/>
    <xf numFmtId="0" fontId="0" fillId="9" borderId="2" xfId="0" applyFill="1" applyBorder="1"/>
    <xf numFmtId="0" fontId="0" fillId="9" borderId="83" xfId="0" applyFill="1" applyBorder="1"/>
    <xf numFmtId="0" fontId="62" fillId="80" borderId="84" xfId="0" applyFont="1" applyFill="1" applyBorder="1" applyAlignment="1">
      <alignment horizontal="center" vertical="center"/>
    </xf>
    <xf numFmtId="0" fontId="0" fillId="9" borderId="85" xfId="0" applyFill="1" applyBorder="1"/>
    <xf numFmtId="0" fontId="0" fillId="9" borderId="9" xfId="0" applyFill="1" applyBorder="1"/>
    <xf numFmtId="0" fontId="0" fillId="9" borderId="86" xfId="0" applyFill="1" applyBorder="1"/>
    <xf numFmtId="9" fontId="30" fillId="0" borderId="2" xfId="1" applyBorder="1"/>
    <xf numFmtId="0" fontId="62" fillId="80" borderId="87" xfId="0" applyFont="1" applyFill="1" applyBorder="1" applyAlignment="1">
      <alignment horizontal="center" vertical="center"/>
    </xf>
    <xf numFmtId="0" fontId="62" fillId="80" borderId="88" xfId="0" applyFont="1" applyFill="1" applyBorder="1" applyAlignment="1">
      <alignment horizontal="center" vertical="center"/>
    </xf>
    <xf numFmtId="0" fontId="62" fillId="80" borderId="89" xfId="0" applyFont="1" applyFill="1" applyBorder="1" applyAlignment="1">
      <alignment horizontal="center" vertical="center"/>
    </xf>
    <xf numFmtId="0" fontId="62" fillId="80" borderId="90" xfId="0" applyFont="1" applyFill="1" applyBorder="1" applyAlignment="1">
      <alignment horizontal="center" vertical="center"/>
    </xf>
    <xf numFmtId="167" fontId="30" fillId="0" borderId="2" xfId="1" applyNumberFormat="1" applyBorder="1"/>
    <xf numFmtId="0" fontId="63" fillId="80" borderId="0" xfId="0" applyFont="1" applyFill="1" applyBorder="1" applyAlignment="1">
      <alignment horizontal="center" vertical="center"/>
    </xf>
    <xf numFmtId="167" fontId="30" fillId="0" borderId="0" xfId="1" applyNumberFormat="1" applyBorder="1" applyAlignment="1">
      <alignment horizontal="center" vertical="center"/>
    </xf>
    <xf numFmtId="9" fontId="30" fillId="0" borderId="0" xfId="1" applyBorder="1" applyAlignment="1">
      <alignment horizontal="center" vertical="center"/>
    </xf>
    <xf numFmtId="0" fontId="0" fillId="0" borderId="0" xfId="0"/>
    <xf numFmtId="0" fontId="27" fillId="75" borderId="38" xfId="0" applyFont="1" applyFill="1" applyBorder="1" applyAlignment="1">
      <alignment horizontal="center" vertical="center" wrapText="1"/>
    </xf>
    <xf numFmtId="0" fontId="61" fillId="78" borderId="41" xfId="0" applyFont="1" applyFill="1" applyBorder="1" applyAlignment="1">
      <alignment horizontal="center"/>
    </xf>
    <xf numFmtId="167" fontId="61" fillId="78" borderId="41" xfId="0" applyNumberFormat="1" applyFont="1" applyFill="1" applyBorder="1" applyAlignment="1">
      <alignment horizontal="center"/>
    </xf>
    <xf numFmtId="0" fontId="60" fillId="76" borderId="2" xfId="0" applyFont="1" applyFill="1" applyBorder="1" applyAlignment="1">
      <alignment horizontal="center" vertical="center"/>
    </xf>
    <xf numFmtId="167" fontId="60" fillId="76" borderId="2" xfId="0" applyNumberFormat="1" applyFont="1" applyFill="1" applyBorder="1" applyAlignment="1">
      <alignment horizontal="center" vertical="center"/>
    </xf>
    <xf numFmtId="167" fontId="60" fillId="77" borderId="2" xfId="0" applyNumberFormat="1" applyFont="1" applyFill="1" applyBorder="1" applyAlignment="1">
      <alignment horizontal="center" vertical="center"/>
    </xf>
    <xf numFmtId="0" fontId="27" fillId="60" borderId="74" xfId="0" applyFont="1" applyFill="1" applyBorder="1" applyAlignment="1">
      <alignment vertical="center"/>
    </xf>
    <xf numFmtId="0" fontId="27" fillId="60" borderId="75" xfId="0" applyFont="1" applyFill="1" applyBorder="1" applyAlignment="1">
      <alignment horizontal="center" vertical="center" wrapText="1"/>
    </xf>
    <xf numFmtId="0" fontId="60" fillId="81" borderId="75" xfId="0" applyFont="1" applyFill="1" applyBorder="1" applyAlignment="1">
      <alignment horizontal="center" vertical="center"/>
    </xf>
    <xf numFmtId="2" fontId="60" fillId="81" borderId="75" xfId="0" applyNumberFormat="1" applyFont="1" applyFill="1" applyBorder="1" applyAlignment="1">
      <alignment horizontal="center" vertical="center"/>
    </xf>
    <xf numFmtId="0" fontId="61" fillId="82" borderId="75" xfId="0" applyFont="1" applyFill="1" applyBorder="1"/>
    <xf numFmtId="0" fontId="61" fillId="82" borderId="7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5" fillId="61" borderId="30" xfId="0" applyFont="1" applyFill="1" applyBorder="1" applyAlignment="1">
      <alignment horizontal="center" vertical="center"/>
    </xf>
    <xf numFmtId="0" fontId="0" fillId="0" borderId="57" xfId="0" applyBorder="1"/>
    <xf numFmtId="0" fontId="0" fillId="0" borderId="11" xfId="0" applyBorder="1"/>
    <xf numFmtId="0" fontId="49" fillId="62" borderId="58" xfId="0" applyFont="1" applyFill="1" applyBorder="1" applyAlignment="1">
      <alignment horizontal="center"/>
    </xf>
    <xf numFmtId="0" fontId="0" fillId="0" borderId="0" xfId="0" applyBorder="1"/>
    <xf numFmtId="0" fontId="49" fillId="62" borderId="30" xfId="0" applyFont="1" applyFill="1" applyBorder="1" applyAlignment="1">
      <alignment horizontal="center"/>
    </xf>
    <xf numFmtId="0" fontId="49" fillId="62" borderId="69" xfId="0" applyFont="1" applyFill="1" applyBorder="1" applyAlignment="1">
      <alignment horizontal="center"/>
    </xf>
    <xf numFmtId="0" fontId="49" fillId="62" borderId="70" xfId="0" applyFont="1" applyFill="1" applyBorder="1" applyAlignment="1">
      <alignment horizontal="center"/>
    </xf>
    <xf numFmtId="0" fontId="49" fillId="62" borderId="56" xfId="0" applyFont="1" applyFill="1" applyBorder="1" applyAlignment="1">
      <alignment horizontal="center"/>
    </xf>
    <xf numFmtId="0" fontId="55" fillId="68" borderId="71" xfId="0" applyNumberFormat="1" applyFont="1" applyFill="1" applyBorder="1" applyAlignment="1">
      <alignment horizontal="center"/>
    </xf>
    <xf numFmtId="0" fontId="55" fillId="68" borderId="72" xfId="0" applyNumberFormat="1" applyFont="1" applyFill="1" applyBorder="1" applyAlignment="1">
      <alignment horizontal="center"/>
    </xf>
    <xf numFmtId="0" fontId="55" fillId="68" borderId="73" xfId="0" applyNumberFormat="1" applyFont="1" applyFill="1" applyBorder="1" applyAlignment="1">
      <alignment horizontal="center"/>
    </xf>
    <xf numFmtId="0" fontId="27" fillId="58" borderId="74" xfId="0" applyFont="1" applyFill="1" applyBorder="1" applyAlignment="1">
      <alignment horizontal="center" vertical="center"/>
    </xf>
    <xf numFmtId="0" fontId="27" fillId="75" borderId="7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8" fillId="79" borderId="5" xfId="0" applyFont="1" applyFill="1" applyBorder="1" applyAlignment="1">
      <alignment horizontal="center"/>
    </xf>
    <xf numFmtId="0" fontId="49" fillId="79" borderId="5" xfId="0" applyFont="1" applyFill="1" applyBorder="1" applyAlignment="1">
      <alignment horizontal="center"/>
    </xf>
    <xf numFmtId="0" fontId="58" fillId="79" borderId="58" xfId="0" applyFont="1" applyFill="1" applyBorder="1" applyAlignment="1">
      <alignment horizontal="center"/>
    </xf>
    <xf numFmtId="0" fontId="58" fillId="79" borderId="0" xfId="0" applyFont="1" applyFill="1" applyAlignment="1">
      <alignment horizontal="center"/>
    </xf>
    <xf numFmtId="0" fontId="68" fillId="80" borderId="7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9" fillId="79" borderId="58" xfId="0" applyFont="1" applyFill="1" applyBorder="1" applyAlignment="1">
      <alignment horizontal="center"/>
    </xf>
    <xf numFmtId="0" fontId="68" fillId="80" borderId="76" xfId="0" applyFont="1" applyFill="1" applyBorder="1" applyAlignment="1">
      <alignment horizontal="center" vertical="center"/>
    </xf>
    <xf numFmtId="0" fontId="27" fillId="48" borderId="0" xfId="0" applyFont="1" applyFill="1" applyAlignment="1">
      <alignment horizontal="left" vertical="center"/>
    </xf>
    <xf numFmtId="0" fontId="0" fillId="0" borderId="0" xfId="0"/>
    <xf numFmtId="0" fontId="27" fillId="43" borderId="0" xfId="0" applyFont="1" applyFill="1" applyAlignment="1">
      <alignment horizontal="left" vertical="center"/>
    </xf>
    <xf numFmtId="0" fontId="26" fillId="42" borderId="0" xfId="0" applyFont="1" applyFill="1" applyAlignment="1">
      <alignment horizontal="left" vertical="center"/>
    </xf>
    <xf numFmtId="0" fontId="25" fillId="41" borderId="0" xfId="0" applyFont="1" applyFill="1" applyAlignment="1">
      <alignment horizontal="center" vertical="center" wrapText="1"/>
    </xf>
    <xf numFmtId="0" fontId="26" fillId="41" borderId="0" xfId="0" applyFont="1" applyFill="1" applyAlignment="1">
      <alignment horizontal="left" vertical="center"/>
    </xf>
    <xf numFmtId="0" fontId="43" fillId="43" borderId="0" xfId="0" applyFont="1" applyFill="1" applyAlignment="1">
      <alignment horizontal="left" vertical="center"/>
    </xf>
    <xf numFmtId="0" fontId="8" fillId="4" borderId="9" xfId="0" applyFont="1" applyFill="1" applyBorder="1" applyAlignment="1">
      <alignment horizontal="center" vertical="center"/>
    </xf>
    <xf numFmtId="0" fontId="0" fillId="0" borderId="21" xfId="0" applyBorder="1"/>
    <xf numFmtId="0" fontId="0" fillId="0" borderId="18" xfId="0" applyBorder="1"/>
    <xf numFmtId="0" fontId="8" fillId="4" borderId="1" xfId="0" applyFont="1" applyFill="1" applyBorder="1" applyAlignment="1">
      <alignment horizontal="center" vertical="center"/>
    </xf>
    <xf numFmtId="0" fontId="15" fillId="0" borderId="0" xfId="0" applyFont="1"/>
    <xf numFmtId="0" fontId="4" fillId="9" borderId="2" xfId="0" applyFont="1" applyFill="1" applyBorder="1" applyAlignment="1">
      <alignment horizontal="left" vertical="center"/>
    </xf>
    <xf numFmtId="0" fontId="0" fillId="0" borderId="8" xfId="0" applyBorder="1"/>
    <xf numFmtId="0" fontId="7" fillId="10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0" fillId="0" borderId="23" xfId="0" applyBorder="1"/>
    <xf numFmtId="0" fontId="9" fillId="8" borderId="14" xfId="0" applyFont="1" applyFill="1" applyBorder="1" applyAlignment="1">
      <alignment horizontal="center" vertical="center"/>
    </xf>
    <xf numFmtId="0" fontId="18" fillId="24" borderId="14" xfId="0" applyFont="1" applyFill="1" applyBorder="1" applyAlignment="1">
      <alignment horizontal="left" vertical="center"/>
    </xf>
    <xf numFmtId="0" fontId="17" fillId="8" borderId="14" xfId="0" applyFont="1" applyFill="1" applyBorder="1" applyAlignment="1">
      <alignment horizontal="center" vertical="center"/>
    </xf>
    <xf numFmtId="0" fontId="9" fillId="25" borderId="14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0" fillId="32" borderId="16" xfId="0" applyFont="1" applyFill="1" applyBorder="1" applyAlignment="1">
      <alignment horizontal="center" vertical="center"/>
    </xf>
    <xf numFmtId="0" fontId="0" fillId="0" borderId="24" xfId="0" applyBorder="1"/>
    <xf numFmtId="0" fontId="10" fillId="29" borderId="16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0" fillId="33" borderId="16" xfId="0" applyFont="1" applyFill="1" applyBorder="1" applyAlignment="1">
      <alignment horizontal="center" vertical="center"/>
    </xf>
    <xf numFmtId="0" fontId="10" fillId="31" borderId="16" xfId="0" applyFont="1" applyFill="1" applyBorder="1" applyAlignment="1">
      <alignment horizontal="center" vertical="center"/>
    </xf>
    <xf numFmtId="0" fontId="10" fillId="28" borderId="16" xfId="0" applyFont="1" applyFill="1" applyBorder="1" applyAlignment="1">
      <alignment horizontal="center" vertical="center"/>
    </xf>
    <xf numFmtId="0" fontId="32" fillId="52" borderId="0" xfId="0" applyFont="1" applyFill="1" applyAlignment="1">
      <alignment horizontal="center"/>
    </xf>
    <xf numFmtId="0" fontId="32" fillId="50" borderId="0" xfId="0" applyFont="1" applyFill="1" applyAlignment="1">
      <alignment horizontal="center" vertical="center" wrapText="1"/>
    </xf>
    <xf numFmtId="0" fontId="69" fillId="72" borderId="2" xfId="0" applyFont="1" applyFill="1" applyBorder="1" applyAlignment="1">
      <alignment horizontal="center" vertical="center"/>
    </xf>
    <xf numFmtId="0" fontId="27" fillId="75" borderId="0" xfId="0" applyFont="1" applyFill="1" applyBorder="1" applyAlignment="1">
      <alignment horizontal="center" vertical="center"/>
    </xf>
    <xf numFmtId="0" fontId="27" fillId="75" borderId="0" xfId="0" applyFont="1" applyFill="1" applyBorder="1" applyAlignment="1">
      <alignment horizontal="center" vertical="center" wrapText="1"/>
    </xf>
    <xf numFmtId="167" fontId="60" fillId="77" borderId="0" xfId="0" applyNumberFormat="1" applyFont="1" applyFill="1" applyBorder="1" applyAlignment="1">
      <alignment horizontal="center" vertical="center"/>
    </xf>
    <xf numFmtId="167" fontId="60" fillId="76" borderId="0" xfId="0" applyNumberFormat="1" applyFont="1" applyFill="1" applyBorder="1" applyAlignment="1">
      <alignment horizontal="center" vertical="center"/>
    </xf>
    <xf numFmtId="167" fontId="61" fillId="78" borderId="0" xfId="0" applyNumberFormat="1" applyFont="1" applyFill="1" applyBorder="1" applyAlignment="1">
      <alignment horizontal="center"/>
    </xf>
    <xf numFmtId="0" fontId="63" fillId="80" borderId="6" xfId="0" applyFont="1" applyFill="1" applyBorder="1" applyAlignment="1">
      <alignment horizontal="center" vertical="center"/>
    </xf>
  </cellXfs>
  <cellStyles count="3">
    <cellStyle name="Good" xfId="2" builtinId="26"/>
    <cellStyle name="Normal" xfId="0" builtinId="0"/>
    <cellStyle name="Percent" xfId="1" builtinId="5"/>
  </cellStyles>
  <dxfs count="764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FF6600"/>
        </patternFill>
      </fill>
    </dxf>
    <dxf>
      <font>
        <b/>
        <sz val="10"/>
        <color rgb="FF000000"/>
        <name val="Arial"/>
      </font>
      <fill>
        <patternFill patternType="solid">
          <fgColor rgb="FFFFC000"/>
        </patternFill>
      </fill>
    </dxf>
    <dxf>
      <font>
        <b/>
        <sz val="10"/>
        <color rgb="FF000000"/>
        <name val="Arial"/>
      </font>
      <fill>
        <patternFill patternType="solid">
          <fgColor rgb="FFFFFF00"/>
        </patternFill>
      </fill>
    </dxf>
    <dxf>
      <font>
        <b/>
        <sz val="10"/>
        <color rgb="FF000000"/>
        <name val="Arial"/>
      </font>
      <fill>
        <patternFill patternType="solid">
          <fgColor rgb="FF92D05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</patternFill>
      </fill>
    </dxf>
    <dxf>
      <font>
        <b/>
        <sz val="10"/>
        <color rgb="FFFFFFFF"/>
        <name val="Arial"/>
      </font>
      <fill>
        <patternFill patternType="solid">
          <fgColor rgb="FF375623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sz val="10"/>
        <color rgb="FFC00000"/>
        <name val="Calibri"/>
        <charset val="1"/>
      </font>
      <fill>
        <patternFill>
          <bgColor rgb="FFFFCCCC"/>
        </patternFill>
      </fill>
    </dxf>
    <dxf>
      <font>
        <b/>
        <sz val="10"/>
        <color rgb="FF006100"/>
        <name val="Calibri"/>
        <charset val="1"/>
      </font>
      <fill>
        <patternFill>
          <bgColor rgb="FFE2EFDA"/>
        </patternFill>
      </fill>
    </dxf>
    <dxf>
      <font>
        <b/>
        <color rgb="FF000000"/>
      </font>
      <fill>
        <patternFill>
          <bgColor rgb="FF92D050"/>
        </patternFill>
      </fill>
    </dxf>
    <dxf>
      <font>
        <b/>
        <color rgb="FF000000"/>
      </font>
      <fill>
        <patternFill>
          <bgColor theme="9" tint="-0.249977111117893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D1D105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b/>
        <color rgb="FF000000"/>
      </font>
      <fill>
        <patternFill>
          <bgColor rgb="FFFFFF66"/>
        </patternFill>
      </fill>
    </dxf>
    <dxf>
      <font>
        <b/>
        <sz val="10"/>
        <color rgb="FFFFFFFF"/>
        <name val="Arial"/>
      </font>
      <fill>
        <patternFill patternType="solid">
          <fgColor rgb="FFFF0000"/>
        </patternFill>
      </fill>
    </dxf>
    <dxf>
      <font>
        <b/>
        <sz val="10"/>
        <color rgb="FFFFFFFF"/>
        <name val="Arial"/>
      </font>
      <fill>
        <patternFill patternType="solid">
          <fgColor rgb="FFFF6600"/>
        </patternFill>
      </fill>
    </dxf>
    <dxf>
      <font>
        <b/>
        <sz val="10"/>
        <color rgb="FF000000"/>
        <name val="Arial"/>
      </font>
      <fill>
        <patternFill patternType="solid">
          <fgColor rgb="FFFFC000"/>
        </patternFill>
      </fill>
    </dxf>
    <dxf>
      <font>
        <b/>
        <sz val="10"/>
        <color rgb="FF000000"/>
        <name val="Arial"/>
      </font>
      <fill>
        <patternFill patternType="solid">
          <fgColor rgb="FFFFFF00"/>
        </patternFill>
      </fill>
    </dxf>
    <dxf>
      <font>
        <b/>
        <sz val="10"/>
        <color rgb="FF000000"/>
        <name val="Arial"/>
      </font>
      <fill>
        <patternFill patternType="solid">
          <fgColor rgb="FF92D050"/>
        </patternFill>
      </fill>
    </dxf>
    <dxf>
      <font>
        <b/>
        <sz val="10"/>
        <color rgb="FFFFFFFF"/>
        <name val="Arial"/>
      </font>
      <fill>
        <patternFill patternType="solid">
          <fgColor rgb="FF00B050"/>
        </patternFill>
      </fill>
    </dxf>
    <dxf>
      <font>
        <b/>
        <sz val="10"/>
        <color rgb="FFFFFFFF"/>
        <name val="Arial"/>
      </font>
      <fill>
        <patternFill patternType="solid">
          <fgColor rgb="FF375623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sz val="9"/>
        <color rgb="FFFFFFFF"/>
        <name val="Calibri"/>
        <charset val="1"/>
      </font>
      <fill>
        <patternFill>
          <bgColor rgb="FF808080"/>
        </patternFill>
      </fill>
    </dxf>
    <dxf>
      <font>
        <sz val="9"/>
        <color rgb="FFFFFFFF"/>
        <name val="Calibri"/>
        <charset val="1"/>
      </font>
      <fill>
        <patternFill>
          <bgColor rgb="FFC00000"/>
        </patternFill>
      </fill>
    </dxf>
    <dxf>
      <font>
        <sz val="9"/>
        <color rgb="FFFFFFFF"/>
        <name val="Calibri"/>
        <charset val="1"/>
      </font>
      <fill>
        <patternFill>
          <bgColor rgb="FFFF4500"/>
        </patternFill>
      </fill>
    </dxf>
    <dxf>
      <font>
        <sz val="9"/>
        <color rgb="FF000000"/>
        <name val="Calibri"/>
        <charset val="1"/>
      </font>
      <fill>
        <patternFill>
          <bgColor rgb="FFFFC000"/>
        </patternFill>
      </fill>
    </dxf>
    <dxf>
      <font>
        <sz val="9"/>
        <color rgb="FF000000"/>
        <name val="Calibri"/>
        <charset val="1"/>
      </font>
      <fill>
        <patternFill>
          <bgColor rgb="FFFFFF00"/>
        </patternFill>
      </fill>
    </dxf>
    <dxf>
      <font>
        <b/>
        <sz val="9"/>
        <color rgb="FF000000"/>
        <name val="Calibri"/>
        <charset val="1"/>
      </font>
      <fill>
        <patternFill>
          <bgColor rgb="FF92D050"/>
        </patternFill>
      </fill>
    </dxf>
    <dxf>
      <font>
        <b/>
        <sz val="9"/>
        <color rgb="FF000000"/>
        <name val="Calibri"/>
        <charset val="1"/>
      </font>
      <fill>
        <patternFill>
          <bgColor rgb="FF00B050"/>
        </patternFill>
      </fill>
    </dxf>
    <dxf>
      <font>
        <b/>
        <sz val="9"/>
        <color rgb="FFFFFFFF"/>
        <name val="Calibri"/>
        <charset val="1"/>
      </font>
      <fill>
        <patternFill>
          <bgColor rgb="FFC00000"/>
        </patternFill>
      </fill>
    </dxf>
    <dxf>
      <font>
        <b/>
        <sz val="9"/>
        <color rgb="FF000000"/>
        <name val="Calibri"/>
        <charset val="1"/>
      </font>
      <fill>
        <patternFill>
          <bgColor rgb="FFFF6600"/>
        </patternFill>
      </fill>
    </dxf>
    <dxf>
      <font>
        <b/>
        <sz val="9"/>
        <color rgb="FF000000"/>
        <name val="Calibri"/>
        <charset val="1"/>
      </font>
      <fill>
        <patternFill>
          <bgColor rgb="FFFFC000"/>
        </patternFill>
      </fill>
    </dxf>
    <dxf>
      <font>
        <b/>
        <sz val="9"/>
        <color rgb="FF000000"/>
        <name val="Calibri"/>
        <charset val="1"/>
      </font>
      <fill>
        <patternFill>
          <bgColor rgb="FF388E3C"/>
        </patternFill>
      </fill>
    </dxf>
    <dxf>
      <font>
        <b/>
        <sz val="9"/>
        <color rgb="FFFFFFFF"/>
        <name val="Calibri"/>
        <charset val="1"/>
      </font>
      <fill>
        <patternFill>
          <bgColor rgb="FF0064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color theme="0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/>
      <border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vertAlign val="baseline"/>
        <color theme="0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/>
      <border outline="0">
        <left/>
        <right/>
        <top style="thin">
          <color theme="0"/>
        </top>
        <bottom style="thin">
          <color theme="0"/>
        </bottom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mbria"/>
        <family val="1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mbria"/>
        <family val="1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mbria"/>
        <family val="1"/>
      </font>
      <numFmt numFmtId="0" formatCode="General"/>
      <fill>
        <patternFill patternType="solid">
          <fgColor theme="4" tint="0.79998168889431442"/>
          <bgColor theme="0"/>
        </patternFill>
      </fill>
      <alignment horizontal="left" vertical="bottom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</dxf>
    <dxf>
      <alignment vertical="top"/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 outline="0">
        <left/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b/>
        <strike val="0"/>
        <outline val="0"/>
        <shadow val="0"/>
        <vertAlign val="baseline"/>
        <color theme="0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/>
      <border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vertAlign val="baseline"/>
        <color theme="0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/>
      <border outline="0">
        <left/>
        <right/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vertAlign val="baseline"/>
        <color theme="0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/>
      <border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numFmt numFmtId="0" formatCode="General"/>
      <fill>
        <patternFill>
          <bgColor theme="0"/>
        </patternFill>
      </fill>
      <border outline="0">
        <left style="thin">
          <color rgb="FF002060"/>
        </left>
        <right/>
        <top style="thin">
          <color rgb="FF002060"/>
        </top>
        <bottom style="thin">
          <color rgb="FF002060"/>
        </bottom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numFmt numFmtId="0" formatCode="General"/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mbria"/>
        <family val="1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mbria"/>
        <family val="1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mbria"/>
        <family val="1"/>
      </font>
      <numFmt numFmtId="0" formatCode="General"/>
      <fill>
        <patternFill patternType="solid">
          <fgColor theme="4" tint="0.79998168889431442"/>
          <bgColor theme="0"/>
        </patternFill>
      </fill>
      <alignment horizontal="left" vertical="bottom"/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</dxf>
    <dxf>
      <fill>
        <patternFill>
          <bgColor theme="0"/>
        </patternFill>
      </fill>
      <border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ill>
        <patternFill>
          <bgColor theme="0"/>
        </patternFill>
      </fill>
    </dxf>
    <dxf>
      <alignment vertical="top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FAFAFA"/>
          <bgColor rgb="FFFFFFFF"/>
        </patternFill>
      </fill>
      <alignment horizontal="left" vertical="center"/>
      <border>
        <left style="thin">
          <color rgb="FFBDC3C7"/>
        </left>
        <right/>
        <top style="thin">
          <color rgb="FFBDC3C7"/>
        </top>
        <bottom style="thin">
          <color rgb="FFBDC3C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rgb="FF833C00"/>
          <bgColor rgb="FF922B21"/>
        </patternFill>
      </fill>
      <alignment horizontal="left" vertical="center"/>
      <border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E6B9B8"/>
          <bgColor rgb="FFF5B7B1"/>
        </patternFill>
      </fill>
      <alignment horizontal="center" vertical="center"/>
      <border>
        <left style="thin">
          <color rgb="FFBDC3C7"/>
        </left>
        <right style="thin">
          <color rgb="FFBDC3C7"/>
        </right>
        <top style="thin">
          <color rgb="FFBDC3C7"/>
        </top>
        <bottom style="thin">
          <color rgb="FFBDC3C7"/>
        </bottom>
        <vertical/>
        <horizontal/>
      </border>
    </dxf>
    <dxf>
      <border outline="0">
        <right style="thin">
          <color rgb="FFBDC3C7"/>
        </right>
        <top style="thin">
          <color rgb="FFBDC3C7"/>
        </top>
        <bottom style="thin">
          <color rgb="FFBDC3C7"/>
        </bottom>
      </border>
    </dxf>
    <dxf>
      <border outline="0">
        <bottom style="thin">
          <color rgb="FFBDC3C7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fill>
        <patternFill patternType="solid">
          <fgColor rgb="FFD7BDE2"/>
          <bgColor rgb="FFBDC3C7"/>
        </patternFill>
      </fill>
      <alignment horizontal="center" vertical="center"/>
      <border outline="0">
        <left style="thin">
          <color rgb="FFBDC3C7"/>
        </left>
        <right style="thin">
          <color rgb="FFBDC3C7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Calibri"/>
        <family val="2"/>
        <charset val="1"/>
      </font>
      <fill>
        <patternFill patternType="solid">
          <fgColor rgb="FFD6E4F0"/>
          <bgColor theme="0"/>
        </patternFill>
      </fill>
      <alignment horizontal="general" vertical="bottom"/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Calibri"/>
        <family val="2"/>
        <charset val="1"/>
      </font>
      <fill>
        <patternFill patternType="solid">
          <fgColor rgb="FF922B21"/>
          <bgColor theme="0"/>
        </patternFill>
      </fill>
      <alignment horizontal="general" vertical="botto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mbria"/>
        <family val="1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rgb="FFBFBFBF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border outline="0">
        <right style="thin">
          <color rgb="FFBFBFBF"/>
        </right>
        <top style="thin">
          <color rgb="FFBFBFBF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rgb="FFBFBFBF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medium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border outline="0"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rgb="FFBFBFBF"/>
        </top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/>
        <bottom style="medium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/>
        <right style="thin">
          <color theme="0"/>
        </right>
        <top/>
        <bottom/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/>
        <bottom style="medium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medium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/>
        <bottom style="medium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/>
        <bottom style="thin">
          <color rgb="FFBFBFBF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  <protection locked="1" hidden="1"/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8"/>
        <color theme="0"/>
        <name val="Cambria"/>
        <family val="1"/>
        <charset val="1"/>
      </font>
      <numFmt numFmtId="1" formatCode="0"/>
      <fill>
        <patternFill patternType="solid">
          <fgColor rgb="FF17375E"/>
          <bgColor rgb="FF002060"/>
        </patternFill>
      </fill>
      <alignment horizontal="left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numFmt numFmtId="2" formatCode="0.00"/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9"/>
        <color rgb="FF000000"/>
        <name val="Calibri"/>
        <family val="2"/>
        <charset val="1"/>
      </font>
      <fill>
        <patternFill patternType="solid">
          <fgColor rgb="FFD6E4F0"/>
          <bgColor rgb="FFDEEAF1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  <charset val="1"/>
      </font>
      <numFmt numFmtId="165" formatCode="0.0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Maiandra GD"/>
        <family val="2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EBF3FB"/>
        </patternFill>
      </fill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3864"/>
        <name val="Arial"/>
        <family val="2"/>
      </font>
      <fill>
        <patternFill patternType="solid">
          <fgColor indexed="64"/>
          <bgColor rgb="FFBDD7EE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alignment horizontal="general" vertical="botto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alignment horizontal="general" vertical="botto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alignment horizontal="center" vertic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alignment horizontal="center" vertic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alignment horizontal="center" vertic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numFmt numFmtId="0" formatCode="General"/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2060"/>
        <name val="Cambria"/>
        <family val="1"/>
        <scheme val="none"/>
      </font>
      <fill>
        <patternFill>
          <bgColor theme="0"/>
        </patternFill>
      </fill>
    </dxf>
    <dxf>
      <border>
        <bottom style="thin">
          <color theme="0"/>
        </bottom>
      </border>
    </dxf>
    <dxf>
      <font>
        <b/>
        <strike val="0"/>
        <outline val="0"/>
        <shadow val="0"/>
        <vertAlign val="baseline"/>
        <sz val="9"/>
        <name val="Calibri"/>
        <family val="2"/>
      </font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1E8449"/>
      <rgbColor rgb="FF2F75B6"/>
      <rgbColor rgb="FFFFFF00"/>
      <rgbColor rgb="FFFFCCCC"/>
      <rgbColor rgb="FFA9DFBF"/>
      <rgbColor rgb="FFC00000"/>
      <rgbColor rgb="FF006400"/>
      <rgbColor rgb="FF002060"/>
      <rgbColor rgb="FFB7950B"/>
      <rgbColor rgb="FFFF4500"/>
      <rgbColor rgb="FF117A65"/>
      <rgbColor rgb="FFBDC3C7"/>
      <rgbColor rgb="FF808080"/>
      <rgbColor rgb="FFA2D9CE"/>
      <rgbColor rgb="FF792E98"/>
      <rgbColor rgb="FFFFF2CC"/>
      <rgbColor rgb="FFDEEAF1"/>
      <rgbColor rgb="FFF2F2F2"/>
      <rgbColor rgb="FFED7D31"/>
      <rgbColor rgb="FF046BC0"/>
      <rgbColor rgb="FFBDD7EE"/>
      <rgbColor rgb="FF006100"/>
      <rgbColor rgb="FFF9E79F"/>
      <rgbColor rgb="FFD1D105"/>
      <rgbColor rgb="FFD9D9D9"/>
      <rgbColor rgb="FFE46C0A"/>
      <rgbColor rgb="FF833C00"/>
      <rgbColor rgb="FF1F7A5C"/>
      <rgbColor rgb="FFFAFAFA"/>
      <rgbColor rgb="FF2E75B6"/>
      <rgbColor rgb="FFD6E4F0"/>
      <rgbColor rgb="FFE2EFDA"/>
      <rgbColor rgb="FFFFFF66"/>
      <rgbColor rgb="FFAED6F1"/>
      <rgbColor rgb="FFF5B7B1"/>
      <rgbColor rgb="FFD7BDE2"/>
      <rgbColor rgb="FFFAD7A0"/>
      <rgbColor rgb="FF4472C4"/>
      <rgbColor rgb="FF00B050"/>
      <rgbColor rgb="FF90CF50"/>
      <rgbColor rgb="FFFFC000"/>
      <rgbColor rgb="FFE67E22"/>
      <rgbColor rgb="FFFF6600"/>
      <rgbColor rgb="FF595959"/>
      <rgbColor rgb="FFE6B9B8"/>
      <rgbColor rgb="FF17375E"/>
      <rgbColor rgb="FF388E3C"/>
      <rgbColor rgb="FF005000"/>
      <rgbColor rgb="FF375424"/>
      <rgbColor rgb="FF922B21"/>
      <rgbColor rgb="FF984807"/>
      <rgbColor rgb="FF1A527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533539586803704E-2"/>
          <c:y val="2.7696692831958254E-2"/>
          <c:w val="0.87410542698974047"/>
          <c:h val="0.9723033071680417"/>
        </c:manualLayout>
      </c:layout>
      <c:doughnutChart>
        <c:varyColors val="1"/>
        <c:ser>
          <c:idx val="0"/>
          <c:order val="0"/>
          <c:tx>
            <c:strRef>
              <c:f>Slides!$A$10</c:f>
              <c:strCache>
                <c:ptCount val="1"/>
                <c:pt idx="0">
                  <c:v>SCHOOL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57-4F09-994A-9A5780CB3A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57-4F09-994A-9A5780CB3A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57-4F09-994A-9A5780CB3A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57-4F09-994A-9A5780CB3A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57-4F09-994A-9A5780CB3A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Slides!$B$7:$F$7</c:f>
              <c:strCache>
                <c:ptCount val="5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O</c:v>
                </c:pt>
              </c:strCache>
            </c:strRef>
          </c:cat>
          <c:val>
            <c:numRef>
              <c:f>Slides!$B$10:$F$10</c:f>
              <c:numCache>
                <c:formatCode>0%</c:formatCode>
                <c:ptCount val="5"/>
                <c:pt idx="0">
                  <c:v>0.20105820105820105</c:v>
                </c:pt>
                <c:pt idx="1">
                  <c:v>0.3439153439153439</c:v>
                </c:pt>
                <c:pt idx="2">
                  <c:v>0.37566137566137564</c:v>
                </c:pt>
                <c:pt idx="3">
                  <c:v>3.1746031746031744E-2</c:v>
                </c:pt>
                <c:pt idx="4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10-482C-8163-A8F743CBC00A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403861</xdr:colOff>
      <xdr:row>0</xdr:row>
      <xdr:rowOff>15241</xdr:rowOff>
    </xdr:from>
    <xdr:to>
      <xdr:col>19</xdr:col>
      <xdr:colOff>1</xdr:colOff>
      <xdr:row>12</xdr:row>
      <xdr:rowOff>99061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16530-FD3B-88BA-C776-6DC8C980B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320BCB-6D2E-4207-8947-620F475535A3}" autoFormatId="16" applyNumberFormats="0" applyBorderFormats="0" applyFontFormats="0" applyPatternFormats="0" applyAlignmentFormats="0" applyWidthHeightFormats="0">
  <queryTableRefresh nextId="9">
    <queryTableFields count="7">
      <queryTableField id="1" name="Comb" tableColumnId="1"/>
      <queryTableField id="2" name="I" tableColumnId="2"/>
      <queryTableField id="3" name="II" tableColumnId="3"/>
      <queryTableField id="4" name="III" tableColumnId="4"/>
      <queryTableField id="5" name="IV" tableColumnId="5"/>
      <queryTableField id="7" name="O" tableColumnId="7"/>
      <queryTableField id="6" name="Tota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0A11143-878C-4214-8D89-C9DC8B768393}" autoFormatId="16" applyNumberFormats="0" applyBorderFormats="0" applyFontFormats="0" applyPatternFormats="0" applyAlignmentFormats="0" applyWidthHeightFormats="0">
  <queryTableRefresh nextId="15">
    <queryTableFields count="14">
      <queryTableField id="1" name="Cand_No" tableColumnId="1"/>
      <queryTableField id="2" name="Full_Name" tableColumnId="2"/>
      <queryTableField id="3" name="Sex" tableColumnId="3"/>
      <queryTableField id="4" name="Comb" tableColumnId="4"/>
      <queryTableField id="5" name="Group" tableColumnId="5"/>
      <queryTableField id="6" name="From" tableColumnId="6"/>
      <queryTableField id="7" name="Points" tableColumnId="7"/>
      <queryTableField id="8" name="Div" tableColumnId="8"/>
      <queryTableField id="9" name="Aggr_Pts" tableColumnId="9"/>
      <queryTableField id="10" name="F4_Pts" tableColumnId="10"/>
      <queryTableField id="11" name="F4_Div" tableColumnId="11"/>
      <queryTableField id="12" name="FTNA_Pts" tableColumnId="12"/>
      <queryTableField id="13" name="FTNA_Div" tableColumnId="13"/>
      <queryTableField id="14" name="FTNA_A'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8B4FDD2-332D-4DEF-8742-FC951F1F369C}" autoFormatId="16" applyNumberFormats="0" applyBorderFormats="0" applyFontFormats="0" applyPatternFormats="0" applyAlignmentFormats="0" applyWidthHeightFormats="0">
  <queryTableRefresh nextId="7">
    <queryTableFields count="6">
      <queryTableField id="1" name="Cand_No" tableColumnId="1"/>
      <queryTableField id="2" name="Full_Name" tableColumnId="2"/>
      <queryTableField id="3" name="Sex" tableColumnId="3"/>
      <queryTableField id="4" name="Comb" tableColumnId="4"/>
      <queryTableField id="5" name="Group" tableColumnId="5"/>
      <queryTableField id="6" name="From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E8EFA66-2119-49F0-930F-96DDF8543640}" autoFormatId="16" applyNumberFormats="0" applyBorderFormats="0" applyFontFormats="0" applyPatternFormats="0" applyAlignmentFormats="0" applyWidthHeightFormats="0">
  <queryTableRefresh nextId="9">
    <queryTableFields count="8">
      <queryTableField id="1" name="Cand_No" tableColumnId="1"/>
      <queryTableField id="2" name="Full_Name" tableColumnId="2"/>
      <queryTableField id="3" name="Sex" tableColumnId="3"/>
      <queryTableField id="4" name="Comb" tableColumnId="4"/>
      <queryTableField id="5" name="Group" tableColumnId="5"/>
      <queryTableField id="6" name="From" tableColumnId="6"/>
      <queryTableField id="7" name="Subject" tableColumnId="7"/>
      <queryTableField id="8" name="Grad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90008E-26A0-4FBA-BD04-4C8CA5171F14}" autoFormatId="16" applyNumberFormats="0" applyBorderFormats="0" applyFontFormats="0" applyPatternFormats="0" applyAlignmentFormats="0" applyWidthHeightFormats="0">
  <queryTableRefresh nextId="3">
    <queryTableFields count="2">
      <queryTableField id="1" name="Comb" tableColumnId="1"/>
      <queryTableField id="2" name="Grou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6Results_2026" displayName="F6Results_2026" ref="A9:AH199" totalsRowShown="0" headerRowDxfId="763" dataDxfId="761" headerRowBorderDxfId="762" tableBorderDxfId="760" totalsRowBorderDxfId="759">
  <sortState xmlns:xlrd2="http://schemas.microsoft.com/office/spreadsheetml/2017/richdata2" ref="A10:AH199">
    <sortCondition ref="C9:C199"/>
  </sortState>
  <tableColumns count="34">
    <tableColumn id="1" xr3:uid="{00000000-0010-0000-0000-000001000000}" name="Cand_No" dataDxfId="758"/>
    <tableColumn id="2" xr3:uid="{00000000-0010-0000-0000-000002000000}" name="Year" dataDxfId="757"/>
    <tableColumn id="3" xr3:uid="{00000000-0010-0000-0000-000003000000}" name="PREM_NO" dataDxfId="756"/>
    <tableColumn id="4" xr3:uid="{00000000-0010-0000-0000-000004000000}" name="Full_Name" dataDxfId="755"/>
    <tableColumn id="5" xr3:uid="{00000000-0010-0000-0000-000005000000}" name="Comb" dataDxfId="754"/>
    <tableColumn id="6" xr3:uid="{00000000-0010-0000-0000-000006000000}" name="Group" dataDxfId="753"/>
    <tableColumn id="7" xr3:uid="{00000000-0010-0000-0000-000007000000}" name="Sex" dataDxfId="752"/>
    <tableColumn id="8" xr3:uid="{00000000-0010-0000-0000-000008000000}" name="Points" dataDxfId="751">
      <calculatedColumnFormula array="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calculatedColumnFormula>
    </tableColumn>
    <tableColumn id="9" xr3:uid="{00000000-0010-0000-0000-000009000000}" name="Div" dataDxfId="750">
      <calculatedColumnFormula>VLOOKUP(H10,$AO$11:$AP$17,2,TRUE)</calculatedColumnFormula>
    </tableColumn>
    <tableColumn id="10" xr3:uid="{00000000-0010-0000-0000-00000A000000}" name="From" dataDxfId="749"/>
    <tableColumn id="11" xr3:uid="{00000000-0010-0000-0000-00000B000000}" name="Gs" dataDxfId="748"/>
    <tableColumn id="20" xr3:uid="{00000000-0010-0000-0000-000014000000}" name="Bam" dataDxfId="747"/>
    <tableColumn id="12" xr3:uid="{00000000-0010-0000-0000-00000C000000}" name="Hist" dataDxfId="746"/>
    <tableColumn id="13" xr3:uid="{00000000-0010-0000-0000-00000D000000}" name="Geo" dataDxfId="745"/>
    <tableColumn id="14" xr3:uid="{00000000-0010-0000-0000-00000E000000}" name="Kisw" dataDxfId="744"/>
    <tableColumn id="15" xr3:uid="{00000000-0010-0000-0000-00000F000000}" name="Engl" dataDxfId="743"/>
    <tableColumn id="16" xr3:uid="{00000000-0010-0000-0000-000010000000}" name="Phy" dataDxfId="742"/>
    <tableColumn id="17" xr3:uid="{00000000-0010-0000-0000-000011000000}" name="Chem" dataDxfId="741"/>
    <tableColumn id="18" xr3:uid="{00000000-0010-0000-0000-000012000000}" name="Biol" dataDxfId="740"/>
    <tableColumn id="19" xr3:uid="{00000000-0010-0000-0000-000013000000}" name="Agr" dataDxfId="739"/>
    <tableColumn id="21" xr3:uid="{00000000-0010-0000-0000-000015000000}" name="Adv_Math" dataDxfId="738"/>
    <tableColumn id="22" xr3:uid="{00000000-0010-0000-0000-000016000000}" name="Comp_Sci" dataDxfId="737"/>
    <tableColumn id="23" xr3:uid="{00000000-0010-0000-0000-000017000000}" name="Econ" dataDxfId="736"/>
    <tableColumn id="24" xr3:uid="{00000000-0010-0000-0000-000018000000}" name="Comm" dataDxfId="735"/>
    <tableColumn id="25" xr3:uid="{00000000-0010-0000-0000-000019000000}" name="Acco" dataDxfId="734"/>
    <tableColumn id="26" xr3:uid="{00000000-0010-0000-0000-00001A000000}" name="Aggr_Pts" dataDxfId="733"/>
    <tableColumn id="27" xr3:uid="{00000000-0010-0000-0000-00001B000000}" name="F4_Pts" dataDxfId="732">
      <calculatedColumnFormula>_xlfn.XLOOKUP(F6Results_2026[[#This Row],[Full_Name]],tblF42023[FULL_NAME],tblF42023[POINTS],"",0,1)</calculatedColumnFormula>
    </tableColumn>
    <tableColumn id="28" xr3:uid="{00000000-0010-0000-0000-00001C000000}" name="F4_Div" dataDxfId="731">
      <calculatedColumnFormula>_xlfn.XLOOKUP(F6Results_2026[[#This Row],[Full_Name]],tblF42023[FULL_NAME],tblF42023[DIVISION],"",0,1)</calculatedColumnFormula>
    </tableColumn>
    <tableColumn id="33" xr3:uid="{00000000-0010-0000-0000-000021000000}" name="Csee_A's" dataDxfId="730">
      <calculatedColumnFormula>_xlfn.XLOOKUP(F6Results_2026[[#This Row],[Full_Name]],tblF42023[FULL_NAME],tblF42023[POINTS],"",0,1)</calculatedColumnFormula>
    </tableColumn>
    <tableColumn id="31" xr3:uid="{00000000-0010-0000-0000-00001F000000}" name="Comb_Adm_Pts" dataDxfId="729">
      <calculatedColumnFormula>IFERROR(
   INDEX(tblF42023[[HKL]:[CBA]],
         MATCH(F6Results_2026[[#This Row],[Full_Name]], tblF42023[FULL_NAME], 0),
         MATCH(F6Results_2026[[#This Row],[Comb]], tblF42023[[#Headers],[HKL]:[CBA]], 0)
   ),
   ""
)</calculatedColumnFormula>
    </tableColumn>
    <tableColumn id="34" xr3:uid="{00000000-0010-0000-0000-000022000000}" name="Comb_Qualification" dataDxfId="728">
      <calculatedColumnFormula>IFERROR(
   INDEX(tblF42023[],
         MATCH(F6Results_2026[[#This Row],[Full_Name]], tblF42023[FULL_NAME], 0),
         MATCH(F6Results_2026[[#This Row],[Comb]] &amp; "_Q", tblF42023[#Headers], 0)
   ),
   ""
)</calculatedColumnFormula>
    </tableColumn>
    <tableColumn id="29" xr3:uid="{00000000-0010-0000-0000-00001D000000}" name="FTNA_Pts" dataDxfId="727">
      <calculatedColumnFormula>_xlfn.XLOOKUP(F6Results_2026[[#This Row],[Full_Name]],tblF22021[FULL_NAME],tblF22021[POINTS],"",0,1)</calculatedColumnFormula>
    </tableColumn>
    <tableColumn id="30" xr3:uid="{00000000-0010-0000-0000-00001E000000}" name="FTNA_Div" dataDxfId="726">
      <calculatedColumnFormula>_xlfn.XLOOKUP(F6Results_2026[[#This Row],[Full_Name]],tblF42023[FULL_NAME],tblF42023[DIVISION],"",0,1)</calculatedColumnFormula>
    </tableColumn>
    <tableColumn id="35" xr3:uid="{00000000-0010-0000-0000-000023000000}" name="FTNA_A's" dataDxfId="725">
      <calculatedColumnFormula>_xlfn.XLOOKUP(F6Results_2026[[#This Row],[Full_Name]],tblF42023[FULL_NAME],tblF42023[TOTAL A''S],"",0,1)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97DDEC-F132-4D73-BF55-7D0E9030D0EE}" name="Comb_Div" displayName="Comb_Div" ref="A24:G32" tableType="queryTable" totalsRowShown="0">
  <autoFilter ref="A24:G32" xr:uid="{5697DDEC-F132-4D73-BF55-7D0E9030D0EE}"/>
  <tableColumns count="7">
    <tableColumn id="1" xr3:uid="{9AFD7871-1246-41DD-84AF-9FA2006BAF2A}" uniqueName="1" name="Comb" queryTableFieldId="1"/>
    <tableColumn id="2" xr3:uid="{20B28BE3-AD18-4B6E-A533-AF8769356FA0}" uniqueName="2" name="I" queryTableFieldId="2"/>
    <tableColumn id="3" xr3:uid="{BFF0E35A-81F1-483C-B2EA-1350AE5D0830}" uniqueName="3" name="II" queryTableFieldId="3"/>
    <tableColumn id="4" xr3:uid="{933569CE-E982-4994-83C4-90638B88BB3C}" uniqueName="4" name="III" queryTableFieldId="4"/>
    <tableColumn id="5" xr3:uid="{DAB1ACA5-B491-4F03-9B25-5AFDF0BFDEF8}" uniqueName="5" name="IV" queryTableFieldId="5"/>
    <tableColumn id="7" xr3:uid="{DF61965B-22BA-49BF-86A2-C4EEB6D2ADBA}" uniqueName="7" name="O" queryTableFieldId="7"/>
    <tableColumn id="6" xr3:uid="{43086179-5DC5-46BE-A4B2-54A6E2C26FA3}" uniqueName="6" name="Total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act_Student_Result" displayName="Fact_Student_Result" ref="A1:N191" tableType="queryTable" totalsRowShown="0">
  <autoFilter ref="A1:N191" xr:uid="{00000000-0009-0000-0100-000002000000}"/>
  <tableColumns count="14">
    <tableColumn id="1" xr3:uid="{00000000-0010-0000-0100-000001000000}" uniqueName="1" name="Cand_No" queryTableFieldId="1" dataDxfId="362"/>
    <tableColumn id="2" xr3:uid="{00000000-0010-0000-0100-000002000000}" uniqueName="2" name="Full_Name" queryTableFieldId="2" dataDxfId="361"/>
    <tableColumn id="3" xr3:uid="{00000000-0010-0000-0100-000003000000}" uniqueName="3" name="Sex" queryTableFieldId="3" dataDxfId="360"/>
    <tableColumn id="4" xr3:uid="{00000000-0010-0000-0100-000004000000}" uniqueName="4" name="Comb" queryTableFieldId="4" dataDxfId="359"/>
    <tableColumn id="5" xr3:uid="{00000000-0010-0000-0100-000005000000}" uniqueName="5" name="Group" queryTableFieldId="5" dataDxfId="358"/>
    <tableColumn id="6" xr3:uid="{00000000-0010-0000-0100-000006000000}" uniqueName="6" name="From" queryTableFieldId="6" dataDxfId="357"/>
    <tableColumn id="7" xr3:uid="{00000000-0010-0000-0100-000007000000}" uniqueName="7" name="Points" queryTableFieldId="7" dataDxfId="356"/>
    <tableColumn id="8" xr3:uid="{00000000-0010-0000-0100-000008000000}" uniqueName="8" name="Div" queryTableFieldId="8" dataDxfId="355"/>
    <tableColumn id="9" xr3:uid="{00000000-0010-0000-0100-000009000000}" uniqueName="9" name="Aggr_Pts" queryTableFieldId="9" dataDxfId="354"/>
    <tableColumn id="10" xr3:uid="{00000000-0010-0000-0100-00000A000000}" uniqueName="10" name="F4_Pts" queryTableFieldId="10" dataDxfId="353"/>
    <tableColumn id="11" xr3:uid="{00000000-0010-0000-0100-00000B000000}" uniqueName="11" name="F4_Div" queryTableFieldId="11" dataDxfId="352"/>
    <tableColumn id="12" xr3:uid="{00000000-0010-0000-0100-00000C000000}" uniqueName="12" name="FTNA_Pts" queryTableFieldId="12" dataDxfId="351"/>
    <tableColumn id="13" xr3:uid="{00000000-0010-0000-0100-00000D000000}" uniqueName="13" name="FTNA_Div" queryTableFieldId="13" dataDxfId="350"/>
    <tableColumn id="14" xr3:uid="{00000000-0010-0000-0100-00000E000000}" uniqueName="14" name="FTNA_A's" queryTableFieldId="14" dataDxfId="34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Student" displayName="Dim_Student" ref="A1:F191" tableType="queryTable" totalsRowShown="0">
  <autoFilter ref="A1:F191" xr:uid="{00000000-0009-0000-0100-000003000000}"/>
  <tableColumns count="6">
    <tableColumn id="1" xr3:uid="{00000000-0010-0000-0200-000001000000}" uniqueName="1" name="Cand_No" queryTableFieldId="1" dataDxfId="348"/>
    <tableColumn id="2" xr3:uid="{00000000-0010-0000-0200-000002000000}" uniqueName="2" name="Full_Name" queryTableFieldId="2" dataDxfId="347"/>
    <tableColumn id="3" xr3:uid="{00000000-0010-0000-0200-000003000000}" uniqueName="3" name="Sex" queryTableFieldId="3" dataDxfId="346"/>
    <tableColumn id="4" xr3:uid="{00000000-0010-0000-0200-000004000000}" uniqueName="4" name="Comb" queryTableFieldId="4" dataDxfId="345"/>
    <tableColumn id="5" xr3:uid="{00000000-0010-0000-0200-000005000000}" uniqueName="5" name="Group" queryTableFieldId="5" dataDxfId="344"/>
    <tableColumn id="6" xr3:uid="{00000000-0010-0000-0200-000006000000}" uniqueName="6" name="From" queryTableFieldId="6" dataDxfId="3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act_Subject_Grade" displayName="Fact_Subject_Grade" ref="A1:H761" tableType="queryTable" totalsRowShown="0">
  <autoFilter ref="A1:H761" xr:uid="{00000000-0009-0000-0100-000004000000}"/>
  <tableColumns count="8">
    <tableColumn id="1" xr3:uid="{00000000-0010-0000-0300-000001000000}" uniqueName="1" name="Cand_No" queryTableFieldId="1" dataDxfId="7"/>
    <tableColumn id="2" xr3:uid="{00000000-0010-0000-0300-000002000000}" uniqueName="2" name="Full_Name" queryTableFieldId="2" dataDxfId="6"/>
    <tableColumn id="3" xr3:uid="{00000000-0010-0000-0300-000003000000}" uniqueName="3" name="Sex" queryTableFieldId="3" dataDxfId="5"/>
    <tableColumn id="4" xr3:uid="{00000000-0010-0000-0300-000004000000}" uniqueName="4" name="Comb" queryTableFieldId="4" dataDxfId="4"/>
    <tableColumn id="5" xr3:uid="{00000000-0010-0000-0300-000005000000}" uniqueName="5" name="Group" queryTableFieldId="5" dataDxfId="3"/>
    <tableColumn id="6" xr3:uid="{00000000-0010-0000-0300-000006000000}" uniqueName="6" name="From" queryTableFieldId="6" dataDxfId="2"/>
    <tableColumn id="7" xr3:uid="{00000000-0010-0000-0300-000007000000}" uniqueName="7" name="Subject" queryTableFieldId="7" dataDxfId="1"/>
    <tableColumn id="8" xr3:uid="{00000000-0010-0000-0300-000008000000}" uniqueName="8" name="Grade" queryTableFieldId="8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BAGrade" displayName="CBAGrade" ref="A5:M10" totalsRowShown="0" headerRowDxfId="724" headerRowBorderDxfId="723" tableBorderDxfId="722" totalsRowBorderDxfId="721">
  <autoFilter ref="A5:M10" xr:uid="{00000000-0009-0000-0100-000013000000}"/>
  <tableColumns count="13">
    <tableColumn id="1" xr3:uid="{00000000-0010-0000-1200-000001000000}" name="Subject" dataDxfId="720"/>
    <tableColumn id="2" xr3:uid="{00000000-0010-0000-1200-000002000000}" name="A" dataDxfId="719"/>
    <tableColumn id="3" xr3:uid="{00000000-0010-0000-1200-000003000000}" name="B" dataDxfId="718"/>
    <tableColumn id="4" xr3:uid="{00000000-0010-0000-1200-000004000000}" name="C" dataDxfId="717"/>
    <tableColumn id="5" xr3:uid="{00000000-0010-0000-1200-000005000000}" name="D" dataDxfId="716"/>
    <tableColumn id="6" xr3:uid="{00000000-0010-0000-1200-000006000000}" name="E" dataDxfId="715"/>
    <tableColumn id="7" xr3:uid="{00000000-0010-0000-1200-000007000000}" name="S" dataDxfId="714"/>
    <tableColumn id="8" xr3:uid="{00000000-0010-0000-1200-000008000000}" name="F" dataDxfId="713"/>
    <tableColumn id="9" xr3:uid="{00000000-0010-0000-1200-000009000000}" name="Total" dataDxfId="712">
      <calculatedColumnFormula>SUM(B6:H6)</calculatedColumnFormula>
    </tableColumn>
    <tableColumn id="10" xr3:uid="{00000000-0010-0000-1200-00000A000000}" name="KPI %" dataDxfId="711">
      <calculatedColumnFormula>(((B6*5)+(C6*4)+(D6*3)+(E6*2)+(F6*1)+(G6*0.5)+(H6*0))/(I6*5))*100</calculatedColumnFormula>
    </tableColumn>
    <tableColumn id="11" xr3:uid="{00000000-0010-0000-1200-00000B000000}" name="KPI Status" dataDxfId="710">
      <calculatedColumnFormula>IF(I6=0,"N/A",IF(J6&gt;=60,"✓ Within KPI","✗ Out of KPI"))</calculatedColumnFormula>
    </tableColumn>
    <tableColumn id="12" xr3:uid="{00000000-0010-0000-1200-00000C000000}" name="Subj GPA" dataDxfId="709">
      <calculatedColumnFormula array="1">IFERROR(((B6*1)+(C6*2)+(D6*3)+(E6*4)+(F6*5)+(G6:G6*6)+(H6*7))/(I6),"N/A")</calculatedColumnFormula>
    </tableColumn>
    <tableColumn id="13" xr3:uid="{00000000-0010-0000-1200-00000D000000}" name="GPA Grade" dataDxfId="708">
      <calculatedColumnFormula>IF(OR(L6="N/A",ISNA(L6)),"N/A",IF(ISBLANK(L6),"",IF(L6="","",IF(L6&lt;=1.4999,"A-EXCELLENT",IF(L6&lt;=2.4999,"B-VERY GOOD",IF(L6&lt;=3.4999,"C-GOOD",IF(L6&lt;=4.4999,"D-AVERAGE",IF(L6&lt;=5.4999,"E-SATISFACTORY",IF(L6&lt;=6.4999,"S-SUBSIDIARY",IF(L6&gt;6.4999,"F-FAIL",""))))))))))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BAPercentage" displayName="CBAPercentage" ref="A13:M19" totalsRowShown="0" headerRowDxfId="707" headerRowBorderDxfId="706" tableBorderDxfId="705" totalsRowBorderDxfId="704">
  <autoFilter ref="A13:M19" xr:uid="{00000000-0009-0000-0100-000014000000}"/>
  <tableColumns count="13">
    <tableColumn id="1" xr3:uid="{00000000-0010-0000-1300-000001000000}" name="Subject" dataDxfId="703"/>
    <tableColumn id="2" xr3:uid="{00000000-0010-0000-1300-000002000000}" name="A %" dataDxfId="702" dataCellStyle="Percent"/>
    <tableColumn id="3" xr3:uid="{00000000-0010-0000-1300-000003000000}" name="B %" dataDxfId="701" dataCellStyle="Percent"/>
    <tableColumn id="4" xr3:uid="{00000000-0010-0000-1300-000004000000}" name="C %" dataDxfId="700" dataCellStyle="Percent"/>
    <tableColumn id="5" xr3:uid="{00000000-0010-0000-1300-000005000000}" name="D %" dataDxfId="699" dataCellStyle="Percent"/>
    <tableColumn id="6" xr3:uid="{00000000-0010-0000-1300-000006000000}" name="E %" dataDxfId="698" dataCellStyle="Percent"/>
    <tableColumn id="7" xr3:uid="{00000000-0010-0000-1300-000007000000}" name="S %" dataDxfId="697" dataCellStyle="Percent"/>
    <tableColumn id="8" xr3:uid="{00000000-0010-0000-1300-000008000000}" name="F %" dataDxfId="696" dataCellStyle="Percent"/>
    <tableColumn id="9" xr3:uid="{00000000-0010-0000-1300-000009000000}" name="Sat (n)" dataDxfId="695"/>
    <tableColumn id="10" xr3:uid="{00000000-0010-0000-1300-00000A000000}" name="KPI %" dataDxfId="694"/>
    <tableColumn id="11" xr3:uid="{00000000-0010-0000-1300-00000B000000}" name="KPI Status" dataDxfId="693">
      <calculatedColumnFormula>IF(I14=0,"N/A",IF(J14&gt;=60,"✓ Within KPI","✗ Out of KPI"))</calculatedColumnFormula>
    </tableColumn>
    <tableColumn id="12" xr3:uid="{00000000-0010-0000-1300-00000C000000}" name="Subj GPA" dataDxfId="692"/>
    <tableColumn id="13" xr3:uid="{00000000-0010-0000-1300-00000D000000}" name="GPA Grade" dataDxfId="691">
      <calculatedColumnFormula>IF(OR(L14="N/A",ISNA(L14)),"N/A",IF(ISBLANK(L14),"",IF(L14="","",IF(L14&lt;=1.4999,"A-EXCELLENT",IF(L14&lt;=2.4999,"B-VERY GOOD",IF(L14&lt;=3.4999,"C-GOOD",IF(L14&lt;=4.4999,"D-AVERAGE",IF(L14&lt;=5.4999,"E-SATISFACTORY",IF(L14&lt;=6.4999,"S-SUBSIDIARY",IF(L14&gt;6.4999,"F-FAIL",""))))))))))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ECAGrade" displayName="ECAGrade" ref="A23:M28" totalsRowShown="0" headerRowDxfId="690" headerRowBorderDxfId="689" tableBorderDxfId="688" totalsRowBorderDxfId="687">
  <autoFilter ref="A23:M28" xr:uid="{00000000-0009-0000-0100-000015000000}"/>
  <tableColumns count="13">
    <tableColumn id="1" xr3:uid="{00000000-0010-0000-1400-000001000000}" name="Subject" dataDxfId="686"/>
    <tableColumn id="2" xr3:uid="{00000000-0010-0000-1400-000002000000}" name="A" dataDxfId="685"/>
    <tableColumn id="3" xr3:uid="{00000000-0010-0000-1400-000003000000}" name="B" dataDxfId="684"/>
    <tableColumn id="4" xr3:uid="{00000000-0010-0000-1400-000004000000}" name="C" dataDxfId="683"/>
    <tableColumn id="5" xr3:uid="{00000000-0010-0000-1400-000005000000}" name="D" dataDxfId="682"/>
    <tableColumn id="6" xr3:uid="{00000000-0010-0000-1400-000006000000}" name="E" dataDxfId="681"/>
    <tableColumn id="7" xr3:uid="{00000000-0010-0000-1400-000007000000}" name="S" dataDxfId="680"/>
    <tableColumn id="8" xr3:uid="{00000000-0010-0000-1400-000008000000}" name="F" dataDxfId="679"/>
    <tableColumn id="9" xr3:uid="{00000000-0010-0000-1400-000009000000}" name="Total" dataDxfId="678">
      <calculatedColumnFormula>SUM(B24:H24)</calculatedColumnFormula>
    </tableColumn>
    <tableColumn id="10" xr3:uid="{00000000-0010-0000-1400-00000A000000}" name="KPI %" dataDxfId="677">
      <calculatedColumnFormula>(((B24*5)+(C24*4)+(D24*3)+(E24*2)+(F24*1)+(G24*0.5)+(H24*0))/(I24*5))*100</calculatedColumnFormula>
    </tableColumn>
    <tableColumn id="11" xr3:uid="{00000000-0010-0000-1400-00000B000000}" name="KPI Status" dataDxfId="676">
      <calculatedColumnFormula>IF(I24=0,"N/A",IF(J24&gt;=60,"✓ Within KPI","✗ Out of KPI"))</calculatedColumnFormula>
    </tableColumn>
    <tableColumn id="12" xr3:uid="{00000000-0010-0000-1400-00000C000000}" name="Subj GPA" dataDxfId="675">
      <calculatedColumnFormula array="1">IFERROR(((B24*1)+(C24*2)+(D24*3)+(E24*4)+(F24*5)+(G24:G24*6)+(H24*7))/(I24),"N/A")</calculatedColumnFormula>
    </tableColumn>
    <tableColumn id="13" xr3:uid="{00000000-0010-0000-1400-00000D000000}" name="GPA Grade" dataDxfId="674">
      <calculatedColumnFormula>IF(OR(L24="N/A",ISNA(L24)),"N/A",IF(ISBLANK(L24),"",IF(L24="","",IF(L24&lt;=1.4999,"A-EXCELLENT",IF(L24&lt;=2.4999,"B-VERY GOOD",IF(L24&lt;=3.4999,"C-GOOD",IF(L24&lt;=4.4999,"D-AVERAGE",IF(L24&lt;=5.4999,"E-SATISFACTORY",IF(L24&lt;=6.4999,"S-SUBSIDIARY",IF(L24&gt;6.4999,"F-FAIL",""))))))))))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ECAPercentage" displayName="ECAPercentage" ref="A31:M37" totalsRowShown="0" headerRowDxfId="673" headerRowBorderDxfId="672" tableBorderDxfId="671" totalsRowBorderDxfId="670">
  <autoFilter ref="A31:M37" xr:uid="{00000000-0009-0000-0100-000016000000}"/>
  <tableColumns count="13">
    <tableColumn id="1" xr3:uid="{00000000-0010-0000-1500-000001000000}" name="Subject" dataDxfId="669"/>
    <tableColumn id="2" xr3:uid="{00000000-0010-0000-1500-000002000000}" name="A %" dataDxfId="668" dataCellStyle="Percent"/>
    <tableColumn id="3" xr3:uid="{00000000-0010-0000-1500-000003000000}" name="B %" dataDxfId="667" dataCellStyle="Percent"/>
    <tableColumn id="4" xr3:uid="{00000000-0010-0000-1500-000004000000}" name="C %" dataDxfId="666" dataCellStyle="Percent"/>
    <tableColumn id="5" xr3:uid="{00000000-0010-0000-1500-000005000000}" name="D %" dataDxfId="665" dataCellStyle="Percent"/>
    <tableColumn id="6" xr3:uid="{00000000-0010-0000-1500-000006000000}" name="E %" dataDxfId="664" dataCellStyle="Percent"/>
    <tableColumn id="7" xr3:uid="{00000000-0010-0000-1500-000007000000}" name="S %" dataDxfId="663" dataCellStyle="Percent"/>
    <tableColumn id="8" xr3:uid="{00000000-0010-0000-1500-000008000000}" name="F %" dataDxfId="662" dataCellStyle="Percent"/>
    <tableColumn id="9" xr3:uid="{00000000-0010-0000-1500-000009000000}" name="Sat (n)" dataDxfId="661"/>
    <tableColumn id="10" xr3:uid="{00000000-0010-0000-1500-00000A000000}" name="KPI %" dataDxfId="660"/>
    <tableColumn id="11" xr3:uid="{00000000-0010-0000-1500-00000B000000}" name="KPI Status" dataDxfId="659">
      <calculatedColumnFormula>IF(I32=0,"N/A",IF(J32&gt;=60,"✓ Within KPI","✗ Out of KPI"))</calculatedColumnFormula>
    </tableColumn>
    <tableColumn id="12" xr3:uid="{00000000-0010-0000-1500-00000C000000}" name="Subj GPA" dataDxfId="658"/>
    <tableColumn id="13" xr3:uid="{00000000-0010-0000-1500-00000D000000}" name="GPA Grade" dataDxfId="657">
      <calculatedColumnFormula>IF(OR(L32="N/A",ISNA(L32)),"N/A",IF(ISBLANK(L32),"",IF(L32="","",IF(L32&lt;=1.4999,"A-EXCELLENT",IF(L32&lt;=2.4999,"B-VERY GOOD",IF(L32&lt;=3.4999,"C-GOOD",IF(L32&lt;=4.4999,"D-AVERAGE",IF(L32&lt;=5.4999,"E-SATISFACTORY",IF(L32&lt;=6.4999,"S-SUBSIDIARY",IF(L32&gt;6.4999,"F-FAIL",""))))))))))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EGMGrade" displayName="EGMGrade" ref="A41:M45" totalsRowShown="0" headerRowDxfId="656" headerRowBorderDxfId="655" tableBorderDxfId="654">
  <autoFilter ref="A41:M45" xr:uid="{00000000-0009-0000-0100-000017000000}"/>
  <tableColumns count="13">
    <tableColumn id="1" xr3:uid="{00000000-0010-0000-1600-000001000000}" name="Subject"/>
    <tableColumn id="2" xr3:uid="{00000000-0010-0000-1600-000002000000}" name="A" dataDxfId="653"/>
    <tableColumn id="3" xr3:uid="{00000000-0010-0000-1600-000003000000}" name="B" dataDxfId="652"/>
    <tableColumn id="4" xr3:uid="{00000000-0010-0000-1600-000004000000}" name="C" dataDxfId="651"/>
    <tableColumn id="5" xr3:uid="{00000000-0010-0000-1600-000005000000}" name="D" dataDxfId="650"/>
    <tableColumn id="6" xr3:uid="{00000000-0010-0000-1600-000006000000}" name="E" dataDxfId="649"/>
    <tableColumn id="7" xr3:uid="{00000000-0010-0000-1600-000007000000}" name="S" dataDxfId="648"/>
    <tableColumn id="8" xr3:uid="{00000000-0010-0000-1600-000008000000}" name="F" dataDxfId="647"/>
    <tableColumn id="9" xr3:uid="{00000000-0010-0000-1600-000009000000}" name="Total" dataDxfId="646">
      <calculatedColumnFormula>SUM(B42:H42)</calculatedColumnFormula>
    </tableColumn>
    <tableColumn id="10" xr3:uid="{00000000-0010-0000-1600-00000A000000}" name="KPI %" dataDxfId="645">
      <calculatedColumnFormula>(((B42*5)+(C42*4)+(D42*3)+(E42*2)+(F42*1)+(G42*0.5)+(H42*0))/(I42*5))*100</calculatedColumnFormula>
    </tableColumn>
    <tableColumn id="11" xr3:uid="{00000000-0010-0000-1600-00000B000000}" name="KPI Status" dataDxfId="644">
      <calculatedColumnFormula>IF(I42=0,"N/A",IF(J42&gt;=60,"✓ Within KPI","✗ Out of KPI"))</calculatedColumnFormula>
    </tableColumn>
    <tableColumn id="12" xr3:uid="{00000000-0010-0000-1600-00000C000000}" name="Subj GPA" dataDxfId="643">
      <calculatedColumnFormula array="1">IFERROR(((B42*1)+(C42*2)+(D42*3)+(E42*4)+(F42*5)+(G42:G42*6)+(H42*7))/(I42),"N/A")</calculatedColumnFormula>
    </tableColumn>
    <tableColumn id="13" xr3:uid="{00000000-0010-0000-1600-00000D000000}" name="GPA Grade" dataDxfId="642">
      <calculatedColumnFormula>IF(OR(L42="N/A",ISNA(L42)),"N/A",IF(ISBLANK(L42),"",IF(L42="","",IF(L42&lt;=1.4999,"A-EXCELLENT",IF(L42&lt;=2.4999,"B-VERY GOOD",IF(L42&lt;=3.4999,"C-GOOD",IF(L42&lt;=4.4999,"D-AVERAGE",IF(L42&lt;=5.4999,"E-SATISFACTORY",IF(L42&lt;=6.4999,"S-SUBSIDIARY",IF(L42&gt;6.4999,"F-FAIL",""))))))))))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EGMPercentage" displayName="EGMPercentage" ref="A48:M53" totalsRowShown="0" headerRowDxfId="641" headerRowBorderDxfId="640" tableBorderDxfId="639" totalsRowBorderDxfId="638">
  <autoFilter ref="A48:M53" xr:uid="{00000000-0009-0000-0100-000018000000}"/>
  <tableColumns count="13">
    <tableColumn id="1" xr3:uid="{00000000-0010-0000-1700-000001000000}" name="Subject" dataDxfId="637"/>
    <tableColumn id="2" xr3:uid="{00000000-0010-0000-1700-000002000000}" name="A %" dataDxfId="636" dataCellStyle="Percent"/>
    <tableColumn id="3" xr3:uid="{00000000-0010-0000-1700-000003000000}" name="B %" dataDxfId="635" dataCellStyle="Percent"/>
    <tableColumn id="4" xr3:uid="{00000000-0010-0000-1700-000004000000}" name="C %" dataDxfId="634" dataCellStyle="Percent"/>
    <tableColumn id="5" xr3:uid="{00000000-0010-0000-1700-000005000000}" name="D %" dataDxfId="633" dataCellStyle="Percent"/>
    <tableColumn id="6" xr3:uid="{00000000-0010-0000-1700-000006000000}" name="E %" dataDxfId="632" dataCellStyle="Percent"/>
    <tableColumn id="7" xr3:uid="{00000000-0010-0000-1700-000007000000}" name="S %" dataDxfId="631" dataCellStyle="Percent"/>
    <tableColumn id="8" xr3:uid="{00000000-0010-0000-1700-000008000000}" name="F %" dataDxfId="630" dataCellStyle="Percent"/>
    <tableColumn id="9" xr3:uid="{00000000-0010-0000-1700-000009000000}" name="Sat (n)" dataDxfId="629"/>
    <tableColumn id="10" xr3:uid="{00000000-0010-0000-1700-00000A000000}" name="KPI %" dataDxfId="628"/>
    <tableColumn id="11" xr3:uid="{00000000-0010-0000-1700-00000B000000}" name="KPI Status" dataDxfId="627">
      <calculatedColumnFormula>IF(I49=0,"N/A",IF(J49&gt;=60,"✓ Within KPI","✗ Out of KPI"))</calculatedColumnFormula>
    </tableColumn>
    <tableColumn id="12" xr3:uid="{00000000-0010-0000-1700-00000C000000}" name="Subj GPA" dataDxfId="626"/>
    <tableColumn id="13" xr3:uid="{00000000-0010-0000-1700-00000D000000}" name="GPA Grade" dataDxfId="625">
      <calculatedColumnFormula>IF(OR(L49="N/A",ISNA(L49)),"N/A",IF(ISBLANK(L49),"",IF(L49="","",IF(L49&lt;=1.4999,"A-EXCELLENT",IF(L49&lt;=2.4999,"B-VERY GOOD",IF(L49&lt;=3.4999,"C-GOOD",IF(L49&lt;=4.4999,"D-AVERAGE",IF(L49&lt;=5.4999,"E-SATISFACTORY",IF(L49&lt;=6.4999,"S-SUBSIDIARY",IF(L49&gt;6.4999,"F-FAIL",""))))))))))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HGKGrade" displayName="HGKGrade" ref="A57:M61" totalsRowShown="0" headerRowDxfId="624" headerRowBorderDxfId="623" tableBorderDxfId="622" totalsRowBorderDxfId="621">
  <autoFilter ref="A57:M61" xr:uid="{00000000-0009-0000-0100-000019000000}"/>
  <tableColumns count="13">
    <tableColumn id="1" xr3:uid="{00000000-0010-0000-1800-000001000000}" name="Subject"/>
    <tableColumn id="2" xr3:uid="{00000000-0010-0000-1800-000002000000}" name="A" dataDxfId="620"/>
    <tableColumn id="3" xr3:uid="{00000000-0010-0000-1800-000003000000}" name="B" dataDxfId="619"/>
    <tableColumn id="4" xr3:uid="{00000000-0010-0000-1800-000004000000}" name="C" dataDxfId="618"/>
    <tableColumn id="5" xr3:uid="{00000000-0010-0000-1800-000005000000}" name="D" dataDxfId="617"/>
    <tableColumn id="6" xr3:uid="{00000000-0010-0000-1800-000006000000}" name="E" dataDxfId="616"/>
    <tableColumn id="7" xr3:uid="{00000000-0010-0000-1800-000007000000}" name="S" dataDxfId="615"/>
    <tableColumn id="8" xr3:uid="{00000000-0010-0000-1800-000008000000}" name="F" dataDxfId="614"/>
    <tableColumn id="9" xr3:uid="{00000000-0010-0000-1800-000009000000}" name="Total" dataDxfId="613">
      <calculatedColumnFormula>SUM(B58:H58)</calculatedColumnFormula>
    </tableColumn>
    <tableColumn id="10" xr3:uid="{00000000-0010-0000-1800-00000A000000}" name="KPI %" dataDxfId="612">
      <calculatedColumnFormula>(((B58*5)+(C58*4)+(D58*3)+(E58*2)+(F58*1)+(G58*0.5)+(H58*0))/(I58*5))*100</calculatedColumnFormula>
    </tableColumn>
    <tableColumn id="11" xr3:uid="{00000000-0010-0000-1800-00000B000000}" name="KPI Status" dataDxfId="611">
      <calculatedColumnFormula>IF(I58=0,"N/A",IF(J58&gt;=60,"✓ Within KPI","✗ Out of KPI"))</calculatedColumnFormula>
    </tableColumn>
    <tableColumn id="12" xr3:uid="{00000000-0010-0000-1800-00000C000000}" name="Subj GPA" dataDxfId="610">
      <calculatedColumnFormula array="1">IFERROR(((B58*1)+(C58*2)+(D58*3)+(E58*4)+(F58*5)+(G58:G58*6)+(H58*7))/(I58),"N/A")</calculatedColumnFormula>
    </tableColumn>
    <tableColumn id="13" xr3:uid="{00000000-0010-0000-1800-00000D000000}" name="GPA Grade" dataDxfId="609">
      <calculatedColumnFormula>IF(OR(L58="N/A",ISNA(L58)),"N/A",IF(ISBLANK(L58),"",IF(L58="","",IF(L58&lt;=1.4999,"A-EXCELLENT",IF(L58&lt;=2.4999,"B-VERY GOOD",IF(L58&lt;=3.4999,"C-GOOD",IF(L58&lt;=4.4999,"D-AVERAGE",IF(L58&lt;=5.4999,"E-SATISFACTORY",IF(L58&lt;=6.4999,"S-SUBSIDIARY",IF(L58&gt;6.4999,"F-FAIL",""))))))))))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HGKPercentage" displayName="HGKPercentage" ref="A64:M69" totalsRowShown="0" headerRowDxfId="608" headerRowBorderDxfId="607" tableBorderDxfId="606" totalsRowBorderDxfId="605">
  <autoFilter ref="A64:M69" xr:uid="{00000000-0009-0000-0100-00001A000000}"/>
  <tableColumns count="13">
    <tableColumn id="1" xr3:uid="{00000000-0010-0000-1900-000001000000}" name="Subject" dataDxfId="604"/>
    <tableColumn id="2" xr3:uid="{00000000-0010-0000-1900-000002000000}" name="A %" dataDxfId="603" dataCellStyle="Percent"/>
    <tableColumn id="3" xr3:uid="{00000000-0010-0000-1900-000003000000}" name="B %" dataDxfId="602" dataCellStyle="Percent"/>
    <tableColumn id="4" xr3:uid="{00000000-0010-0000-1900-000004000000}" name="C %" dataDxfId="601" dataCellStyle="Percent"/>
    <tableColumn id="5" xr3:uid="{00000000-0010-0000-1900-000005000000}" name="D %" dataDxfId="600" dataCellStyle="Percent"/>
    <tableColumn id="6" xr3:uid="{00000000-0010-0000-1900-000006000000}" name="E %" dataDxfId="599" dataCellStyle="Percent"/>
    <tableColumn id="7" xr3:uid="{00000000-0010-0000-1900-000007000000}" name="S %" dataDxfId="598" dataCellStyle="Percent"/>
    <tableColumn id="8" xr3:uid="{00000000-0010-0000-1900-000008000000}" name="F %" dataDxfId="597" dataCellStyle="Percent"/>
    <tableColumn id="9" xr3:uid="{00000000-0010-0000-1900-000009000000}" name="Sat (n)" dataDxfId="596"/>
    <tableColumn id="10" xr3:uid="{00000000-0010-0000-1900-00000A000000}" name="KPI %" dataDxfId="595"/>
    <tableColumn id="11" xr3:uid="{00000000-0010-0000-1900-00000B000000}" name="KPI Status" dataDxfId="594">
      <calculatedColumnFormula>IF(I65=0,"N/A",IF(J65&gt;=60,"✓ Within KPI","✗ Out of KPI"))</calculatedColumnFormula>
    </tableColumn>
    <tableColumn id="12" xr3:uid="{00000000-0010-0000-1900-00000C000000}" name="Subj GPA" dataDxfId="593"/>
    <tableColumn id="13" xr3:uid="{00000000-0010-0000-1900-00000D000000}" name="GPA Grade" dataDxfId="592">
      <calculatedColumnFormula>IF(OR(L65="N/A",ISNA(L65)),"N/A",IF(ISBLANK(L65),"",IF(L65="","",IF(L65&lt;=1.4999,"A-EXCELLENT",IF(L65&lt;=2.4999,"B-VERY GOOD",IF(L65&lt;=3.4999,"C-GOOD",IF(L65&lt;=4.4999,"D-AVERAGE",IF(L65&lt;=5.4999,"E-SATISFACTORY",IF(L65&lt;=6.4999,"S-SUBSIDIARY",IF(L65&gt;6.4999,"F-FAIL",""))))))))))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HGLGrade" displayName="HGLGrade" ref="A73:M78" totalsRowShown="0" headerRowDxfId="591" headerRowBorderDxfId="590" tableBorderDxfId="589">
  <autoFilter ref="A73:M78" xr:uid="{00000000-0009-0000-0100-00001B000000}"/>
  <tableColumns count="13">
    <tableColumn id="1" xr3:uid="{00000000-0010-0000-1A00-000001000000}" name="Subject"/>
    <tableColumn id="2" xr3:uid="{00000000-0010-0000-1A00-000002000000}" name="A" dataDxfId="588"/>
    <tableColumn id="3" xr3:uid="{00000000-0010-0000-1A00-000003000000}" name="B" dataDxfId="587"/>
    <tableColumn id="4" xr3:uid="{00000000-0010-0000-1A00-000004000000}" name="C" dataDxfId="586"/>
    <tableColumn id="5" xr3:uid="{00000000-0010-0000-1A00-000005000000}" name="D" dataDxfId="585"/>
    <tableColumn id="6" xr3:uid="{00000000-0010-0000-1A00-000006000000}" name="E" dataDxfId="584"/>
    <tableColumn id="7" xr3:uid="{00000000-0010-0000-1A00-000007000000}" name="S" dataDxfId="583"/>
    <tableColumn id="8" xr3:uid="{00000000-0010-0000-1A00-000008000000}" name="F" dataDxfId="582"/>
    <tableColumn id="9" xr3:uid="{00000000-0010-0000-1A00-000009000000}" name="Total" dataDxfId="581">
      <calculatedColumnFormula>SUM(B74:H74)</calculatedColumnFormula>
    </tableColumn>
    <tableColumn id="10" xr3:uid="{00000000-0010-0000-1A00-00000A000000}" name="KPI %" dataDxfId="580">
      <calculatedColumnFormula>(((B74*5)+(C74*4)+(D74*3)+(E74*2)+(F74*1)+(G74*0.5)+(H74*0))/(I74*5))*100</calculatedColumnFormula>
    </tableColumn>
    <tableColumn id="11" xr3:uid="{00000000-0010-0000-1A00-00000B000000}" name="KPI Status" dataDxfId="579">
      <calculatedColumnFormula>IF(I74=0,"N/A",IF(J74&gt;=60,"✓ Within KPI","✗ Out of KPI"))</calculatedColumnFormula>
    </tableColumn>
    <tableColumn id="12" xr3:uid="{00000000-0010-0000-1A00-00000C000000}" name="Subj GPA" dataDxfId="578">
      <calculatedColumnFormula array="1">IFERROR(((B74*1)+(C74*2)+(D74*3)+(E74*4)+(F74*5)+(G74:G74*6)+(H74*7))/(I74),"N/A")</calculatedColumnFormula>
    </tableColumn>
    <tableColumn id="13" xr3:uid="{00000000-0010-0000-1A00-00000D000000}" name="GPA Grade" dataDxfId="577">
      <calculatedColumnFormula>IF(OR(L74="N/A",ISNA(L74)),"N/A",IF(ISBLANK(L74),"",IF(L74="","",IF(L74&lt;=1.4999,"A-EXCELLENT",IF(L74&lt;=2.4999,"B-VERY GOOD",IF(L74&lt;=3.4999,"C-GOOD",IF(L74&lt;=4.4999,"D-AVERAGE",IF(L74&lt;=5.4999,"E-SATISFACTORY",IF(L74&lt;=6.4999,"S-SUBSIDIARY",IF(L74&gt;6.4999,"F-FAIL",""))))))))))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HGLPercentage" displayName="HGLPercentage" ref="A80:M85" totalsRowShown="0" headerRowDxfId="576" headerRowBorderDxfId="575" tableBorderDxfId="574" totalsRowBorderDxfId="573">
  <autoFilter ref="A80:M85" xr:uid="{00000000-0009-0000-0100-00001C000000}"/>
  <tableColumns count="13">
    <tableColumn id="1" xr3:uid="{00000000-0010-0000-1B00-000001000000}" name="Subject" dataDxfId="572"/>
    <tableColumn id="2" xr3:uid="{00000000-0010-0000-1B00-000002000000}" name="A %" dataDxfId="571" dataCellStyle="Percent"/>
    <tableColumn id="3" xr3:uid="{00000000-0010-0000-1B00-000003000000}" name="B %" dataDxfId="570" dataCellStyle="Percent"/>
    <tableColumn id="4" xr3:uid="{00000000-0010-0000-1B00-000004000000}" name="C %" dataDxfId="569" dataCellStyle="Percent"/>
    <tableColumn id="5" xr3:uid="{00000000-0010-0000-1B00-000005000000}" name="D %" dataDxfId="568" dataCellStyle="Percent"/>
    <tableColumn id="6" xr3:uid="{00000000-0010-0000-1B00-000006000000}" name="E %" dataDxfId="567" dataCellStyle="Percent"/>
    <tableColumn id="7" xr3:uid="{00000000-0010-0000-1B00-000007000000}" name="S %" dataDxfId="566" dataCellStyle="Percent"/>
    <tableColumn id="8" xr3:uid="{00000000-0010-0000-1B00-000008000000}" name="F %" dataDxfId="565" dataCellStyle="Percent"/>
    <tableColumn id="9" xr3:uid="{00000000-0010-0000-1B00-000009000000}" name="Sat (n)" dataDxfId="564"/>
    <tableColumn id="10" xr3:uid="{00000000-0010-0000-1B00-00000A000000}" name="KPI %" dataDxfId="563">
      <calculatedColumnFormula>(((B81*5)+(C81*4)+(D81*3)+(E81*2)+(F81*1)+(G81*0.5)+(H81*0))/(I81*5))*100</calculatedColumnFormula>
    </tableColumn>
    <tableColumn id="11" xr3:uid="{00000000-0010-0000-1B00-00000B000000}" name="KPI Status" dataDxfId="562">
      <calculatedColumnFormula>IF(I81=0,"N/A",IF(J81&gt;=60,"✓ Within KPI","✗ Out of KPI"))</calculatedColumnFormula>
    </tableColumn>
    <tableColumn id="12" xr3:uid="{00000000-0010-0000-1B00-00000C000000}" name="Subj GPA" dataDxfId="561"/>
    <tableColumn id="13" xr3:uid="{00000000-0010-0000-1B00-00000D000000}" name="GPA Grade" dataDxfId="560">
      <calculatedColumnFormula>IF(OR(L81="N/A",ISNA(L81)),"N/A",IF(ISBLANK(L81),"",IF(L81="","",IF(L81&lt;=1.4999,"A-EXCELLENT",IF(L81&lt;=2.4999,"B-VERY GOOD",IF(L81&lt;=3.4999,"C-GOOD",IF(L81&lt;=4.4999,"D-AVERAGE",IF(L81&lt;=5.4999,"E-SATISFACTORY",IF(L81&lt;=6.4999,"S-SUBSIDIARY",IF(L81&gt;6.4999,"F-FAIL",""))))))))))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PCBGrade" displayName="PCBGrade" ref="A89:M94" totalsRowShown="0" headerRowDxfId="559" headerRowBorderDxfId="558" tableBorderDxfId="557" totalsRowBorderDxfId="556">
  <autoFilter ref="A89:M94" xr:uid="{00000000-0009-0000-0100-00001D000000}"/>
  <tableColumns count="13">
    <tableColumn id="1" xr3:uid="{00000000-0010-0000-1C00-000001000000}" name="Subject" dataDxfId="555"/>
    <tableColumn id="2" xr3:uid="{00000000-0010-0000-1C00-000002000000}" name="A" dataDxfId="554"/>
    <tableColumn id="3" xr3:uid="{00000000-0010-0000-1C00-000003000000}" name="B" dataDxfId="553"/>
    <tableColumn id="4" xr3:uid="{00000000-0010-0000-1C00-000004000000}" name="C" dataDxfId="552"/>
    <tableColumn id="5" xr3:uid="{00000000-0010-0000-1C00-000005000000}" name="D" dataDxfId="551"/>
    <tableColumn id="6" xr3:uid="{00000000-0010-0000-1C00-000006000000}" name="E" dataDxfId="550"/>
    <tableColumn id="7" xr3:uid="{00000000-0010-0000-1C00-000007000000}" name="S" dataDxfId="549"/>
    <tableColumn id="8" xr3:uid="{00000000-0010-0000-1C00-000008000000}" name="F" dataDxfId="548"/>
    <tableColumn id="9" xr3:uid="{00000000-0010-0000-1C00-000009000000}" name="Total" dataDxfId="547">
      <calculatedColumnFormula>SUM(B90:H90)</calculatedColumnFormula>
    </tableColumn>
    <tableColumn id="10" xr3:uid="{00000000-0010-0000-1C00-00000A000000}" name="KPI %" dataDxfId="546">
      <calculatedColumnFormula>(((B90*5)+(C90*4)+(D90*3)+(E90*2)+(F90*1)+(G90*0.5)+(H90*0))/(I90*5))*100</calculatedColumnFormula>
    </tableColumn>
    <tableColumn id="11" xr3:uid="{00000000-0010-0000-1C00-00000B000000}" name="KPI Status" dataDxfId="545">
      <calculatedColumnFormula>IF(I90=0,"N/A",IF(J90&gt;=60,"✓ Within KPI","✗ Out of KPI"))</calculatedColumnFormula>
    </tableColumn>
    <tableColumn id="12" xr3:uid="{00000000-0010-0000-1C00-00000C000000}" name="Subj GPA" dataDxfId="544">
      <calculatedColumnFormula array="1">IFERROR(((B90*1)+(C90*2)+(D90*3)+(E90*4)+(F90*5)+(G90:G90*6)+(H90*7))/(I90),"N/A")</calculatedColumnFormula>
    </tableColumn>
    <tableColumn id="13" xr3:uid="{00000000-0010-0000-1C00-00000D000000}" name="GPA Grade" dataDxfId="543">
      <calculatedColumnFormula>IF(OR(L90="N/A",ISNA(L90)),"N/A",IF(ISBLANK(L90),"",IF(L90="","",IF(L90&lt;=1.4999,"A-EXCELLENT",IF(L90&lt;=2.4999,"B-VERY GOOD",IF(L90&lt;=3.4999,"C-GOOD",IF(L90&lt;=4.4999,"D-AVERAGE",IF(L90&lt;=5.4999,"E-SATISFACTORY",IF(L90&lt;=6.4999,"S-SUBSIDIARY",IF(L90&gt;6.4999,"F-FAIL",""))))))))))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PCBPercentage" displayName="PCBPercentage" ref="A97:M103" totalsRowShown="0" headerRowDxfId="542" tableBorderDxfId="541">
  <autoFilter ref="A97:M103" xr:uid="{00000000-0009-0000-0100-00001E000000}"/>
  <tableColumns count="13">
    <tableColumn id="1" xr3:uid="{00000000-0010-0000-1D00-000001000000}" name="Subject" dataDxfId="540"/>
    <tableColumn id="2" xr3:uid="{00000000-0010-0000-1D00-000002000000}" name="A %" dataDxfId="539" dataCellStyle="Percent"/>
    <tableColumn id="3" xr3:uid="{00000000-0010-0000-1D00-000003000000}" name="B %" dataDxfId="538" dataCellStyle="Percent"/>
    <tableColumn id="4" xr3:uid="{00000000-0010-0000-1D00-000004000000}" name="C %" dataDxfId="537" dataCellStyle="Percent"/>
    <tableColumn id="5" xr3:uid="{00000000-0010-0000-1D00-000005000000}" name="D %" dataDxfId="536" dataCellStyle="Percent"/>
    <tableColumn id="6" xr3:uid="{00000000-0010-0000-1D00-000006000000}" name="E %" dataDxfId="535" dataCellStyle="Percent"/>
    <tableColumn id="7" xr3:uid="{00000000-0010-0000-1D00-000007000000}" name="S %" dataDxfId="534" dataCellStyle="Percent"/>
    <tableColumn id="8" xr3:uid="{00000000-0010-0000-1D00-000008000000}" name="F %" dataDxfId="533" dataCellStyle="Percent"/>
    <tableColumn id="9" xr3:uid="{00000000-0010-0000-1D00-000009000000}" name="Sat (n)" dataDxfId="532"/>
    <tableColumn id="10" xr3:uid="{00000000-0010-0000-1D00-00000A000000}" name="KPI %" dataDxfId="531"/>
    <tableColumn id="11" xr3:uid="{00000000-0010-0000-1D00-00000B000000}" name="KPI Status" dataDxfId="530">
      <calculatedColumnFormula>IF(I98=0,"N/A",IF(J98&gt;=60,"✓ Within KPI","✗ Out of KPI"))</calculatedColumnFormula>
    </tableColumn>
    <tableColumn id="12" xr3:uid="{00000000-0010-0000-1D00-00000C000000}" name="Subj GPA" dataDxfId="529"/>
    <tableColumn id="13" xr3:uid="{00000000-0010-0000-1D00-00000D000000}" name="GPA Grade" dataDxfId="528">
      <calculatedColumnFormula>IF(OR(L98="N/A",ISNA(L98)),"N/A",IF(ISBLANK(L98),"",IF(L98="","",IF(L98&lt;=1.4999,"A-EXCELLENT",IF(L98&lt;=2.4999,"B-VERY GOOD",IF(L98&lt;=3.4999,"C-GOOD",IF(L98&lt;=4.4999,"D-AVERAGE",IF(L98&lt;=5.4999,"E-SATISFACTORY",IF(L98&lt;=6.4999,"S-SUBSIDIARY",IF(L98&gt;6.4999,"F-FAIL",""))))))))))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PCMGrade" displayName="PCMGrade" ref="A107:M111" totalsRowShown="0" headerRowDxfId="527" headerRowBorderDxfId="526" tableBorderDxfId="525">
  <autoFilter ref="A107:M111" xr:uid="{00000000-0009-0000-0100-00001F000000}"/>
  <tableColumns count="13">
    <tableColumn id="1" xr3:uid="{00000000-0010-0000-1E00-000001000000}" name="Subject"/>
    <tableColumn id="2" xr3:uid="{00000000-0010-0000-1E00-000002000000}" name="A" dataDxfId="524"/>
    <tableColumn id="3" xr3:uid="{00000000-0010-0000-1E00-000003000000}" name="B" dataDxfId="523"/>
    <tableColumn id="4" xr3:uid="{00000000-0010-0000-1E00-000004000000}" name="C" dataDxfId="522"/>
    <tableColumn id="5" xr3:uid="{00000000-0010-0000-1E00-000005000000}" name="D" dataDxfId="521"/>
    <tableColumn id="6" xr3:uid="{00000000-0010-0000-1E00-000006000000}" name="E" dataDxfId="520"/>
    <tableColumn id="7" xr3:uid="{00000000-0010-0000-1E00-000007000000}" name="S" dataDxfId="519"/>
    <tableColumn id="8" xr3:uid="{00000000-0010-0000-1E00-000008000000}" name="F" dataDxfId="518"/>
    <tableColumn id="9" xr3:uid="{00000000-0010-0000-1E00-000009000000}" name="Total" dataDxfId="517">
      <calculatedColumnFormula>SUM(B108:H108)</calculatedColumnFormula>
    </tableColumn>
    <tableColumn id="10" xr3:uid="{00000000-0010-0000-1E00-00000A000000}" name="KPI %" dataDxfId="516">
      <calculatedColumnFormula>(((B108*5)+(C108*4)+(D108*3)+(E108*2)+(F108*1)+(G108*0.5)+(H108*0))/(I108*5))*100</calculatedColumnFormula>
    </tableColumn>
    <tableColumn id="11" xr3:uid="{00000000-0010-0000-1E00-00000B000000}" name="KPI Status" dataDxfId="515">
      <calculatedColumnFormula>IF(I108=0,"N/A",IF(J108&gt;=60,"✓ Within KPI","✗ Out of KPI"))</calculatedColumnFormula>
    </tableColumn>
    <tableColumn id="12" xr3:uid="{00000000-0010-0000-1E00-00000C000000}" name="Subj GPA" dataDxfId="514">
      <calculatedColumnFormula array="1">IFERROR(((B108*1)+(C108*2)+(D108*3)+(E108*4)+(F108*5)+(G108:G108*6)+(H108*7))/(I108),"N/A")</calculatedColumnFormula>
    </tableColumn>
    <tableColumn id="13" xr3:uid="{00000000-0010-0000-1E00-00000D000000}" name="GPA Grade" dataDxfId="513">
      <calculatedColumnFormula>IF(OR(L108="N/A",ISNA(L108)),"N/A",IF(ISBLANK(L108),"",IF(L108="","",IF(L108&lt;=1.4999,"A-EXCELLENT",IF(L108&lt;=2.4999,"B-VERY GOOD",IF(L108&lt;=3.4999,"C-GOOD",IF(L108&lt;=4.4999,"D-AVERAGE",IF(L108&lt;=5.4999,"E-SATISFACTORY",IF(L108&lt;=6.4999,"S-SUBSIDIARY",IF(L108&gt;6.4999,"F-FAIL",""))))))))))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PCMPercentage" displayName="PCMPercentage" ref="A114:M119" totalsRowShown="0" headerRowDxfId="512" tableBorderDxfId="511">
  <autoFilter ref="A114:M119" xr:uid="{00000000-0009-0000-0100-000020000000}"/>
  <tableColumns count="13">
    <tableColumn id="1" xr3:uid="{00000000-0010-0000-1F00-000001000000}" name="Subject" dataDxfId="510"/>
    <tableColumn id="2" xr3:uid="{00000000-0010-0000-1F00-000002000000}" name="A %" dataDxfId="509" dataCellStyle="Percent"/>
    <tableColumn id="3" xr3:uid="{00000000-0010-0000-1F00-000003000000}" name="B %" dataDxfId="508" dataCellStyle="Percent"/>
    <tableColumn id="4" xr3:uid="{00000000-0010-0000-1F00-000004000000}" name="C %" dataDxfId="507" dataCellStyle="Percent"/>
    <tableColumn id="5" xr3:uid="{00000000-0010-0000-1F00-000005000000}" name="D %" dataDxfId="506" dataCellStyle="Percent"/>
    <tableColumn id="6" xr3:uid="{00000000-0010-0000-1F00-000006000000}" name="E %" dataDxfId="505" dataCellStyle="Percent"/>
    <tableColumn id="7" xr3:uid="{00000000-0010-0000-1F00-000007000000}" name="S %" dataDxfId="504" dataCellStyle="Percent"/>
    <tableColumn id="8" xr3:uid="{00000000-0010-0000-1F00-000008000000}" name="F %" dataDxfId="503" dataCellStyle="Percent"/>
    <tableColumn id="9" xr3:uid="{00000000-0010-0000-1F00-000009000000}" name="Sat (n)" dataDxfId="502"/>
    <tableColumn id="10" xr3:uid="{00000000-0010-0000-1F00-00000A000000}" name="KPI %" dataDxfId="501"/>
    <tableColumn id="11" xr3:uid="{00000000-0010-0000-1F00-00000B000000}" name="KPI Status" dataDxfId="500">
      <calculatedColumnFormula>IF(I115=0,"N/A",IF(J115&gt;=60,"✓ Within KPI","✗ Out of KPI"))</calculatedColumnFormula>
    </tableColumn>
    <tableColumn id="12" xr3:uid="{00000000-0010-0000-1F00-00000C000000}" name="Subj GPA" dataDxfId="499"/>
    <tableColumn id="13" xr3:uid="{00000000-0010-0000-1F00-00000D000000}" name="GPA Grade" dataDxfId="49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PMCsGrade" displayName="PMCsGrade" ref="A123:M127" totalsRowShown="0" headerRowDxfId="497" tableBorderDxfId="496">
  <autoFilter ref="A123:M127" xr:uid="{00000000-0009-0000-0100-000021000000}"/>
  <tableColumns count="13">
    <tableColumn id="1" xr3:uid="{00000000-0010-0000-2000-000001000000}" name="Subject"/>
    <tableColumn id="2" xr3:uid="{00000000-0010-0000-2000-000002000000}" name="A" dataDxfId="495"/>
    <tableColumn id="3" xr3:uid="{00000000-0010-0000-2000-000003000000}" name="B" dataDxfId="494"/>
    <tableColumn id="4" xr3:uid="{00000000-0010-0000-2000-000004000000}" name="C" dataDxfId="493"/>
    <tableColumn id="5" xr3:uid="{00000000-0010-0000-2000-000005000000}" name="D" dataDxfId="492"/>
    <tableColumn id="6" xr3:uid="{00000000-0010-0000-2000-000006000000}" name="E" dataDxfId="491"/>
    <tableColumn id="7" xr3:uid="{00000000-0010-0000-2000-000007000000}" name="S" dataDxfId="490"/>
    <tableColumn id="8" xr3:uid="{00000000-0010-0000-2000-000008000000}" name="F" dataDxfId="489"/>
    <tableColumn id="9" xr3:uid="{00000000-0010-0000-2000-000009000000}" name="Total" dataDxfId="488">
      <calculatedColumnFormula>SUM(B124:H124)</calculatedColumnFormula>
    </tableColumn>
    <tableColumn id="10" xr3:uid="{00000000-0010-0000-2000-00000A000000}" name="KPI %" dataDxfId="487">
      <calculatedColumnFormula>(((B124*5)+(C124*4)+(D124*3)+(E124*2)+(F124*1)+(H124*0.5)+(G124*0))/(I124*5))*100</calculatedColumnFormula>
    </tableColumn>
    <tableColumn id="11" xr3:uid="{00000000-0010-0000-2000-00000B000000}" name="KPI Status" dataDxfId="486">
      <calculatedColumnFormula>IF(I124=0,"N/A",IF(J124&gt;=60,"✓ Within KPI","✗ Out of KPI"))</calculatedColumnFormula>
    </tableColumn>
    <tableColumn id="12" xr3:uid="{00000000-0010-0000-2000-00000C000000}" name="Subj GPA" dataDxfId="485">
      <calculatedColumnFormula array="1">IFERROR(((B124*1)+(C124*2)+(D124*3)+(E124*4)+(F124*5)+(G124:G124*6)+(H124*7))/(I124),"N/A")</calculatedColumnFormula>
    </tableColumn>
    <tableColumn id="13" xr3:uid="{00000000-0010-0000-2000-00000D000000}" name="GPA Grade" dataDxfId="484">
      <calculatedColumnFormula>IF(OR(L124="N/A",ISNA(L124)),"N/A",IF(ISBLANK(L124),"",IF(L124="","",IF(L124&lt;=1.4999,"A-EXCELLENT",IF(L124&lt;=2.4999,"B-VERY GOOD",IF(L124&lt;=3.4999,"C-GOOD",IF(L124&lt;=4.4999,"D-AVERAGE",IF(L124&lt;=5.4999,"E-SATISFACTORY",IF(L124&lt;=6.4999,"S-SUBSIDIARY",IF(L124&gt;6.4999,"F-FAIL",""))))))))))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PMCsPercentage" displayName="PMCsPercentage" ref="A130:M135" totalsRowShown="0" headerRowDxfId="483" tableBorderDxfId="482">
  <autoFilter ref="A130:M135" xr:uid="{00000000-0009-0000-0100-000022000000}"/>
  <tableColumns count="13">
    <tableColumn id="1" xr3:uid="{00000000-0010-0000-2100-000001000000}" name="Subject" dataDxfId="481"/>
    <tableColumn id="2" xr3:uid="{00000000-0010-0000-2100-000002000000}" name="A %" dataDxfId="480" dataCellStyle="Percent"/>
    <tableColumn id="3" xr3:uid="{00000000-0010-0000-2100-000003000000}" name="B %" dataDxfId="479" dataCellStyle="Percent"/>
    <tableColumn id="4" xr3:uid="{00000000-0010-0000-2100-000004000000}" name="C %" dataDxfId="478" dataCellStyle="Percent"/>
    <tableColumn id="5" xr3:uid="{00000000-0010-0000-2100-000005000000}" name="D %" dataDxfId="477" dataCellStyle="Percent"/>
    <tableColumn id="6" xr3:uid="{00000000-0010-0000-2100-000006000000}" name="E %" dataDxfId="476" dataCellStyle="Percent"/>
    <tableColumn id="7" xr3:uid="{00000000-0010-0000-2100-000007000000}" name="S %" dataDxfId="475" dataCellStyle="Percent"/>
    <tableColumn id="8" xr3:uid="{00000000-0010-0000-2100-000008000000}" name="F %" dataDxfId="474" dataCellStyle="Percent"/>
    <tableColumn id="9" xr3:uid="{00000000-0010-0000-2100-000009000000}" name="Sat (n)" dataDxfId="473"/>
    <tableColumn id="10" xr3:uid="{00000000-0010-0000-2100-00000A000000}" name="KPI %" dataDxfId="472"/>
    <tableColumn id="11" xr3:uid="{00000000-0010-0000-2100-00000B000000}" name="KPI Status" dataDxfId="471">
      <calculatedColumnFormula>IF(I131=0,"N/A",IF(J131&gt;=60,"✓ Within KPI","✗ Out of KPI"))</calculatedColumnFormula>
    </tableColumn>
    <tableColumn id="12" xr3:uid="{00000000-0010-0000-2100-00000C000000}" name="Subj GPA" dataDxfId="470"/>
    <tableColumn id="13" xr3:uid="{00000000-0010-0000-2100-00000D000000}" name="GPA Grade" dataDxfId="469">
      <calculatedColumnFormula>IF(OR(L131="N/A",ISNA(L131)),"N/A",IF(ISBLANK(L131),"",IF(L131="","",IF(L131&lt;=1.4999,"A-EXCELLENT",IF(L131&lt;=2.4999,"B-VERY GOOD",IF(L131&lt;=3.4999,"C-GOOD",IF(L131&lt;=4.4999,"D-AVERAGE",IF(L131&lt;=5.4999,"E-SATISFACTORY",IF(L131&lt;=6.4999,"S-SUBSIDIARY",IF(L131&gt;6.4999,"F-FAIL",""))))))))))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00F4FE-A983-4B75-B867-D22A075041D2}" name="Subj_Kpi_Years" displayName="Subj_Kpi_Years" ref="A72:N78" totalsRowShown="0" headerRowDxfId="468" dataDxfId="467" tableBorderDxfId="466" headerRowCellStyle="Good" dataCellStyle="Good">
  <autoFilter ref="A72:N78" xr:uid="{9600F4FE-A983-4B75-B867-D22A075041D2}"/>
  <tableColumns count="14">
    <tableColumn id="1" xr3:uid="{16815406-62E6-4E1D-904A-6299CDF36589}" name="YEAR" dataDxfId="465" dataCellStyle="Good"/>
    <tableColumn id="2" xr3:uid="{F95E429D-2B60-42D0-92CB-3231265CA895}" name="GS" dataDxfId="464" dataCellStyle="Good"/>
    <tableColumn id="3" xr3:uid="{9ACDBC1E-04EE-4BC4-B6B4-392F8F25082B}" name="HIST" dataDxfId="463"/>
    <tableColumn id="4" xr3:uid="{8A38362C-4E66-4FA0-93EA-F1865ADBF197}" name="GEOG" dataDxfId="462" dataCellStyle="Good"/>
    <tableColumn id="5" xr3:uid="{649D8E32-C638-45F2-8939-25AD909A1BF6}" name="KISW" dataDxfId="461"/>
    <tableColumn id="6" xr3:uid="{ED4E3EEE-1DB4-4617-9F06-D4144DF65C4B}" name="ENGL" dataDxfId="460" dataCellStyle="Good"/>
    <tableColumn id="7" xr3:uid="{4E5C6755-3BBB-432F-AD90-C80C4B4A1BEF}" name="PHY" dataDxfId="459"/>
    <tableColumn id="8" xr3:uid="{AABDD490-A786-4B70-8D2D-F46C4EF89A23}" name="CHEM" dataDxfId="458" dataCellStyle="Good"/>
    <tableColumn id="9" xr3:uid="{BA27B215-317E-44DE-8033-400C09C5C486}" name="BIOL" dataDxfId="457"/>
    <tableColumn id="10" xr3:uid="{E2276E81-6DEE-4A6C-A3A5-1E4115D08BB1}" name="BAM" dataDxfId="456" dataCellStyle="Good"/>
    <tableColumn id="11" xr3:uid="{5695DE11-FFA2-4A43-B17B-DAE7359190C0}" name="ADV.MAT" dataDxfId="455"/>
    <tableColumn id="12" xr3:uid="{13E9EFB4-6106-4899-A7C6-100CC6505D81}" name="ECON" dataDxfId="454" dataCellStyle="Good"/>
    <tableColumn id="13" xr3:uid="{6A93F7B2-3399-4636-A3DB-695C87A87351}" name="COMM" dataDxfId="453"/>
    <tableColumn id="14" xr3:uid="{9A4DF198-1CB8-49EB-8768-B21166B47DD9}" name="ACCOU" dataDxfId="452" dataCellStyle="Goo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Dim_Combination" displayName="Dim_Combination" ref="B22:C30" tableType="queryTable" totalsRowShown="0">
  <autoFilter ref="B22:C30" xr:uid="{00000000-0009-0000-0100-000023000000}"/>
  <tableColumns count="2">
    <tableColumn id="1" xr3:uid="{00000000-0010-0000-2200-000001000000}" uniqueName="1" name="Comb" queryTableFieldId="1" dataDxfId="451"/>
    <tableColumn id="2" xr3:uid="{00000000-0010-0000-2200-000002000000}" uniqueName="2" name="Group" queryTableFieldId="2" dataDxfId="450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Departments" displayName="Departments" ref="A2:C17" totalsRowShown="0" headerRowDxfId="449" headerRowBorderDxfId="448" tableBorderDxfId="447">
  <autoFilter ref="A2:C17" xr:uid="{00000000-0009-0000-0100-000024000000}"/>
  <tableColumns count="3">
    <tableColumn id="1" xr3:uid="{00000000-0010-0000-2300-000001000000}" name="Subject_Code" dataDxfId="446"/>
    <tableColumn id="2" xr3:uid="{00000000-0010-0000-2300-000002000000}" name="Department" dataDxfId="445"/>
    <tableColumn id="3" xr3:uid="{00000000-0010-0000-2300-000003000000}" name="Full_Name" dataDxfId="44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blF42023" displayName="tblF42023" ref="A9:BA210" totalsRowShown="0" headerRowDxfId="443" dataDxfId="442">
  <autoFilter ref="A9:BA210" xr:uid="{00000000-0009-0000-0100-000025000000}"/>
  <sortState xmlns:xlrd2="http://schemas.microsoft.com/office/spreadsheetml/2017/richdata2" ref="A10:BA210">
    <sortCondition ref="A9:A210"/>
  </sortState>
  <tableColumns count="53">
    <tableColumn id="1" xr3:uid="{00000000-0010-0000-2400-000001000000}" name="CAND_NO" dataDxfId="441"/>
    <tableColumn id="2" xr3:uid="{00000000-0010-0000-2400-000002000000}" name="Prem_No" dataDxfId="440"/>
    <tableColumn id="3" xr3:uid="{00000000-0010-0000-2400-000003000000}" name="FULL_NAME" dataDxfId="439"/>
    <tableColumn id="4" xr3:uid="{00000000-0010-0000-2400-000004000000}" name="SEX" dataDxfId="438"/>
    <tableColumn id="5" xr3:uid="{00000000-0010-0000-2400-000005000000}" name="FROM" dataDxfId="437"/>
    <tableColumn id="6" xr3:uid="{00000000-0010-0000-2400-000006000000}" name="FORM" dataDxfId="436">
      <calculatedColumnFormula>_xlfn.XLOOKUP(tblF42023[[#This Row],[FULL_NAME]],F6Results_2026[Full_Name],F6Results_2026[Comb],"",0,1)</calculatedColumnFormula>
    </tableColumn>
    <tableColumn id="7" xr3:uid="{00000000-0010-0000-2400-000007000000}" name="STREAM" dataDxfId="435"/>
    <tableColumn id="9" xr3:uid="{00000000-0010-0000-2400-000009000000}" name="GROUP" dataDxfId="434">
      <calculatedColumnFormula>IF(
   OR(tblF42023[[#This Row],[PHY]]&lt;&gt;"",tblF42023[[#This Row],[CHEM]]&lt;&gt;""),
   "Sci",
   IF(
      OR(tblF42023[[#This Row],[B/KEEP]]&lt;&gt;"",tblF42023[[#This Row],[COMM]]&lt;&gt;""),
      "Busi",
      "Art"
   )
)</calculatedColumnFormula>
    </tableColumn>
    <tableColumn id="11" xr3:uid="{00000000-0010-0000-2400-00000B000000}" name="EXAM_NAME" dataDxfId="433"/>
    <tableColumn id="12" xr3:uid="{00000000-0010-0000-2400-00000C000000}" name="YEAR" dataDxfId="432"/>
    <tableColumn id="30" xr3:uid="{00000000-0010-0000-2400-00001E000000}" name="CIV" dataDxfId="431"/>
    <tableColumn id="31" xr3:uid="{00000000-0010-0000-2400-00001F000000}" name="HIST" dataDxfId="430"/>
    <tableColumn id="32" xr3:uid="{00000000-0010-0000-2400-000020000000}" name="GEO" dataDxfId="429"/>
    <tableColumn id="33" xr3:uid="{00000000-0010-0000-2400-000021000000}" name="KISW" dataDxfId="428"/>
    <tableColumn id="34" xr3:uid="{00000000-0010-0000-2400-000022000000}" name="ENGL" dataDxfId="427"/>
    <tableColumn id="35" xr3:uid="{00000000-0010-0000-2400-000023000000}" name="LIT" dataDxfId="426"/>
    <tableColumn id="36" xr3:uid="{00000000-0010-0000-2400-000024000000}" name="B/KEEP" dataDxfId="425"/>
    <tableColumn id="37" xr3:uid="{00000000-0010-0000-2400-000025000000}" name="COMM" dataDxfId="424"/>
    <tableColumn id="38" xr3:uid="{00000000-0010-0000-2400-000026000000}" name="ICS" dataDxfId="423"/>
    <tableColumn id="39" xr3:uid="{00000000-0010-0000-2400-000027000000}" name="MATH" dataDxfId="422"/>
    <tableColumn id="40" xr3:uid="{00000000-0010-0000-2400-000028000000}" name="AD_MATH" dataDxfId="421"/>
    <tableColumn id="41" xr3:uid="{00000000-0010-0000-2400-000029000000}" name="AGR" dataDxfId="420"/>
    <tableColumn id="42" xr3:uid="{00000000-0010-0000-2400-00002A000000}" name="CHEM" dataDxfId="419"/>
    <tableColumn id="43" xr3:uid="{00000000-0010-0000-2400-00002B000000}" name="BIOS" dataDxfId="418"/>
    <tableColumn id="44" xr3:uid="{00000000-0010-0000-2400-00002C000000}" name="PHY" dataDxfId="417"/>
    <tableColumn id="45" xr3:uid="{00000000-0010-0000-2400-00002D000000}" name="BIBLE" dataDxfId="416"/>
    <tableColumn id="47" xr3:uid="{00000000-0010-0000-2400-00002F000000}" name="TOTAL A'S" dataDxfId="415">
      <calculatedColumnFormula>COUNTIF(tblF42023[[#This Row],[CIV]:[BIBLE]],"A")</calculatedColumnFormula>
    </tableColumn>
    <tableColumn id="48" xr3:uid="{00000000-0010-0000-2400-000030000000}" name="POINTS" dataDxfId="414"/>
    <tableColumn id="49" xr3:uid="{00000000-0010-0000-2400-000031000000}" name="DIVISION" dataDxfId="413"/>
    <tableColumn id="50" xr3:uid="{00000000-0010-0000-2400-000032000000}" name="HKL" dataDxfId="412"/>
    <tableColumn id="51" xr3:uid="{00000000-0010-0000-2400-000033000000}" name="HGE" dataDxfId="411"/>
    <tableColumn id="52" xr3:uid="{00000000-0010-0000-2400-000034000000}" name="CBG" dataDxfId="410"/>
    <tableColumn id="53" xr3:uid="{00000000-0010-0000-2400-000035000000}" name="ECM" dataDxfId="409"/>
    <tableColumn id="54" xr3:uid="{00000000-0010-0000-2400-000036000000}" name="HGL" dataDxfId="408"/>
    <tableColumn id="55" xr3:uid="{00000000-0010-0000-2400-000037000000}" name="HGK" dataDxfId="407"/>
    <tableColumn id="56" xr3:uid="{00000000-0010-0000-2400-000038000000}" name="EGM" dataDxfId="406"/>
    <tableColumn id="57" xr3:uid="{00000000-0010-0000-2400-000039000000}" name="EBUAC" dataDxfId="405"/>
    <tableColumn id="58" xr3:uid="{00000000-0010-0000-2400-00003A000000}" name="PCB" dataDxfId="404"/>
    <tableColumn id="59" xr3:uid="{00000000-0010-0000-2400-00003B000000}" name="PCM" dataDxfId="403"/>
    <tableColumn id="60" xr3:uid="{00000000-0010-0000-2400-00003C000000}" name="PMC" dataDxfId="402"/>
    <tableColumn id="61" xr3:uid="{00000000-0010-0000-2400-00003D000000}" name="CBA" dataDxfId="401"/>
    <tableColumn id="62" xr3:uid="{00000000-0010-0000-2400-00003E000000}" name="HKL_Q" dataDxfId="400">
      <calculatedColumnFormula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calculatedColumnFormula>
    </tableColumn>
    <tableColumn id="63" xr3:uid="{00000000-0010-0000-2400-00003F000000}" name="HE_Q" dataDxfId="399">
      <calculatedColumnFormula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calculatedColumnFormula>
    </tableColumn>
    <tableColumn id="64" xr3:uid="{00000000-0010-0000-2400-000040000000}" name="CBG_Q" dataDxfId="398">
      <calculatedColumnFormula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calculatedColumnFormula>
    </tableColumn>
    <tableColumn id="65" xr3:uid="{00000000-0010-0000-2400-000041000000}" name="ECM_Q" dataDxfId="397">
      <calculatedColumnFormula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calculatedColumnFormula>
    </tableColumn>
    <tableColumn id="66" xr3:uid="{00000000-0010-0000-2400-000042000000}" name="HGL_Q" dataDxfId="396"/>
    <tableColumn id="67" xr3:uid="{00000000-0010-0000-2400-000043000000}" name="HGK_Q" dataDxfId="395">
      <calculatedColumnFormula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calculatedColumnFormula>
    </tableColumn>
    <tableColumn id="68" xr3:uid="{00000000-0010-0000-2400-000044000000}" name="EGM_Q" dataDxfId="394">
      <calculatedColumnFormula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calculatedColumnFormula>
    </tableColumn>
    <tableColumn id="69" xr3:uid="{00000000-0010-0000-2400-000045000000}" name="EBUAC_Q" dataDxfId="393">
      <calculatedColumnFormula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calculatedColumnFormula>
    </tableColumn>
    <tableColumn id="70" xr3:uid="{00000000-0010-0000-2400-000046000000}" name="PCB_Q" dataDxfId="392">
      <calculatedColumnFormula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calculatedColumnFormula>
    </tableColumn>
    <tableColumn id="71" xr3:uid="{00000000-0010-0000-2400-000047000000}" name="PCM_Q" dataDxfId="391">
      <calculatedColumnFormula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calculatedColumnFormula>
    </tableColumn>
    <tableColumn id="72" xr3:uid="{00000000-0010-0000-2400-000048000000}" name="PMC_Q" dataDxfId="390">
      <calculatedColumnFormula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calculatedColumnFormula>
    </tableColumn>
    <tableColumn id="73" xr3:uid="{00000000-0010-0000-2400-000049000000}" name="CBA_Q" dataDxfId="389">
      <calculatedColumnFormula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calculatedColumn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blF22021" displayName="tblF22021" ref="A9:X218" totalsRowShown="0" headerRowDxfId="388" dataDxfId="387">
  <autoFilter ref="A9:X218" xr:uid="{00000000-0009-0000-0100-000026000000}"/>
  <sortState xmlns:xlrd2="http://schemas.microsoft.com/office/spreadsheetml/2017/richdata2" ref="A10:X210">
    <sortCondition ref="A9:A210"/>
  </sortState>
  <tableColumns count="24">
    <tableColumn id="1" xr3:uid="{00000000-0010-0000-2500-000001000000}" name="CAND_NO" dataDxfId="386"/>
    <tableColumn id="2" xr3:uid="{00000000-0010-0000-2500-000002000000}" name="Prem_No" dataDxfId="385"/>
    <tableColumn id="3" xr3:uid="{00000000-0010-0000-2500-000003000000}" name="FULL_NAME" dataDxfId="384"/>
    <tableColumn id="4" xr3:uid="{00000000-0010-0000-2500-000004000000}" name="SEX" dataDxfId="383"/>
    <tableColumn id="5" xr3:uid="{00000000-0010-0000-2500-000005000000}" name="FROM" dataDxfId="382"/>
    <tableColumn id="6" xr3:uid="{00000000-0010-0000-2500-000006000000}" name="FORM" dataDxfId="381"/>
    <tableColumn id="11" xr3:uid="{00000000-0010-0000-2500-00000B000000}" name="EXAM_NAME" dataDxfId="380"/>
    <tableColumn id="12" xr3:uid="{00000000-0010-0000-2500-00000C000000}" name="YEAR" dataDxfId="379"/>
    <tableColumn id="30" xr3:uid="{00000000-0010-0000-2500-00001E000000}" name="CIV" dataDxfId="378"/>
    <tableColumn id="31" xr3:uid="{00000000-0010-0000-2500-00001F000000}" name="HIST" dataDxfId="377"/>
    <tableColumn id="32" xr3:uid="{00000000-0010-0000-2500-000020000000}" name="GEO" dataDxfId="376"/>
    <tableColumn id="33" xr3:uid="{00000000-0010-0000-2500-000021000000}" name="B/KNOWL" dataDxfId="375"/>
    <tableColumn id="34" xr3:uid="{00000000-0010-0000-2500-000022000000}" name="KISW..." dataDxfId="374"/>
    <tableColumn id="35" xr3:uid="{00000000-0010-0000-2500-000023000000}" name="ENGL..." dataDxfId="373"/>
    <tableColumn id="36" xr3:uid="{00000000-0010-0000-2500-000024000000}" name="PHY...." dataDxfId="372"/>
    <tableColumn id="37" xr3:uid="{00000000-0010-0000-2500-000025000000}" name="CHEM..." dataDxfId="371"/>
    <tableColumn id="38" xr3:uid="{00000000-0010-0000-2500-000026000000}" name="BIO...." dataDxfId="370"/>
    <tableColumn id="7" xr3:uid="{00000000-0010-0000-2500-000007000000}" name="AGR" dataDxfId="369"/>
    <tableColumn id="8" xr3:uid="{00000000-0010-0000-2500-000008000000}" name="ICS" dataDxfId="368"/>
    <tableColumn id="9" xr3:uid="{00000000-0010-0000-2500-000009000000}" name="MATH" dataDxfId="367"/>
    <tableColumn id="10" xr3:uid="{00000000-0010-0000-2500-00000A000000}" name="COMM" dataDxfId="366"/>
    <tableColumn id="13" xr3:uid="{00000000-0010-0000-2500-00000D000000}" name="BK" dataDxfId="365"/>
    <tableColumn id="48" xr3:uid="{00000000-0010-0000-2500-000030000000}" name="POINTS" dataDxfId="364"/>
    <tableColumn id="49" xr3:uid="{00000000-0010-0000-2500-000031000000}" name="DIVISION" dataDxfId="36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926BA67-6593-42F7-A88A-233EEFA06861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7526DB4-117D-4B63-8215-E30AEF152D77}">
  <we:reference id="wa200004935" version="6.1.0.0" store="en-US" storeType="OMEX"/>
  <we:alternateReferences>
    <we:reference id="WA200004935" version="6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13" Type="http://schemas.openxmlformats.org/officeDocument/2006/relationships/table" Target="../tables/table18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12" Type="http://schemas.openxmlformats.org/officeDocument/2006/relationships/table" Target="../tables/table17.xml"/><Relationship Id="rId2" Type="http://schemas.openxmlformats.org/officeDocument/2006/relationships/table" Target="../tables/table7.xml"/><Relationship Id="rId16" Type="http://schemas.openxmlformats.org/officeDocument/2006/relationships/table" Target="../tables/table21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11" Type="http://schemas.openxmlformats.org/officeDocument/2006/relationships/table" Target="../tables/table16.xml"/><Relationship Id="rId5" Type="http://schemas.openxmlformats.org/officeDocument/2006/relationships/table" Target="../tables/table10.xml"/><Relationship Id="rId15" Type="http://schemas.openxmlformats.org/officeDocument/2006/relationships/table" Target="../tables/table20.xml"/><Relationship Id="rId10" Type="http://schemas.openxmlformats.org/officeDocument/2006/relationships/table" Target="../tables/table15.xml"/><Relationship Id="rId4" Type="http://schemas.openxmlformats.org/officeDocument/2006/relationships/table" Target="../tables/table9.xml"/><Relationship Id="rId9" Type="http://schemas.openxmlformats.org/officeDocument/2006/relationships/table" Target="../tables/table14.xml"/><Relationship Id="rId1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AZ221"/>
  <sheetViews>
    <sheetView showGridLines="0" tabSelected="1" zoomScaleNormal="100" workbookViewId="0">
      <pane ySplit="9" topLeftCell="A180" activePane="bottomLeft" state="frozen"/>
      <selection activeCell="B1" sqref="B1"/>
      <selection pane="bottomLeft" activeCell="Q180" sqref="Q10:Y199"/>
    </sheetView>
  </sheetViews>
  <sheetFormatPr defaultColWidth="8.6640625" defaultRowHeight="14.4" x14ac:dyDescent="0.3"/>
  <cols>
    <col min="1" max="1" width="11.88671875" style="210" bestFit="1" customWidth="1"/>
    <col min="2" max="2" width="5" style="210" bestFit="1" customWidth="1"/>
    <col min="3" max="3" width="13.33203125" style="210" bestFit="1" customWidth="1"/>
    <col min="4" max="4" width="35.109375" style="210" bestFit="1" customWidth="1"/>
    <col min="5" max="5" width="5.5546875" style="210" bestFit="1" customWidth="1"/>
    <col min="6" max="6" width="7.88671875" style="210" bestFit="1" customWidth="1"/>
    <col min="7" max="7" width="3.44140625" style="210" bestFit="1" customWidth="1"/>
    <col min="8" max="8" width="5.109375" style="210" bestFit="1" customWidth="1"/>
    <col min="9" max="9" width="5.6640625" style="78" bestFit="1" customWidth="1"/>
    <col min="10" max="10" width="7.44140625" style="210" bestFit="1" customWidth="1"/>
    <col min="11" max="11" width="4.109375" style="210" bestFit="1" customWidth="1"/>
    <col min="12" max="12" width="4.6640625" style="210" bestFit="1" customWidth="1"/>
    <col min="13" max="13" width="5.77734375" style="210" bestFit="1" customWidth="1"/>
    <col min="14" max="14" width="7.33203125" style="210" bestFit="1" customWidth="1"/>
    <col min="15" max="15" width="7.5546875" style="210" bestFit="1" customWidth="1"/>
    <col min="16" max="16" width="4.6640625" style="210" bestFit="1" customWidth="1"/>
    <col min="17" max="17" width="3.33203125" style="210" bestFit="1" customWidth="1"/>
    <col min="18" max="18" width="4.77734375" style="210" bestFit="1" customWidth="1"/>
    <col min="19" max="19" width="3.44140625" style="210" bestFit="1" customWidth="1"/>
    <col min="20" max="20" width="3.109375" style="210" bestFit="1" customWidth="1"/>
    <col min="21" max="21" width="7.88671875" style="210" bestFit="1" customWidth="1"/>
    <col min="22" max="22" width="7.44140625" style="210" bestFit="1" customWidth="1"/>
    <col min="23" max="23" width="4" style="210" bestFit="1" customWidth="1"/>
    <col min="24" max="24" width="5.21875" style="210" bestFit="1" customWidth="1"/>
    <col min="25" max="25" width="4" style="210" bestFit="1" customWidth="1"/>
    <col min="26" max="26" width="6.77734375" style="210" bestFit="1" customWidth="1"/>
    <col min="27" max="27" width="5.21875" bestFit="1" customWidth="1"/>
    <col min="28" max="28" width="5.33203125" style="78" bestFit="1" customWidth="1"/>
    <col min="29" max="29" width="7" style="78" bestFit="1" customWidth="1"/>
    <col min="30" max="30" width="9.5546875" style="210" bestFit="1" customWidth="1"/>
    <col min="31" max="31" width="6.5546875" style="210" customWidth="1"/>
    <col min="32" max="32" width="7.33203125" style="210" bestFit="1" customWidth="1"/>
    <col min="33" max="33" width="7.44140625" style="210" bestFit="1" customWidth="1"/>
    <col min="34" max="34" width="7.33203125" bestFit="1" customWidth="1"/>
    <col min="35" max="35" width="34.33203125" style="254" bestFit="1" customWidth="1"/>
    <col min="36" max="36" width="3" style="254" bestFit="1" customWidth="1"/>
    <col min="37" max="37" width="22.21875" style="254" bestFit="1" customWidth="1"/>
    <col min="38" max="40" width="4" bestFit="1" customWidth="1"/>
    <col min="41" max="41" width="5.77734375" bestFit="1" customWidth="1"/>
    <col min="42" max="42" width="6" bestFit="1" customWidth="1"/>
    <col min="43" max="43" width="5.77734375" bestFit="1" customWidth="1"/>
    <col min="44" max="44" width="6" bestFit="1" customWidth="1"/>
    <col min="45" max="45" width="8.33203125" bestFit="1" customWidth="1"/>
    <col min="46" max="46" width="5.6640625" bestFit="1" customWidth="1"/>
    <col min="47" max="47" width="9.33203125" bestFit="1" customWidth="1"/>
    <col min="48" max="48" width="11.33203125" bestFit="1" customWidth="1"/>
    <col min="49" max="49" width="13.77734375" bestFit="1" customWidth="1"/>
    <col min="50" max="52" width="12" bestFit="1" customWidth="1"/>
  </cols>
  <sheetData>
    <row r="1" spans="1:48" ht="18" x14ac:dyDescent="0.3">
      <c r="A1" s="389" t="s">
        <v>14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</row>
    <row r="2" spans="1:48" ht="18" x14ac:dyDescent="0.3">
      <c r="A2" s="163"/>
      <c r="B2" s="211"/>
      <c r="C2" s="211"/>
      <c r="D2" s="209"/>
      <c r="E2" s="209"/>
      <c r="F2" s="209"/>
      <c r="G2" s="209"/>
      <c r="H2" s="209"/>
      <c r="I2" s="317"/>
      <c r="J2" s="209"/>
      <c r="K2" s="209"/>
      <c r="L2" s="209"/>
      <c r="M2" s="209"/>
      <c r="N2" s="209"/>
      <c r="O2" s="209"/>
      <c r="P2" s="209"/>
      <c r="Q2" s="211"/>
      <c r="R2" s="211"/>
      <c r="S2" s="211"/>
      <c r="T2" s="211"/>
      <c r="U2" s="211"/>
      <c r="V2" s="211"/>
      <c r="W2" s="211"/>
      <c r="X2" s="211"/>
      <c r="Y2" s="211"/>
      <c r="Z2" s="211"/>
    </row>
    <row r="3" spans="1:48" ht="26.4" x14ac:dyDescent="0.3">
      <c r="A3" s="164"/>
      <c r="D3" s="126" t="s">
        <v>521</v>
      </c>
      <c r="E3" s="125" t="s">
        <v>10</v>
      </c>
      <c r="F3" s="125" t="s">
        <v>11</v>
      </c>
      <c r="G3" s="125" t="s">
        <v>12</v>
      </c>
      <c r="H3" s="125" t="s">
        <v>13</v>
      </c>
      <c r="I3" s="125" t="s">
        <v>351</v>
      </c>
      <c r="J3" s="125" t="s">
        <v>500</v>
      </c>
      <c r="K3" s="125" t="s">
        <v>776</v>
      </c>
      <c r="L3" s="125" t="s">
        <v>501</v>
      </c>
      <c r="M3" s="125" t="s">
        <v>777</v>
      </c>
      <c r="N3" s="126" t="s">
        <v>345</v>
      </c>
      <c r="O3" s="126" t="s">
        <v>346</v>
      </c>
      <c r="P3" s="127" t="s">
        <v>502</v>
      </c>
    </row>
    <row r="4" spans="1:48" ht="18" x14ac:dyDescent="0.3">
      <c r="A4" s="164"/>
      <c r="D4" s="132" t="s">
        <v>780</v>
      </c>
      <c r="E4" s="128">
        <f>COUNTIFS(F6Results_2026[[Sex]:[Sex]],"M",F6Results_2026[[Div]:[Div]],"I")</f>
        <v>12</v>
      </c>
      <c r="F4" s="128">
        <f>COUNTIFS(F6Results_2026[[Sex]:[Sex]],"M",F6Results_2026[[Div]:[Div]],"II")</f>
        <v>29</v>
      </c>
      <c r="G4" s="128">
        <f>COUNTIFS(F6Results_2026[[Sex]:[Sex]],"M",F6Results_2026[[Div]:[Div]],"III")</f>
        <v>37</v>
      </c>
      <c r="H4" s="128">
        <f>COUNTIFS(F6Results_2026[[Sex]:[Sex]],"M",F6Results_2026[[Div]:[Div]],"IV")</f>
        <v>3</v>
      </c>
      <c r="I4" s="128">
        <f>COUNTIFS(F6Results_2026[[Sex]:[Sex]],"M",F6Results_2026[[Div]:[Div]],"O")</f>
        <v>6</v>
      </c>
      <c r="J4" s="128">
        <f>COUNTIFS(F6Results_2026[[Sex]:[Sex]],"M",F6Results_2026[[Div]:[Div]],"ABS")</f>
        <v>0</v>
      </c>
      <c r="K4" s="128">
        <f>COUNTIFS(F6Results_2026[[Sex]:[Sex]],"M",F6Results_2026[[Div]:[Div]],"INC")</f>
        <v>0</v>
      </c>
      <c r="L4" s="129">
        <f>SUM(E4:K4)</f>
        <v>87</v>
      </c>
      <c r="M4" s="219">
        <f t="array" ref="M4">SUM((E4:F4)/(SUM(E4:I4))*100)</f>
        <v>47.126436781609186</v>
      </c>
      <c r="N4" s="219">
        <f>AL48</f>
        <v>2.2183908045977012</v>
      </c>
      <c r="O4" s="134"/>
      <c r="P4" s="134">
        <f>AVERAGEIFS(F6Results_2026[Points],F6Results_2026[[Sex]:[Sex]],"M")</f>
        <v>13</v>
      </c>
    </row>
    <row r="5" spans="1:48" ht="18" x14ac:dyDescent="0.3">
      <c r="A5" s="164"/>
      <c r="D5" s="132" t="s">
        <v>778</v>
      </c>
      <c r="E5" s="128">
        <f>COUNTIFS(F6Results_2026[[Sex]:[Sex]],"F",F6Results_2026[[Div]:[Div]],"I")</f>
        <v>26</v>
      </c>
      <c r="F5" s="128">
        <f>COUNTIFS(F6Results_2026[[Sex]:[Sex]],"F",F6Results_2026[[Div]:[Div]],"II")</f>
        <v>36</v>
      </c>
      <c r="G5" s="128">
        <f>COUNTIFS(F6Results_2026[[Sex]:[Sex]],"F",F6Results_2026[[Div]:[Div]],"III")</f>
        <v>34</v>
      </c>
      <c r="H5" s="128">
        <f>COUNTIFS(F6Results_2026[[Sex]:[Sex]],"F",F6Results_2026[[Div]:[Div]],"IV")</f>
        <v>3</v>
      </c>
      <c r="I5" s="128">
        <f>COUNTIFS(F6Results_2026[[Sex]:[Sex]],"F",F6Results_2026[[Div]:[Div]],"O")</f>
        <v>3</v>
      </c>
      <c r="J5" s="128">
        <f>COUNTIFS(F6Results_2026[[Sex]:[Sex]],"F",F6Results_2026[[Div]:[Div]],"ABS")</f>
        <v>0</v>
      </c>
      <c r="K5" s="128">
        <f>COUNTIFS(F6Results_2026[[Sex]:[Sex]],"F",F6Results_2026[[Div]:[Div]],"INC")</f>
        <v>0</v>
      </c>
      <c r="L5" s="129">
        <f>SUM(E5:K5)</f>
        <v>102</v>
      </c>
      <c r="M5" s="219">
        <f t="array" ref="M5">SUM((E5:F5)/(SUM(E5:I5))*100)</f>
        <v>60.784313725490193</v>
      </c>
      <c r="N5" s="219">
        <f>AM48</f>
        <v>2.0784313725490198</v>
      </c>
      <c r="O5" s="134"/>
      <c r="P5" s="134">
        <f>AVERAGEIFS(F6Results_2026[Points],F6Results_2026[[Sex]:[Sex]],"F")</f>
        <v>11.774509803921569</v>
      </c>
    </row>
    <row r="6" spans="1:48" ht="18" x14ac:dyDescent="0.3">
      <c r="A6" s="164"/>
      <c r="D6" s="126" t="s">
        <v>779</v>
      </c>
      <c r="E6" s="130">
        <f t="shared" ref="E6:L6" si="0">SUM(E4:E5)</f>
        <v>38</v>
      </c>
      <c r="F6" s="130">
        <f t="shared" si="0"/>
        <v>65</v>
      </c>
      <c r="G6" s="130">
        <f t="shared" si="0"/>
        <v>71</v>
      </c>
      <c r="H6" s="130">
        <f t="shared" si="0"/>
        <v>6</v>
      </c>
      <c r="I6" s="130">
        <f t="shared" si="0"/>
        <v>9</v>
      </c>
      <c r="J6" s="130">
        <f t="shared" si="0"/>
        <v>0</v>
      </c>
      <c r="K6" s="130">
        <f t="shared" si="0"/>
        <v>0</v>
      </c>
      <c r="L6" s="131">
        <f t="shared" si="0"/>
        <v>189</v>
      </c>
      <c r="M6" s="220">
        <f t="array" ref="M6">SUM((E6:F6)/(SUM(E6:I6))*100)</f>
        <v>54.497354497354493</v>
      </c>
      <c r="N6" s="219">
        <f>AK49</f>
        <v>3.2632275132275135</v>
      </c>
      <c r="O6" s="134"/>
      <c r="P6" s="133">
        <f>IFERROR(AVERAGE(F6Results_2026[Points]),"")</f>
        <v>12.338624338624339</v>
      </c>
    </row>
    <row r="7" spans="1:48" s="162" customFormat="1" ht="18" x14ac:dyDescent="0.3">
      <c r="A7" s="165"/>
      <c r="D7" s="160"/>
      <c r="E7" s="160"/>
      <c r="F7" s="160"/>
      <c r="G7" s="160"/>
      <c r="H7" s="160"/>
      <c r="I7" s="160"/>
      <c r="J7" s="160"/>
      <c r="K7" s="160"/>
      <c r="L7" s="160"/>
      <c r="M7" s="221"/>
      <c r="N7" s="219"/>
      <c r="O7" s="134"/>
      <c r="P7" s="161"/>
      <c r="AB7" s="167"/>
      <c r="AC7" s="167"/>
    </row>
    <row r="8" spans="1:48" x14ac:dyDescent="0.3">
      <c r="A8" s="391" t="s">
        <v>782</v>
      </c>
      <c r="B8" s="392"/>
      <c r="C8" s="392"/>
      <c r="D8" s="392"/>
      <c r="E8" s="392"/>
      <c r="F8" s="393"/>
      <c r="G8" s="397" t="s">
        <v>783</v>
      </c>
      <c r="H8" s="398"/>
      <c r="I8" s="398"/>
      <c r="J8" s="399"/>
      <c r="K8" s="396" t="s">
        <v>784</v>
      </c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  <c r="Z8" s="393"/>
      <c r="AA8" s="396" t="s">
        <v>785</v>
      </c>
      <c r="AB8" s="392"/>
      <c r="AC8" s="392"/>
      <c r="AD8" s="392"/>
      <c r="AE8" s="393"/>
      <c r="AF8" s="394" t="s">
        <v>853</v>
      </c>
      <c r="AG8" s="395"/>
      <c r="AH8" s="395"/>
      <c r="AI8" s="255"/>
      <c r="AJ8" s="255"/>
      <c r="AK8" s="255"/>
    </row>
    <row r="9" spans="1:48" ht="36" x14ac:dyDescent="0.3">
      <c r="A9" s="175" t="s">
        <v>855</v>
      </c>
      <c r="B9" s="175" t="s">
        <v>856</v>
      </c>
      <c r="C9" s="166" t="s">
        <v>17</v>
      </c>
      <c r="D9" s="175" t="s">
        <v>857</v>
      </c>
      <c r="E9" s="175" t="s">
        <v>858</v>
      </c>
      <c r="F9" s="166" t="s">
        <v>20</v>
      </c>
      <c r="G9" s="175" t="s">
        <v>859</v>
      </c>
      <c r="H9" s="175" t="s">
        <v>860</v>
      </c>
      <c r="I9" s="175" t="s">
        <v>861</v>
      </c>
      <c r="J9" s="175" t="s">
        <v>862</v>
      </c>
      <c r="K9" s="175" t="s">
        <v>863</v>
      </c>
      <c r="L9" s="175" t="s">
        <v>872</v>
      </c>
      <c r="M9" s="175" t="s">
        <v>864</v>
      </c>
      <c r="N9" s="175" t="s">
        <v>865</v>
      </c>
      <c r="O9" s="175" t="s">
        <v>866</v>
      </c>
      <c r="P9" s="175" t="s">
        <v>867</v>
      </c>
      <c r="Q9" s="175" t="s">
        <v>868</v>
      </c>
      <c r="R9" s="175" t="s">
        <v>869</v>
      </c>
      <c r="S9" s="175" t="s">
        <v>870</v>
      </c>
      <c r="T9" s="175" t="s">
        <v>871</v>
      </c>
      <c r="U9" s="175" t="s">
        <v>873</v>
      </c>
      <c r="V9" s="175" t="s">
        <v>874</v>
      </c>
      <c r="W9" s="175" t="s">
        <v>875</v>
      </c>
      <c r="X9" s="175" t="s">
        <v>876</v>
      </c>
      <c r="Y9" s="175" t="s">
        <v>877</v>
      </c>
      <c r="Z9" s="314" t="s">
        <v>878</v>
      </c>
      <c r="AA9" s="315" t="s">
        <v>879</v>
      </c>
      <c r="AB9" s="315" t="s">
        <v>880</v>
      </c>
      <c r="AC9" s="315" t="s">
        <v>881</v>
      </c>
      <c r="AD9" s="316" t="s">
        <v>882</v>
      </c>
      <c r="AE9" s="316" t="s">
        <v>854</v>
      </c>
      <c r="AF9" s="315" t="s">
        <v>883</v>
      </c>
      <c r="AG9" s="315" t="s">
        <v>884</v>
      </c>
      <c r="AH9" s="315" t="s">
        <v>885</v>
      </c>
      <c r="AI9" s="256"/>
      <c r="AJ9" s="256"/>
      <c r="AK9" s="256"/>
    </row>
    <row r="10" spans="1:48" x14ac:dyDescent="0.3">
      <c r="A10" s="282" t="s">
        <v>133</v>
      </c>
      <c r="B10" s="290">
        <v>2026</v>
      </c>
      <c r="C10" s="283">
        <v>20130180105</v>
      </c>
      <c r="D10" s="291" t="s">
        <v>907</v>
      </c>
      <c r="E10" s="292" t="s">
        <v>40</v>
      </c>
      <c r="F10" s="292" t="s">
        <v>41</v>
      </c>
      <c r="G10" s="292" t="s">
        <v>84</v>
      </c>
      <c r="H10" s="91" cm="1">
        <f t="array" ref="H1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0" s="292" t="str">
        <f t="shared" ref="I10:I41" si="1">VLOOKUP(H10,$AO$11:$AP$17,2,TRUE)</f>
        <v>I</v>
      </c>
      <c r="J10" s="290" t="s">
        <v>94</v>
      </c>
      <c r="K10" s="290" t="s">
        <v>5</v>
      </c>
      <c r="L10" s="290"/>
      <c r="M10" s="292" t="s">
        <v>4</v>
      </c>
      <c r="N10" s="292" t="s">
        <v>4</v>
      </c>
      <c r="O10" s="292" t="s">
        <v>2</v>
      </c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0">
        <f t="array" ref="Z10">SUM(IF(K10:Y10="A",1,0), IF(K10:Y10="B",2,0), IF(K10:Y10="C",3,0), IF(K10:Y10="D",4,0), IF(K10:Y10="E",5,0), IF(K10:Y10="S",6,0), IF(K10:Y10="F",7,0))</f>
        <v>11</v>
      </c>
      <c r="AA10" s="293" t="str">
        <f>_xlfn.XLOOKUP(F6Results_2026[[#This Row],[Full_Name]],tblF42023[FULL_NAME],tblF42023[POINTS],"",0,1)</f>
        <v/>
      </c>
      <c r="AB10" s="293" t="str">
        <f>_xlfn.XLOOKUP(F6Results_2026[[#This Row],[Full_Name]],tblF42023[FULL_NAME],tblF42023[DIVISION],"",0,1)</f>
        <v/>
      </c>
      <c r="AC10" s="293" t="str">
        <f>_xlfn.XLOOKUP(F6Results_2026[[#This Row],[Full_Name]],tblF42023[FULL_NAME],tblF42023[POINTS],"",0,1)</f>
        <v/>
      </c>
      <c r="AD10" s="294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0" s="294" t="str">
        <f>IFERROR(
   INDEX(tblF42023[],
         MATCH(F6Results_2026[[#This Row],[Full_Name]], tblF42023[FULL_NAME], 0),
         MATCH(F6Results_2026[[#This Row],[Comb]] &amp; "_Q", tblF42023[#Headers], 0)
   ),
   ""
)</f>
        <v/>
      </c>
      <c r="AF10" s="294" t="str">
        <f>_xlfn.XLOOKUP(F6Results_2026[[#This Row],[Full_Name]],tblF22021[FULL_NAME],tblF22021[POINTS],"",0,1)</f>
        <v/>
      </c>
      <c r="AG10" s="294" t="str">
        <f>_xlfn.XLOOKUP(F6Results_2026[[#This Row],[Full_Name]],tblF42023[FULL_NAME],tblF42023[DIVISION],"",0,1)</f>
        <v/>
      </c>
      <c r="AH10" s="295" t="str">
        <f>_xlfn.XLOOKUP(F6Results_2026[[#This Row],[Full_Name]],tblF42023[FULL_NAME],tblF42023[TOTAL A''S],"",0,1)</f>
        <v/>
      </c>
      <c r="AI10" s="259"/>
      <c r="AJ10" s="257"/>
      <c r="AK10" s="257"/>
      <c r="AO10" s="237" t="s">
        <v>893</v>
      </c>
      <c r="AP10" s="238" t="s">
        <v>9</v>
      </c>
      <c r="AQ10" s="237" t="s">
        <v>893</v>
      </c>
      <c r="AR10" s="237" t="s">
        <v>9</v>
      </c>
      <c r="AS10" t="s">
        <v>894</v>
      </c>
      <c r="AT10" t="s">
        <v>894</v>
      </c>
      <c r="AU10" s="241" t="s">
        <v>894</v>
      </c>
      <c r="AV10" s="241" t="s">
        <v>894</v>
      </c>
    </row>
    <row r="11" spans="1:48" x14ac:dyDescent="0.3">
      <c r="A11" s="284" t="s">
        <v>127</v>
      </c>
      <c r="B11" s="296">
        <v>2026</v>
      </c>
      <c r="C11" s="285">
        <v>20130180844</v>
      </c>
      <c r="D11" s="297" t="s">
        <v>903</v>
      </c>
      <c r="E11" s="296" t="s">
        <v>40</v>
      </c>
      <c r="F11" s="296" t="s">
        <v>41</v>
      </c>
      <c r="G11" s="296" t="s">
        <v>8</v>
      </c>
      <c r="H11" s="93" cm="1">
        <f t="array" ref="H1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11" s="298" t="str">
        <f t="shared" si="1"/>
        <v>I</v>
      </c>
      <c r="J11" s="296" t="s">
        <v>94</v>
      </c>
      <c r="K11" s="296" t="s">
        <v>6</v>
      </c>
      <c r="L11" s="296"/>
      <c r="M11" s="296" t="s">
        <v>4</v>
      </c>
      <c r="N11" s="296" t="s">
        <v>5</v>
      </c>
      <c r="O11" s="298" t="s">
        <v>2</v>
      </c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>
        <f t="array" ref="Z11">SUM(IF(K11:Y11="A",1,0), IF(K11:Y11="B",2,0), IF(K11:Y11="C",3,0), IF(K11:Y11="D",4,0), IF(K11:Y11="E",5,0), IF(K11:Y11="S",6,0), IF(K11:Y11="F",7,0))</f>
        <v>13</v>
      </c>
      <c r="AA11" s="289" t="str">
        <f>_xlfn.XLOOKUP(F6Results_2026[[#This Row],[Full_Name]],tblF42023[FULL_NAME],tblF42023[POINTS],"",0,1)</f>
        <v/>
      </c>
      <c r="AB11" s="289" t="str">
        <f>_xlfn.XLOOKUP(F6Results_2026[[#This Row],[Full_Name]],tblF42023[FULL_NAME],tblF42023[DIVISION],"",0,1)</f>
        <v/>
      </c>
      <c r="AC11" s="289" t="str">
        <f>_xlfn.XLOOKUP(F6Results_2026[[#This Row],[Full_Name]],tblF42023[FULL_NAME],tblF42023[POINTS],"",0,1)</f>
        <v/>
      </c>
      <c r="AD1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1" s="299" t="str">
        <f>_xlfn.XLOOKUP(F6Results_2026[[#This Row],[Full_Name]],tblF22021[FULL_NAME],tblF22021[POINTS],"",0,1)</f>
        <v/>
      </c>
      <c r="AG11" s="299" t="str">
        <f>_xlfn.XLOOKUP(F6Results_2026[[#This Row],[Full_Name]],tblF42023[FULL_NAME],tblF42023[DIVISION],"",0,1)</f>
        <v/>
      </c>
      <c r="AH11" s="300" t="str">
        <f>_xlfn.XLOOKUP(F6Results_2026[[#This Row],[Full_Name]],tblF42023[FULL_NAME],tblF42023[TOTAL A''S],"",0,1)</f>
        <v/>
      </c>
      <c r="AI11" s="259"/>
      <c r="AO11" s="239" t="s">
        <v>500</v>
      </c>
      <c r="AP11" s="240" t="s">
        <v>500</v>
      </c>
      <c r="AQ11" s="239" t="s">
        <v>776</v>
      </c>
      <c r="AR11" s="239" t="s">
        <v>776</v>
      </c>
      <c r="AS11" t="s">
        <v>776</v>
      </c>
      <c r="AT11" t="s">
        <v>776</v>
      </c>
      <c r="AU11" s="242" t="s">
        <v>776</v>
      </c>
      <c r="AV11" s="242" t="s">
        <v>776</v>
      </c>
    </row>
    <row r="12" spans="1:48" x14ac:dyDescent="0.3">
      <c r="A12" s="284" t="s">
        <v>305</v>
      </c>
      <c r="B12" s="296">
        <v>2026</v>
      </c>
      <c r="C12" s="285">
        <v>20130189255</v>
      </c>
      <c r="D12" s="297" t="s">
        <v>306</v>
      </c>
      <c r="E12" s="298" t="s">
        <v>304</v>
      </c>
      <c r="F12" s="298" t="s">
        <v>895</v>
      </c>
      <c r="G12" s="298" t="s">
        <v>8</v>
      </c>
      <c r="H12" s="93" cm="1">
        <f t="array" ref="H1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12" s="298" t="str">
        <f t="shared" si="1"/>
        <v>O</v>
      </c>
      <c r="J12" s="296" t="s">
        <v>42</v>
      </c>
      <c r="K12" s="296" t="s">
        <v>6</v>
      </c>
      <c r="L12" s="296" t="s">
        <v>2</v>
      </c>
      <c r="M12" s="298"/>
      <c r="N12" s="298"/>
      <c r="O12" s="298"/>
      <c r="P12" s="298"/>
      <c r="Q12" s="298"/>
      <c r="R12" s="298"/>
      <c r="S12" s="298"/>
      <c r="T12" s="298"/>
      <c r="U12" s="298"/>
      <c r="V12" s="298"/>
      <c r="W12" s="298" t="s">
        <v>8</v>
      </c>
      <c r="X12" s="298" t="s">
        <v>8</v>
      </c>
      <c r="Y12" s="298" t="s">
        <v>8</v>
      </c>
      <c r="Z12" s="296">
        <f t="array" ref="Z12">SUM(IF(K12:Y12="A",1,0), IF(K12:Y12="B",2,0), IF(K12:Y12="C",3,0), IF(K12:Y12="D",4,0), IF(K12:Y12="E",5,0), IF(K12:Y12="S",6,0), IF(K12:Y12="F",7,0))</f>
        <v>27</v>
      </c>
      <c r="AA12" s="289" t="str">
        <f>_xlfn.XLOOKUP(F6Results_2026[[#This Row],[Full_Name]],tblF42023[FULL_NAME],tblF42023[POINTS],"",0,1)</f>
        <v/>
      </c>
      <c r="AB12" s="289" t="str">
        <f>_xlfn.XLOOKUP(F6Results_2026[[#This Row],[Full_Name]],tblF42023[FULL_NAME],tblF42023[DIVISION],"",0,1)</f>
        <v/>
      </c>
      <c r="AC12" s="289" t="str">
        <f>_xlfn.XLOOKUP(F6Results_2026[[#This Row],[Full_Name]],tblF42023[FULL_NAME],tblF42023[POINTS],"",0,1)</f>
        <v/>
      </c>
      <c r="AD1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2" s="299">
        <f>_xlfn.XLOOKUP(F6Results_2026[[#This Row],[Full_Name]],tblF22021[FULL_NAME],tblF22021[POINTS],"",0,1)</f>
        <v>7</v>
      </c>
      <c r="AG12" s="299" t="str">
        <f>_xlfn.XLOOKUP(F6Results_2026[[#This Row],[Full_Name]],tblF42023[FULL_NAME],tblF42023[DIVISION],"",0,1)</f>
        <v/>
      </c>
      <c r="AH12" s="300" t="str">
        <f>_xlfn.XLOOKUP(F6Results_2026[[#This Row],[Full_Name]],tblF42023[FULL_NAME],tblF42023[TOTAL A''S],"",0,1)</f>
        <v/>
      </c>
      <c r="AI12" s="259"/>
      <c r="AO12" s="239" t="s">
        <v>776</v>
      </c>
      <c r="AP12" s="240" t="s">
        <v>776</v>
      </c>
      <c r="AQ12" s="239" t="s">
        <v>894</v>
      </c>
      <c r="AR12" s="239" t="s">
        <v>894</v>
      </c>
      <c r="AS12" t="s">
        <v>993</v>
      </c>
      <c r="AT12" t="s">
        <v>776</v>
      </c>
      <c r="AU12" s="242" t="s">
        <v>500</v>
      </c>
      <c r="AV12" s="242" t="s">
        <v>500</v>
      </c>
    </row>
    <row r="13" spans="1:48" x14ac:dyDescent="0.3">
      <c r="A13" s="284" t="s">
        <v>250</v>
      </c>
      <c r="B13" s="296">
        <v>2026</v>
      </c>
      <c r="C13" s="285">
        <v>20130191313</v>
      </c>
      <c r="D13" s="297" t="s">
        <v>927</v>
      </c>
      <c r="E13" s="296" t="s">
        <v>240</v>
      </c>
      <c r="F13" s="296" t="s">
        <v>896</v>
      </c>
      <c r="G13" s="296" t="s">
        <v>8</v>
      </c>
      <c r="H13" s="93" cm="1">
        <f t="array" ref="H1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3" s="298" t="str">
        <f t="shared" si="1"/>
        <v>III</v>
      </c>
      <c r="J13" s="296" t="s">
        <v>94</v>
      </c>
      <c r="K13" s="298" t="s">
        <v>5</v>
      </c>
      <c r="L13" s="298" t="s">
        <v>3</v>
      </c>
      <c r="M13" s="296"/>
      <c r="N13" s="296"/>
      <c r="O13" s="296"/>
      <c r="P13" s="296"/>
      <c r="Q13" s="296" t="s">
        <v>4</v>
      </c>
      <c r="R13" s="296" t="s">
        <v>4</v>
      </c>
      <c r="S13" s="296" t="s">
        <v>8</v>
      </c>
      <c r="T13" s="296"/>
      <c r="U13" s="296"/>
      <c r="V13" s="296"/>
      <c r="W13" s="296"/>
      <c r="X13" s="296"/>
      <c r="Y13" s="296"/>
      <c r="Z13" s="296">
        <f t="array" ref="Z13">SUM(IF(K13:Y13="A",1,0), IF(K13:Y13="B",2,0), IF(K13:Y13="C",3,0), IF(K13:Y13="D",4,0), IF(K13:Y13="E",5,0), IF(K13:Y13="S",6,0), IF(K13:Y13="F",7,0))</f>
        <v>19</v>
      </c>
      <c r="AA13" s="289" t="str">
        <f>_xlfn.XLOOKUP(F6Results_2026[[#This Row],[Full_Name]],tblF42023[FULL_NAME],tblF42023[POINTS],"",0,1)</f>
        <v/>
      </c>
      <c r="AB13" s="289" t="str">
        <f>_xlfn.XLOOKUP(F6Results_2026[[#This Row],[Full_Name]],tblF42023[FULL_NAME],tblF42023[DIVISION],"",0,1)</f>
        <v/>
      </c>
      <c r="AC13" s="289" t="str">
        <f>_xlfn.XLOOKUP(F6Results_2026[[#This Row],[Full_Name]],tblF42023[FULL_NAME],tblF42023[POINTS],"",0,1)</f>
        <v/>
      </c>
      <c r="AD1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3" s="299" t="str">
        <f>_xlfn.XLOOKUP(F6Results_2026[[#This Row],[Full_Name]],tblF22021[FULL_NAME],tblF22021[POINTS],"",0,1)</f>
        <v/>
      </c>
      <c r="AG13" s="299" t="str">
        <f>_xlfn.XLOOKUP(F6Results_2026[[#This Row],[Full_Name]],tblF42023[FULL_NAME],tblF42023[DIVISION],"",0,1)</f>
        <v/>
      </c>
      <c r="AH13" s="300" t="str">
        <f>_xlfn.XLOOKUP(F6Results_2026[[#This Row],[Full_Name]],tblF42023[FULL_NAME],tblF42023[TOTAL A''S],"",0,1)</f>
        <v/>
      </c>
      <c r="AI13" s="259"/>
      <c r="AO13" s="239">
        <v>0</v>
      </c>
      <c r="AP13" s="240" t="s">
        <v>10</v>
      </c>
      <c r="AQ13" s="239">
        <v>0</v>
      </c>
      <c r="AR13" s="239" t="s">
        <v>8</v>
      </c>
      <c r="AS13" t="s">
        <v>8</v>
      </c>
      <c r="AT13">
        <v>5</v>
      </c>
      <c r="AU13" t="s">
        <v>8</v>
      </c>
      <c r="AV13">
        <v>7</v>
      </c>
    </row>
    <row r="14" spans="1:48" x14ac:dyDescent="0.3">
      <c r="A14" s="284" t="s">
        <v>125</v>
      </c>
      <c r="B14" s="296">
        <v>2026</v>
      </c>
      <c r="C14" s="285">
        <v>20130210418</v>
      </c>
      <c r="D14" s="297" t="s">
        <v>126</v>
      </c>
      <c r="E14" s="298" t="s">
        <v>40</v>
      </c>
      <c r="F14" s="298" t="s">
        <v>41</v>
      </c>
      <c r="G14" s="298" t="s">
        <v>8</v>
      </c>
      <c r="H14" s="93" cm="1">
        <f t="array" ref="H1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4" s="298" t="str">
        <f t="shared" si="1"/>
        <v>I</v>
      </c>
      <c r="J14" s="296" t="s">
        <v>42</v>
      </c>
      <c r="K14" s="296" t="s">
        <v>5</v>
      </c>
      <c r="L14" s="296"/>
      <c r="M14" s="296" t="s">
        <v>4</v>
      </c>
      <c r="N14" s="298" t="s">
        <v>4</v>
      </c>
      <c r="O14" s="298" t="s">
        <v>2</v>
      </c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6">
        <f t="array" ref="Z14">SUM(IF(K14:Y14="A",1,0), IF(K14:Y14="B",2,0), IF(K14:Y14="C",3,0), IF(K14:Y14="D",4,0), IF(K14:Y14="E",5,0), IF(K14:Y14="S",6,0), IF(K14:Y14="F",7,0))</f>
        <v>11</v>
      </c>
      <c r="AA14" s="289">
        <f>_xlfn.XLOOKUP(F6Results_2026[[#This Row],[Full_Name]],tblF42023[FULL_NAME],tblF42023[POINTS],"",0,1)</f>
        <v>13</v>
      </c>
      <c r="AB14" s="289" t="str">
        <f>_xlfn.XLOOKUP(F6Results_2026[[#This Row],[Full_Name]],tblF42023[FULL_NAME],tblF42023[DIVISION],"",0,1)</f>
        <v>I</v>
      </c>
      <c r="AC14" s="289">
        <f>_xlfn.XLOOKUP(F6Results_2026[[#This Row],[Full_Name]],tblF42023[FULL_NAME],tblF42023[POINTS],"",0,1)</f>
        <v>13</v>
      </c>
      <c r="AD14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4" s="299">
        <f>_xlfn.XLOOKUP(F6Results_2026[[#This Row],[Full_Name]],tblF22021[FULL_NAME],tblF22021[POINTS],"",0,1)</f>
        <v>7</v>
      </c>
      <c r="AG14" s="299" t="str">
        <f>_xlfn.XLOOKUP(F6Results_2026[[#This Row],[Full_Name]],tblF42023[FULL_NAME],tblF42023[DIVISION],"",0,1)</f>
        <v>I</v>
      </c>
      <c r="AH14" s="300">
        <f>_xlfn.XLOOKUP(F6Results_2026[[#This Row],[Full_Name]],tblF42023[FULL_NAME],tblF42023[TOTAL A''S],"",0,1)</f>
        <v>2</v>
      </c>
      <c r="AI14" s="259"/>
      <c r="AO14" s="239">
        <v>10</v>
      </c>
      <c r="AP14" s="240" t="s">
        <v>11</v>
      </c>
      <c r="AQ14" s="239">
        <v>34.5</v>
      </c>
      <c r="AR14" s="239" t="s">
        <v>7</v>
      </c>
      <c r="AS14" t="s">
        <v>5</v>
      </c>
      <c r="AT14">
        <v>4</v>
      </c>
      <c r="AU14" t="s">
        <v>7</v>
      </c>
      <c r="AV14">
        <v>6</v>
      </c>
    </row>
    <row r="15" spans="1:48" x14ac:dyDescent="0.3">
      <c r="A15" s="284" t="s">
        <v>276</v>
      </c>
      <c r="B15" s="296">
        <v>2026</v>
      </c>
      <c r="C15" s="285">
        <v>20130232282</v>
      </c>
      <c r="D15" s="297" t="s">
        <v>933</v>
      </c>
      <c r="E15" s="296" t="s">
        <v>240</v>
      </c>
      <c r="F15" s="296" t="s">
        <v>896</v>
      </c>
      <c r="G15" s="296" t="s">
        <v>84</v>
      </c>
      <c r="H15" s="93" cm="1">
        <f t="array" ref="H1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15" s="298" t="str">
        <f t="shared" si="1"/>
        <v>III</v>
      </c>
      <c r="J15" s="296" t="s">
        <v>94</v>
      </c>
      <c r="K15" s="298" t="s">
        <v>7</v>
      </c>
      <c r="L15" s="298" t="s">
        <v>5</v>
      </c>
      <c r="M15" s="296"/>
      <c r="N15" s="296"/>
      <c r="O15" s="296"/>
      <c r="P15" s="296"/>
      <c r="Q15" s="296" t="s">
        <v>4</v>
      </c>
      <c r="R15" s="296" t="s">
        <v>8</v>
      </c>
      <c r="S15" s="296" t="s">
        <v>8</v>
      </c>
      <c r="T15" s="296"/>
      <c r="U15" s="296"/>
      <c r="V15" s="296"/>
      <c r="W15" s="296"/>
      <c r="X15" s="296"/>
      <c r="Y15" s="296"/>
      <c r="Z15" s="296">
        <f t="array" ref="Z15">SUM(IF(K15:Y15="A",1,0), IF(K15:Y15="B",2,0), IF(K15:Y15="C",3,0), IF(K15:Y15="D",4,0), IF(K15:Y15="E",5,0), IF(K15:Y15="S",6,0), IF(K15:Y15="F",7,0))</f>
        <v>27</v>
      </c>
      <c r="AA15" s="289" t="str">
        <f>_xlfn.XLOOKUP(F6Results_2026[[#This Row],[Full_Name]],tblF42023[FULL_NAME],tblF42023[POINTS],"",0,1)</f>
        <v/>
      </c>
      <c r="AB15" s="289" t="str">
        <f>_xlfn.XLOOKUP(F6Results_2026[[#This Row],[Full_Name]],tblF42023[FULL_NAME],tblF42023[DIVISION],"",0,1)</f>
        <v/>
      </c>
      <c r="AC15" s="289" t="str">
        <f>_xlfn.XLOOKUP(F6Results_2026[[#This Row],[Full_Name]],tblF42023[FULL_NAME],tblF42023[POINTS],"",0,1)</f>
        <v/>
      </c>
      <c r="AD15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" s="299" t="str">
        <f>_xlfn.XLOOKUP(F6Results_2026[[#This Row],[Full_Name]],tblF22021[FULL_NAME],tblF22021[POINTS],"",0,1)</f>
        <v/>
      </c>
      <c r="AG15" s="299" t="str">
        <f>_xlfn.XLOOKUP(F6Results_2026[[#This Row],[Full_Name]],tblF42023[FULL_NAME],tblF42023[DIVISION],"",0,1)</f>
        <v/>
      </c>
      <c r="AH15" s="300" t="str">
        <f>_xlfn.XLOOKUP(F6Results_2026[[#This Row],[Full_Name]],tblF42023[FULL_NAME],tblF42023[TOTAL A''S],"",0,1)</f>
        <v/>
      </c>
      <c r="AI15" s="259"/>
      <c r="AO15" s="239">
        <v>13</v>
      </c>
      <c r="AP15" s="240" t="s">
        <v>12</v>
      </c>
      <c r="AQ15" s="239">
        <v>39.5</v>
      </c>
      <c r="AR15" s="239" t="s">
        <v>6</v>
      </c>
      <c r="AS15" t="s">
        <v>4</v>
      </c>
      <c r="AT15">
        <v>3</v>
      </c>
      <c r="AU15" t="s">
        <v>6</v>
      </c>
      <c r="AV15">
        <v>5</v>
      </c>
    </row>
    <row r="16" spans="1:48" x14ac:dyDescent="0.3">
      <c r="A16" s="284" t="s">
        <v>134</v>
      </c>
      <c r="B16" s="296">
        <v>2026</v>
      </c>
      <c r="C16" s="285">
        <v>20130238026</v>
      </c>
      <c r="D16" s="297" t="s">
        <v>908</v>
      </c>
      <c r="E16" s="296" t="s">
        <v>40</v>
      </c>
      <c r="F16" s="296" t="s">
        <v>41</v>
      </c>
      <c r="G16" s="296" t="s">
        <v>84</v>
      </c>
      <c r="H16" s="93" cm="1">
        <f t="array" ref="H1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6" s="298" t="str">
        <f t="shared" si="1"/>
        <v>I</v>
      </c>
      <c r="J16" s="296" t="s">
        <v>94</v>
      </c>
      <c r="K16" s="298" t="s">
        <v>5</v>
      </c>
      <c r="L16" s="298"/>
      <c r="M16" s="296" t="s">
        <v>4</v>
      </c>
      <c r="N16" s="296" t="s">
        <v>4</v>
      </c>
      <c r="O16" s="296" t="s">
        <v>2</v>
      </c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>
        <f t="array" ref="Z16">SUM(IF(K16:Y16="A",1,0), IF(K16:Y16="B",2,0), IF(K16:Y16="C",3,0), IF(K16:Y16="D",4,0), IF(K16:Y16="E",5,0), IF(K16:Y16="S",6,0), IF(K16:Y16="F",7,0))</f>
        <v>11</v>
      </c>
      <c r="AA16" s="289" t="str">
        <f>_xlfn.XLOOKUP(F6Results_2026[[#This Row],[Full_Name]],tblF42023[FULL_NAME],tblF42023[POINTS],"",0,1)</f>
        <v/>
      </c>
      <c r="AB16" s="289" t="str">
        <f>_xlfn.XLOOKUP(F6Results_2026[[#This Row],[Full_Name]],tblF42023[FULL_NAME],tblF42023[DIVISION],"",0,1)</f>
        <v/>
      </c>
      <c r="AC16" s="289" t="str">
        <f>_xlfn.XLOOKUP(F6Results_2026[[#This Row],[Full_Name]],tblF42023[FULL_NAME],tblF42023[POINTS],"",0,1)</f>
        <v/>
      </c>
      <c r="AD16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" s="299" t="str">
        <f>_xlfn.XLOOKUP(F6Results_2026[[#This Row],[Full_Name]],tblF22021[FULL_NAME],tblF22021[POINTS],"",0,1)</f>
        <v/>
      </c>
      <c r="AG16" s="299" t="str">
        <f>_xlfn.XLOOKUP(F6Results_2026[[#This Row],[Full_Name]],tblF42023[FULL_NAME],tblF42023[DIVISION],"",0,1)</f>
        <v/>
      </c>
      <c r="AH16" s="300" t="str">
        <f>_xlfn.XLOOKUP(F6Results_2026[[#This Row],[Full_Name]],tblF42023[FULL_NAME],tblF42023[TOTAL A''S],"",0,1)</f>
        <v/>
      </c>
      <c r="AI16" s="259"/>
      <c r="AO16" s="239">
        <v>18</v>
      </c>
      <c r="AP16" s="240" t="s">
        <v>13</v>
      </c>
      <c r="AQ16" s="239">
        <v>49.5</v>
      </c>
      <c r="AR16" s="239" t="s">
        <v>5</v>
      </c>
      <c r="AS16" t="s">
        <v>3</v>
      </c>
      <c r="AT16">
        <v>2</v>
      </c>
      <c r="AU16" t="s">
        <v>5</v>
      </c>
      <c r="AV16">
        <v>4</v>
      </c>
    </row>
    <row r="17" spans="1:49" x14ac:dyDescent="0.3">
      <c r="A17" s="284" t="s">
        <v>82</v>
      </c>
      <c r="B17" s="296">
        <v>2026</v>
      </c>
      <c r="C17" s="285">
        <v>20130238559</v>
      </c>
      <c r="D17" s="297" t="s">
        <v>83</v>
      </c>
      <c r="E17" s="296" t="s">
        <v>45</v>
      </c>
      <c r="F17" s="296" t="s">
        <v>41</v>
      </c>
      <c r="G17" s="296" t="s">
        <v>84</v>
      </c>
      <c r="H17" s="93" cm="1">
        <f t="array" ref="H1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7" s="298" t="str">
        <f t="shared" si="1"/>
        <v>II</v>
      </c>
      <c r="J17" s="296" t="s">
        <v>42</v>
      </c>
      <c r="K17" s="298" t="s">
        <v>8</v>
      </c>
      <c r="L17" s="298"/>
      <c r="M17" s="296" t="s">
        <v>5</v>
      </c>
      <c r="N17" s="296" t="s">
        <v>6</v>
      </c>
      <c r="O17" s="296"/>
      <c r="P17" s="296" t="s">
        <v>3</v>
      </c>
      <c r="Q17" s="296"/>
      <c r="R17" s="296"/>
      <c r="S17" s="296"/>
      <c r="T17" s="296"/>
      <c r="U17" s="296"/>
      <c r="V17" s="296"/>
      <c r="W17" s="296"/>
      <c r="X17" s="296"/>
      <c r="Y17" s="296"/>
      <c r="Z17" s="296">
        <f t="array" ref="Z17">SUM(IF(K17:Y17="A",1,0), IF(K17:Y17="B",2,0), IF(K17:Y17="C",3,0), IF(K17:Y17="D",4,0), IF(K17:Y17="E",5,0), IF(K17:Y17="S",6,0), IF(K17:Y17="F",7,0))</f>
        <v>18</v>
      </c>
      <c r="AA17" s="289">
        <f>_xlfn.XLOOKUP(F6Results_2026[[#This Row],[Full_Name]],tblF42023[FULL_NAME],tblF42023[POINTS],"",0,1)</f>
        <v>15</v>
      </c>
      <c r="AB17" s="289" t="str">
        <f>_xlfn.XLOOKUP(F6Results_2026[[#This Row],[Full_Name]],tblF42023[FULL_NAME],tblF42023[DIVISION],"",0,1)</f>
        <v>I</v>
      </c>
      <c r="AC17" s="289">
        <f>_xlfn.XLOOKUP(F6Results_2026[[#This Row],[Full_Name]],tblF42023[FULL_NAME],tblF42023[POINTS],"",0,1)</f>
        <v>15</v>
      </c>
      <c r="AD17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7" s="299">
        <f>_xlfn.XLOOKUP(F6Results_2026[[#This Row],[Full_Name]],tblF22021[FULL_NAME],tblF22021[POINTS],"",0,1)</f>
        <v>8</v>
      </c>
      <c r="AG17" s="299" t="str">
        <f>_xlfn.XLOOKUP(F6Results_2026[[#This Row],[Full_Name]],tblF42023[FULL_NAME],tblF42023[DIVISION],"",0,1)</f>
        <v>I</v>
      </c>
      <c r="AH17" s="300">
        <f>_xlfn.XLOOKUP(F6Results_2026[[#This Row],[Full_Name]],tblF42023[FULL_NAME],tblF42023[TOTAL A''S],"",0,1)</f>
        <v>1</v>
      </c>
      <c r="AI17" s="259"/>
      <c r="AO17" s="239">
        <v>20</v>
      </c>
      <c r="AP17" s="240" t="s">
        <v>351</v>
      </c>
      <c r="AQ17" s="239">
        <v>59.5</v>
      </c>
      <c r="AR17" s="239" t="s">
        <v>4</v>
      </c>
      <c r="AS17" t="s">
        <v>2</v>
      </c>
      <c r="AT17">
        <v>1</v>
      </c>
      <c r="AU17" t="s">
        <v>4</v>
      </c>
      <c r="AV17">
        <v>3</v>
      </c>
    </row>
    <row r="18" spans="1:49" x14ac:dyDescent="0.3">
      <c r="A18" s="284" t="s">
        <v>203</v>
      </c>
      <c r="B18" s="296">
        <v>2026</v>
      </c>
      <c r="C18" s="285">
        <v>20130238684</v>
      </c>
      <c r="D18" s="297" t="s">
        <v>204</v>
      </c>
      <c r="E18" s="298" t="s">
        <v>194</v>
      </c>
      <c r="F18" s="298" t="s">
        <v>896</v>
      </c>
      <c r="G18" s="298" t="s">
        <v>8</v>
      </c>
      <c r="H18" s="93" cm="1">
        <f t="array" ref="H1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8" s="298" t="str">
        <f t="shared" si="1"/>
        <v>II</v>
      </c>
      <c r="J18" s="296" t="s">
        <v>42</v>
      </c>
      <c r="K18" s="296" t="s">
        <v>7</v>
      </c>
      <c r="L18" s="296"/>
      <c r="M18" s="298"/>
      <c r="N18" s="298"/>
      <c r="O18" s="298"/>
      <c r="P18" s="298"/>
      <c r="Q18" s="298" t="s">
        <v>4</v>
      </c>
      <c r="R18" s="298" t="s">
        <v>4</v>
      </c>
      <c r="S18" s="298"/>
      <c r="T18" s="298"/>
      <c r="U18" s="298" t="s">
        <v>6</v>
      </c>
      <c r="V18" s="298"/>
      <c r="W18" s="298"/>
      <c r="X18" s="298"/>
      <c r="Y18" s="298"/>
      <c r="Z18" s="296">
        <f t="array" ref="Z18">SUM(IF(K18:Y18="A",1,0), IF(K18:Y18="B",2,0), IF(K18:Y18="C",3,0), IF(K18:Y18="D",4,0), IF(K18:Y18="E",5,0), IF(K18:Y18="S",6,0), IF(K18:Y18="F",7,0))</f>
        <v>17</v>
      </c>
      <c r="AA18" s="289">
        <f>_xlfn.XLOOKUP(F6Results_2026[[#This Row],[Full_Name]],tblF42023[FULL_NAME],tblF42023[POINTS],"",0,1)</f>
        <v>7</v>
      </c>
      <c r="AB18" s="289" t="str">
        <f>_xlfn.XLOOKUP(F6Results_2026[[#This Row],[Full_Name]],tblF42023[FULL_NAME],tblF42023[DIVISION],"",0,1)</f>
        <v>I</v>
      </c>
      <c r="AC18" s="289">
        <f>_xlfn.XLOOKUP(F6Results_2026[[#This Row],[Full_Name]],tblF42023[FULL_NAME],tblF42023[POINTS],"",0,1)</f>
        <v>7</v>
      </c>
      <c r="AD18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8" s="299">
        <f>_xlfn.XLOOKUP(F6Results_2026[[#This Row],[Full_Name]],tblF22021[FULL_NAME],tblF22021[POINTS],"",0,1)</f>
        <v>7</v>
      </c>
      <c r="AG18" s="299" t="str">
        <f>_xlfn.XLOOKUP(F6Results_2026[[#This Row],[Full_Name]],tblF42023[FULL_NAME],tblF42023[DIVISION],"",0,1)</f>
        <v>I</v>
      </c>
      <c r="AH18" s="300">
        <f>_xlfn.XLOOKUP(F6Results_2026[[#This Row],[Full_Name]],tblF42023[FULL_NAME],tblF42023[TOTAL A''S],"",0,1)</f>
        <v>9</v>
      </c>
      <c r="AI18" s="259"/>
      <c r="AU18" t="s">
        <v>3</v>
      </c>
      <c r="AV18">
        <v>2</v>
      </c>
    </row>
    <row r="19" spans="1:49" ht="15" thickBot="1" x14ac:dyDescent="0.35">
      <c r="A19" s="301" t="s">
        <v>954</v>
      </c>
      <c r="B19" s="299">
        <v>2026</v>
      </c>
      <c r="C19" s="299">
        <v>20130239051</v>
      </c>
      <c r="D19" s="297" t="s">
        <v>955</v>
      </c>
      <c r="E19" s="299" t="s">
        <v>289</v>
      </c>
      <c r="F19" s="299" t="s">
        <v>896</v>
      </c>
      <c r="G19" s="299" t="s">
        <v>8</v>
      </c>
      <c r="H19" s="93" cm="1">
        <f t="array" ref="H1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9" s="289" t="str">
        <f t="shared" si="1"/>
        <v>II</v>
      </c>
      <c r="J19" s="296" t="s">
        <v>94</v>
      </c>
      <c r="K19" s="289" t="s">
        <v>6</v>
      </c>
      <c r="L19" s="289" t="s">
        <v>8</v>
      </c>
      <c r="M19" s="299"/>
      <c r="N19" s="299"/>
      <c r="O19" s="299"/>
      <c r="P19" s="299"/>
      <c r="Q19" s="299"/>
      <c r="R19" s="299" t="s">
        <v>5</v>
      </c>
      <c r="S19" s="299" t="s">
        <v>4</v>
      </c>
      <c r="T19" s="299" t="s">
        <v>4</v>
      </c>
      <c r="U19" s="299"/>
      <c r="V19" s="299"/>
      <c r="W19" s="299"/>
      <c r="X19" s="299"/>
      <c r="Y19" s="299"/>
      <c r="Z19" s="299"/>
      <c r="AA19" s="302" t="str">
        <f>_xlfn.XLOOKUP(F6Results_2026[[#This Row],[Full_Name]],tblF42023[FULL_NAME],tblF42023[POINTS],"",0,1)</f>
        <v/>
      </c>
      <c r="AB19" s="302" t="str">
        <f>_xlfn.XLOOKUP(F6Results_2026[[#This Row],[Full_Name]],tblF42023[FULL_NAME],tblF42023[DIVISION],"",0,1)</f>
        <v/>
      </c>
      <c r="AC19" s="302" t="str">
        <f>_xlfn.XLOOKUP(F6Results_2026[[#This Row],[Full_Name]],tblF42023[FULL_NAME],tblF42023[POINTS],"",0,1)</f>
        <v/>
      </c>
      <c r="AD19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9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9" s="304" t="str">
        <f>_xlfn.XLOOKUP(F6Results_2026[[#This Row],[Full_Name]],tblF22021[FULL_NAME],tblF22021[POINTS],"",0,1)</f>
        <v/>
      </c>
      <c r="AG19" s="304" t="str">
        <f>_xlfn.XLOOKUP(F6Results_2026[[#This Row],[Full_Name]],tblF42023[FULL_NAME],tblF42023[DIVISION],"",0,1)</f>
        <v/>
      </c>
      <c r="AH19" s="305" t="str">
        <f>_xlfn.XLOOKUP(F6Results_2026[[#This Row],[Full_Name]],tblF42023[FULL_NAME],tblF42023[TOTAL A''S],"",0,1)</f>
        <v/>
      </c>
      <c r="AI19" s="259"/>
      <c r="AU19" t="s">
        <v>2</v>
      </c>
      <c r="AV19">
        <v>1</v>
      </c>
    </row>
    <row r="20" spans="1:49" ht="16.2" thickBot="1" x14ac:dyDescent="0.35">
      <c r="A20" s="284" t="s">
        <v>230</v>
      </c>
      <c r="B20" s="296">
        <v>2026</v>
      </c>
      <c r="C20" s="285">
        <v>20130239312</v>
      </c>
      <c r="D20" s="297" t="s">
        <v>916</v>
      </c>
      <c r="E20" s="298" t="s">
        <v>194</v>
      </c>
      <c r="F20" s="298" t="s">
        <v>896</v>
      </c>
      <c r="G20" s="298" t="s">
        <v>84</v>
      </c>
      <c r="H20" s="93" cm="1">
        <f t="array" ref="H2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20" s="298" t="str">
        <f t="shared" si="1"/>
        <v>II</v>
      </c>
      <c r="J20" s="296" t="s">
        <v>94</v>
      </c>
      <c r="K20" s="296" t="s">
        <v>6</v>
      </c>
      <c r="L20" s="296"/>
      <c r="M20" s="298"/>
      <c r="N20" s="298"/>
      <c r="O20" s="298"/>
      <c r="P20" s="298"/>
      <c r="Q20" s="298" t="s">
        <v>5</v>
      </c>
      <c r="R20" s="298" t="s">
        <v>4</v>
      </c>
      <c r="S20" s="298"/>
      <c r="T20" s="298"/>
      <c r="U20" s="298" t="s">
        <v>5</v>
      </c>
      <c r="V20" s="298"/>
      <c r="W20" s="298"/>
      <c r="X20" s="298"/>
      <c r="Y20" s="298"/>
      <c r="Z20" s="296">
        <f t="array" ref="Z20">SUM(IF(K20:Y20="A",1,0), IF(K20:Y20="B",2,0), IF(K20:Y20="C",3,0), IF(K20:Y20="D",4,0), IF(K20:Y20="E",5,0), IF(K20:Y20="S",6,0), IF(K20:Y20="F",7,0))</f>
        <v>16</v>
      </c>
      <c r="AA20" s="289" t="str">
        <f>_xlfn.XLOOKUP(F6Results_2026[[#This Row],[Full_Name]],tblF42023[FULL_NAME],tblF42023[POINTS],"",0,1)</f>
        <v/>
      </c>
      <c r="AB20" s="289" t="str">
        <f>_xlfn.XLOOKUP(F6Results_2026[[#This Row],[Full_Name]],tblF42023[FULL_NAME],tblF42023[DIVISION],"",0,1)</f>
        <v/>
      </c>
      <c r="AC20" s="289" t="str">
        <f>_xlfn.XLOOKUP(F6Results_2026[[#This Row],[Full_Name]],tblF42023[FULL_NAME],tblF42023[POINTS],"",0,1)</f>
        <v/>
      </c>
      <c r="AD2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2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20" s="299" t="str">
        <f>_xlfn.XLOOKUP(F6Results_2026[[#This Row],[Full_Name]],tblF22021[FULL_NAME],tblF22021[POINTS],"",0,1)</f>
        <v/>
      </c>
      <c r="AG20" s="299" t="str">
        <f>_xlfn.XLOOKUP(F6Results_2026[[#This Row],[Full_Name]],tblF42023[FULL_NAME],tblF42023[DIVISION],"",0,1)</f>
        <v/>
      </c>
      <c r="AH20" s="300" t="str">
        <f>_xlfn.XLOOKUP(F6Results_2026[[#This Row],[Full_Name]],tblF42023[FULL_NAME],tblF42023[TOTAL A''S],"",0,1)</f>
        <v/>
      </c>
      <c r="AI20" s="259"/>
      <c r="AK20" s="400" t="s">
        <v>985</v>
      </c>
      <c r="AL20" s="401"/>
      <c r="AM20" s="401"/>
      <c r="AN20" s="401"/>
      <c r="AO20" s="401"/>
      <c r="AP20" s="401"/>
      <c r="AQ20" s="401"/>
      <c r="AR20" s="401"/>
      <c r="AS20" s="401"/>
      <c r="AT20" s="401"/>
      <c r="AU20" s="401"/>
      <c r="AV20" s="401"/>
      <c r="AW20" s="402"/>
    </row>
    <row r="21" spans="1:49" x14ac:dyDescent="0.3">
      <c r="A21" s="284" t="s">
        <v>280</v>
      </c>
      <c r="B21" s="296">
        <v>2026</v>
      </c>
      <c r="C21" s="285">
        <v>20130243190</v>
      </c>
      <c r="D21" s="297" t="s">
        <v>937</v>
      </c>
      <c r="E21" s="296" t="s">
        <v>240</v>
      </c>
      <c r="F21" s="296" t="s">
        <v>896</v>
      </c>
      <c r="G21" s="296" t="s">
        <v>84</v>
      </c>
      <c r="H21" s="93" cm="1">
        <f t="array" ref="H2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21" s="298" t="str">
        <f t="shared" si="1"/>
        <v>III</v>
      </c>
      <c r="J21" s="296" t="s">
        <v>94</v>
      </c>
      <c r="K21" s="298" t="s">
        <v>6</v>
      </c>
      <c r="L21" s="298" t="s">
        <v>6</v>
      </c>
      <c r="M21" s="296"/>
      <c r="N21" s="296"/>
      <c r="O21" s="296"/>
      <c r="P21" s="296"/>
      <c r="Q21" s="296" t="s">
        <v>4</v>
      </c>
      <c r="R21" s="296" t="s">
        <v>4</v>
      </c>
      <c r="S21" s="296" t="s">
        <v>8</v>
      </c>
      <c r="T21" s="296"/>
      <c r="U21" s="296"/>
      <c r="V21" s="296"/>
      <c r="W21" s="296"/>
      <c r="X21" s="296"/>
      <c r="Y21" s="296"/>
      <c r="Z21" s="296">
        <f t="array" ref="Z21">SUM(IF(K21:Y21="A",1,0), IF(K21:Y21="B",2,0), IF(K21:Y21="C",3,0), IF(K21:Y21="D",4,0), IF(K21:Y21="E",5,0), IF(K21:Y21="S",6,0), IF(K21:Y21="F",7,0))</f>
        <v>23</v>
      </c>
      <c r="AA21" s="289" t="str">
        <f>_xlfn.XLOOKUP(F6Results_2026[[#This Row],[Full_Name]],tblF42023[FULL_NAME],tblF42023[POINTS],"",0,1)</f>
        <v/>
      </c>
      <c r="AB21" s="289" t="str">
        <f>_xlfn.XLOOKUP(F6Results_2026[[#This Row],[Full_Name]],tblF42023[FULL_NAME],tblF42023[DIVISION],"",0,1)</f>
        <v/>
      </c>
      <c r="AC21" s="289" t="str">
        <f>_xlfn.XLOOKUP(F6Results_2026[[#This Row],[Full_Name]],tblF42023[FULL_NAME],tblF42023[POINTS],"",0,1)</f>
        <v/>
      </c>
      <c r="AD2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2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21" s="299" t="str">
        <f>_xlfn.XLOOKUP(F6Results_2026[[#This Row],[Full_Name]],tblF22021[FULL_NAME],tblF22021[POINTS],"",0,1)</f>
        <v/>
      </c>
      <c r="AG21" s="299" t="str">
        <f>_xlfn.XLOOKUP(F6Results_2026[[#This Row],[Full_Name]],tblF42023[FULL_NAME],tblF42023[DIVISION],"",0,1)</f>
        <v/>
      </c>
      <c r="AH21" s="300" t="str">
        <f>_xlfn.XLOOKUP(F6Results_2026[[#This Row],[Full_Name]],tblF42023[FULL_NAME],tblF42023[TOTAL A''S],"",0,1)</f>
        <v/>
      </c>
      <c r="AI21" s="259"/>
      <c r="AK21" s="261" t="s">
        <v>357</v>
      </c>
      <c r="AL21" s="260" t="s">
        <v>2</v>
      </c>
      <c r="AM21" s="260" t="s">
        <v>3</v>
      </c>
      <c r="AN21" s="260" t="s">
        <v>4</v>
      </c>
      <c r="AO21" s="260" t="s">
        <v>5</v>
      </c>
      <c r="AP21" s="260" t="s">
        <v>6</v>
      </c>
      <c r="AQ21" s="260" t="s">
        <v>7</v>
      </c>
      <c r="AR21" s="260" t="s">
        <v>8</v>
      </c>
      <c r="AS21" s="260" t="s">
        <v>404</v>
      </c>
      <c r="AT21" s="260" t="s">
        <v>347</v>
      </c>
      <c r="AU21" s="260" t="s">
        <v>406</v>
      </c>
      <c r="AV21" s="260" t="s">
        <v>394</v>
      </c>
      <c r="AW21" s="260" t="s">
        <v>0</v>
      </c>
    </row>
    <row r="22" spans="1:49" x14ac:dyDescent="0.3">
      <c r="A22" s="284" t="s">
        <v>209</v>
      </c>
      <c r="B22" s="296">
        <v>2026</v>
      </c>
      <c r="C22" s="285">
        <v>20130246103</v>
      </c>
      <c r="D22" s="297" t="s">
        <v>210</v>
      </c>
      <c r="E22" s="296" t="s">
        <v>194</v>
      </c>
      <c r="F22" s="296" t="s">
        <v>896</v>
      </c>
      <c r="G22" s="296" t="s">
        <v>8</v>
      </c>
      <c r="H22" s="93" cm="1">
        <f t="array" ref="H2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22" s="298" t="str">
        <f t="shared" si="1"/>
        <v>II</v>
      </c>
      <c r="J22" s="296" t="s">
        <v>42</v>
      </c>
      <c r="K22" s="298" t="s">
        <v>6</v>
      </c>
      <c r="L22" s="298"/>
      <c r="M22" s="296"/>
      <c r="N22" s="296"/>
      <c r="O22" s="296"/>
      <c r="P22" s="296"/>
      <c r="Q22" s="296" t="s">
        <v>5</v>
      </c>
      <c r="R22" s="296" t="s">
        <v>4</v>
      </c>
      <c r="S22" s="296"/>
      <c r="T22" s="296"/>
      <c r="U22" s="296" t="s">
        <v>5</v>
      </c>
      <c r="V22" s="296"/>
      <c r="W22" s="296"/>
      <c r="X22" s="296"/>
      <c r="Y22" s="296"/>
      <c r="Z22" s="296">
        <f t="array" ref="Z22">SUM(IF(K22:Y22="A",1,0), IF(K22:Y22="B",2,0), IF(K22:Y22="C",3,0), IF(K22:Y22="D",4,0), IF(K22:Y22="E",5,0), IF(K22:Y22="S",6,0), IF(K22:Y22="F",7,0))</f>
        <v>16</v>
      </c>
      <c r="AA22" s="289">
        <f>_xlfn.XLOOKUP(F6Results_2026[[#This Row],[Full_Name]],tblF42023[FULL_NAME],tblF42023[POINTS],"",0,1)</f>
        <v>7</v>
      </c>
      <c r="AB22" s="289" t="str">
        <f>_xlfn.XLOOKUP(F6Results_2026[[#This Row],[Full_Name]],tblF42023[FULL_NAME],tblF42023[DIVISION],"",0,1)</f>
        <v>I</v>
      </c>
      <c r="AC22" s="289">
        <f>_xlfn.XLOOKUP(F6Results_2026[[#This Row],[Full_Name]],tblF42023[FULL_NAME],tblF42023[POINTS],"",0,1)</f>
        <v>7</v>
      </c>
      <c r="AD22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22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22" s="299">
        <f>_xlfn.XLOOKUP(F6Results_2026[[#This Row],[Full_Name]],tblF22021[FULL_NAME],tblF22021[POINTS],"",0,1)</f>
        <v>7</v>
      </c>
      <c r="AG22" s="299" t="str">
        <f>_xlfn.XLOOKUP(F6Results_2026[[#This Row],[Full_Name]],tblF42023[FULL_NAME],tblF42023[DIVISION],"",0,1)</f>
        <v>I</v>
      </c>
      <c r="AH22" s="300">
        <f>_xlfn.XLOOKUP(F6Results_2026[[#This Row],[Full_Name]],tblF42023[FULL_NAME],tblF42023[TOTAL A''S],"",0,1)</f>
        <v>7</v>
      </c>
      <c r="AI22" s="259"/>
      <c r="AK22" s="264" t="s">
        <v>407</v>
      </c>
      <c r="AL22" s="267">
        <f>COUNTIFS(Fact_Subject_Grade!$G:$G,"Gs",Fact_Subject_Grade!$H:$H,AL$21)</f>
        <v>1</v>
      </c>
      <c r="AM22" s="268">
        <f>COUNTIFS(Fact_Subject_Grade!$G:$G,"Gs",Fact_Subject_Grade!$H:$H,AM$21)</f>
        <v>0</v>
      </c>
      <c r="AN22" s="268">
        <f>COUNTIFS(Fact_Subject_Grade!$G:$G,"Gs",Fact_Subject_Grade!$H:$H,AN$21)</f>
        <v>0</v>
      </c>
      <c r="AO22" s="268">
        <f>COUNTIFS(Fact_Subject_Grade!$G:$G,"Gs",Fact_Subject_Grade!$H:$H,AO$21)</f>
        <v>38</v>
      </c>
      <c r="AP22" s="268">
        <f>COUNTIFS(Fact_Subject_Grade!$G:$G,"Gs",Fact_Subject_Grade!$H:$H,AP$21)</f>
        <v>98</v>
      </c>
      <c r="AQ22" s="268">
        <f>COUNTIFS(Fact_Subject_Grade!$G:$G,"Gs",Fact_Subject_Grade!$H:$H,AQ$21)</f>
        <v>25</v>
      </c>
      <c r="AR22" s="268">
        <f>COUNTIFS(Fact_Subject_Grade!$G:$G,"Gs",Fact_Subject_Grade!$H:$H,AR$21)</f>
        <v>27</v>
      </c>
      <c r="AS22" s="268">
        <f>SUM(AL22:AR22)</f>
        <v>189</v>
      </c>
      <c r="AT22" s="272">
        <f>IFERROR((SUMPRODUCT(AL22:AR22,{5,4,3,2,1,0.5,0})/(AS22*5))*100,"")</f>
        <v>20.264550264550266</v>
      </c>
      <c r="AU22" s="275">
        <f>SUM(AO22:AR22)</f>
        <v>188</v>
      </c>
      <c r="AV22" s="271">
        <f>IFERROR(SUMPRODUCT(AL22:AR22,{1,2,3,4,5,6,7})/AS22,"")</f>
        <v>5.1957671957671954</v>
      </c>
      <c r="AW22" s="277" t="str">
        <f t="shared" ref="AW22:AW23" si="2">IF(AV22="","",IF(AV22&lt;=1.4999,"A-EXCELLENT",IF(AV22&lt;=2.4999,"B-VERY GOOD",IF(AV22&lt;=3.4999,"C-GOOD",IF(AV22&lt;=4.4999,"D-AVERAGE",IF(AV22&lt;=5.4999,"E-SATISFACTORY",IF(AV22&lt;=6.4999,"S-SUBSIDIARY",IF(AV22&lt;=7,"F-FAIL",""))))))))</f>
        <v>E-SATISFACTORY</v>
      </c>
    </row>
    <row r="23" spans="1:49" x14ac:dyDescent="0.3">
      <c r="A23" s="284" t="s">
        <v>309</v>
      </c>
      <c r="B23" s="296">
        <v>2026</v>
      </c>
      <c r="C23" s="285">
        <v>20130246226</v>
      </c>
      <c r="D23" s="297" t="s">
        <v>310</v>
      </c>
      <c r="E23" s="298" t="s">
        <v>304</v>
      </c>
      <c r="F23" s="298" t="s">
        <v>895</v>
      </c>
      <c r="G23" s="298" t="s">
        <v>8</v>
      </c>
      <c r="H23" s="93" cm="1">
        <f t="array" ref="H2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18</v>
      </c>
      <c r="I23" s="298" t="str">
        <f t="shared" si="1"/>
        <v>IV</v>
      </c>
      <c r="J23" s="296" t="s">
        <v>42</v>
      </c>
      <c r="K23" s="296" t="s">
        <v>6</v>
      </c>
      <c r="L23" s="296" t="s">
        <v>7</v>
      </c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 t="s">
        <v>8</v>
      </c>
      <c r="X23" s="298" t="s">
        <v>8</v>
      </c>
      <c r="Y23" s="298" t="s">
        <v>5</v>
      </c>
      <c r="Z23" s="296">
        <f t="array" ref="Z23">SUM(IF(K23:Y23="A",1,0), IF(K23:Y23="B",2,0), IF(K23:Y23="C",3,0), IF(K23:Y23="D",4,0), IF(K23:Y23="E",5,0), IF(K23:Y23="S",6,0), IF(K23:Y23="F",7,0))</f>
        <v>29</v>
      </c>
      <c r="AA23" s="289">
        <f>_xlfn.XLOOKUP(F6Results_2026[[#This Row],[Full_Name]],tblF42023[FULL_NAME],tblF42023[POINTS],"",0,1)</f>
        <v>12</v>
      </c>
      <c r="AB23" s="289" t="str">
        <f>_xlfn.XLOOKUP(F6Results_2026[[#This Row],[Full_Name]],tblF42023[FULL_NAME],tblF42023[DIVISION],"",0,1)</f>
        <v>I</v>
      </c>
      <c r="AC23" s="289">
        <f>_xlfn.XLOOKUP(F6Results_2026[[#This Row],[Full_Name]],tblF42023[FULL_NAME],tblF42023[POINTS],"",0,1)</f>
        <v>12</v>
      </c>
      <c r="AD2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2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23" s="299">
        <f>_xlfn.XLOOKUP(F6Results_2026[[#This Row],[Full_Name]],tblF22021[FULL_NAME],tblF22021[POINTS],"",0,1)</f>
        <v>10</v>
      </c>
      <c r="AG23" s="299" t="str">
        <f>_xlfn.XLOOKUP(F6Results_2026[[#This Row],[Full_Name]],tblF42023[FULL_NAME],tblF42023[DIVISION],"",0,1)</f>
        <v>I</v>
      </c>
      <c r="AH23" s="300">
        <f>_xlfn.XLOOKUP(F6Results_2026[[#This Row],[Full_Name]],tblF42023[FULL_NAME],tblF42023[TOTAL A''S],"",0,1)</f>
        <v>2</v>
      </c>
      <c r="AI23" s="259"/>
      <c r="AK23" s="262" t="s">
        <v>496</v>
      </c>
      <c r="AL23" s="269">
        <f>COUNTIFS(Fact_Subject_Grade!$G:$G,"Bam",Fact_Subject_Grade!$H:$H,AL$21)</f>
        <v>0</v>
      </c>
      <c r="AM23" s="265">
        <f>COUNTIFS(Fact_Subject_Grade!$G:$G,"Bam",Fact_Subject_Grade!$H:$H,AM$21)</f>
        <v>0</v>
      </c>
      <c r="AN23" s="265">
        <f>COUNTIFS(Fact_Subject_Grade!$G:$G,"Bam",Fact_Subject_Grade!$H:$H,AN$21)</f>
        <v>0</v>
      </c>
      <c r="AO23" s="265">
        <f>COUNTIFS(Fact_Subject_Grade!$G:$G,"Bam",Fact_Subject_Grade!$H:$H,AO$21)</f>
        <v>0</v>
      </c>
      <c r="AP23" s="265">
        <f>COUNTIFS(Fact_Subject_Grade!$G:$G,"Bam",Fact_Subject_Grade!$H:$H,AP$21)</f>
        <v>0</v>
      </c>
      <c r="AQ23" s="265">
        <f>COUNTIFS(Fact_Subject_Grade!$G:$G,"Bam",Fact_Subject_Grade!$H:$H,AQ$21)</f>
        <v>0</v>
      </c>
      <c r="AR23" s="265">
        <f>COUNTIFS(Fact_Subject_Grade!$G:$G,"Bam",Fact_Subject_Grade!$H:$H,AR$21)</f>
        <v>0</v>
      </c>
      <c r="AS23" s="268">
        <f t="shared" ref="AS23:AS36" si="3">SUM(AL23:AR23)</f>
        <v>0</v>
      </c>
      <c r="AT23" s="272" t="str">
        <f>IFERROR((SUMPRODUCT(AL23:AR23,{5,4,3,2,1,0.5,0})/(AS23*5))*100,"")</f>
        <v/>
      </c>
      <c r="AU23" s="275">
        <f t="shared" ref="AU23:AU36" si="4">SUM(AO23:AR23)</f>
        <v>0</v>
      </c>
      <c r="AV23" s="271" t="str">
        <f>IFERROR(SUMPRODUCT(AL23:AR23,{1,2,3,4,5,6,7})/AS23,"")</f>
        <v/>
      </c>
      <c r="AW23" s="277" t="str">
        <f t="shared" si="2"/>
        <v/>
      </c>
    </row>
    <row r="24" spans="1:49" x14ac:dyDescent="0.3">
      <c r="A24" s="284" t="s">
        <v>114</v>
      </c>
      <c r="B24" s="296">
        <v>2026</v>
      </c>
      <c r="C24" s="285">
        <v>20130246235</v>
      </c>
      <c r="D24" s="297" t="s">
        <v>902</v>
      </c>
      <c r="E24" s="298" t="s">
        <v>40</v>
      </c>
      <c r="F24" s="298" t="s">
        <v>41</v>
      </c>
      <c r="G24" s="298" t="s">
        <v>8</v>
      </c>
      <c r="H24" s="93" cm="1">
        <f t="array" ref="H2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24" s="298" t="str">
        <f t="shared" si="1"/>
        <v>I</v>
      </c>
      <c r="J24" s="296" t="s">
        <v>94</v>
      </c>
      <c r="K24" s="296" t="s">
        <v>6</v>
      </c>
      <c r="L24" s="296"/>
      <c r="M24" s="298" t="s">
        <v>5</v>
      </c>
      <c r="N24" s="296" t="s">
        <v>3</v>
      </c>
      <c r="O24" s="298" t="s">
        <v>2</v>
      </c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6">
        <f t="array" ref="Z24">SUM(IF(K24:Y24="A",1,0), IF(K24:Y24="B",2,0), IF(K24:Y24="C",3,0), IF(K24:Y24="D",4,0), IF(K24:Y24="E",5,0), IF(K24:Y24="S",6,0), IF(K24:Y24="F",7,0))</f>
        <v>12</v>
      </c>
      <c r="AA24" s="289" t="str">
        <f>_xlfn.XLOOKUP(F6Results_2026[[#This Row],[Full_Name]],tblF42023[FULL_NAME],tblF42023[POINTS],"",0,1)</f>
        <v/>
      </c>
      <c r="AB24" s="289" t="str">
        <f>_xlfn.XLOOKUP(F6Results_2026[[#This Row],[Full_Name]],tblF42023[FULL_NAME],tblF42023[DIVISION],"",0,1)</f>
        <v/>
      </c>
      <c r="AC24" s="289" t="str">
        <f>_xlfn.XLOOKUP(F6Results_2026[[#This Row],[Full_Name]],tblF42023[FULL_NAME],tblF42023[POINTS],"",0,1)</f>
        <v/>
      </c>
      <c r="AD24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24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24" s="299" t="str">
        <f>_xlfn.XLOOKUP(F6Results_2026[[#This Row],[Full_Name]],tblF22021[FULL_NAME],tblF22021[POINTS],"",0,1)</f>
        <v/>
      </c>
      <c r="AG24" s="299" t="str">
        <f>_xlfn.XLOOKUP(F6Results_2026[[#This Row],[Full_Name]],tblF42023[FULL_NAME],tblF42023[DIVISION],"",0,1)</f>
        <v/>
      </c>
      <c r="AH24" s="300" t="str">
        <f>_xlfn.XLOOKUP(F6Results_2026[[#This Row],[Full_Name]],tblF42023[FULL_NAME],tblF42023[TOTAL A''S],"",0,1)</f>
        <v/>
      </c>
      <c r="AI24" s="259"/>
      <c r="AK24" s="262" t="s">
        <v>408</v>
      </c>
      <c r="AL24" s="269">
        <f>COUNTIFS(Fact_Subject_Grade!$G:$G,"Hist",Fact_Subject_Grade!$H:$H,AL$21)</f>
        <v>1</v>
      </c>
      <c r="AM24" s="265">
        <f>COUNTIFS(Fact_Subject_Grade!$G:$G,"Hist",Fact_Subject_Grade!$H:$H,AM$21)</f>
        <v>1</v>
      </c>
      <c r="AN24" s="265">
        <f>COUNTIFS(Fact_Subject_Grade!$G:$G,"Hist",Fact_Subject_Grade!$H:$H,AN$21)</f>
        <v>21</v>
      </c>
      <c r="AO24" s="265">
        <f>COUNTIFS(Fact_Subject_Grade!$G:$G,"Hist",Fact_Subject_Grade!$H:$H,AO$21)</f>
        <v>27</v>
      </c>
      <c r="AP24" s="265">
        <f>COUNTIFS(Fact_Subject_Grade!$G:$G,"Hist",Fact_Subject_Grade!$H:$H,AP$21)</f>
        <v>2</v>
      </c>
      <c r="AQ24" s="265">
        <f>COUNTIFS(Fact_Subject_Grade!$G:$G,"Hist",Fact_Subject_Grade!$H:$H,AQ$21)</f>
        <v>0</v>
      </c>
      <c r="AR24" s="265">
        <f>COUNTIFS(Fact_Subject_Grade!$G:$G,"Hist",Fact_Subject_Grade!$H:$H,AR$21)</f>
        <v>0</v>
      </c>
      <c r="AS24" s="268">
        <f t="shared" si="3"/>
        <v>52</v>
      </c>
      <c r="AT24" s="272">
        <f>IFERROR((SUMPRODUCT(AL24:AR24,{5,4,3,2,1,0.5,0})/(AS24*5))*100,"")</f>
        <v>49.230769230769234</v>
      </c>
      <c r="AU24" s="275">
        <f t="shared" si="4"/>
        <v>29</v>
      </c>
      <c r="AV24" s="271">
        <f>IFERROR(SUMPRODUCT(AL24:AR24,{1,2,3,4,5,6,7})/AS24,"")</f>
        <v>3.5384615384615383</v>
      </c>
      <c r="AW24" s="277" t="str">
        <f t="shared" ref="AW24:AW36" si="5">IF(AV24="","",IF(AV24&lt;=1.4999,"A-EXCELLENT",IF(AV24&lt;=2.4999,"B-VERY GOOD",IF(AV24&lt;=3.4999,"C-GOOD",IF(AV24&lt;=4.4999,"D-AVERAGE",IF(AV24&lt;=5.4999,"E-SATISFACTORY",IF(AV24&lt;=6.4999,"S-SUBSIDIARY",IF(AV24&lt;=7,"F-FAIL",""))))))))</f>
        <v>D-AVERAGE</v>
      </c>
    </row>
    <row r="25" spans="1:49" x14ac:dyDescent="0.3">
      <c r="A25" s="284" t="s">
        <v>217</v>
      </c>
      <c r="B25" s="296">
        <v>2026</v>
      </c>
      <c r="C25" s="285">
        <v>20130253069</v>
      </c>
      <c r="D25" s="297" t="s">
        <v>218</v>
      </c>
      <c r="E25" s="298" t="s">
        <v>194</v>
      </c>
      <c r="F25" s="298" t="s">
        <v>896</v>
      </c>
      <c r="G25" s="298" t="s">
        <v>84</v>
      </c>
      <c r="H25" s="93" cm="1">
        <f t="array" ref="H2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25" s="298" t="str">
        <f t="shared" si="1"/>
        <v>III</v>
      </c>
      <c r="J25" s="296" t="s">
        <v>42</v>
      </c>
      <c r="K25" s="296" t="s">
        <v>6</v>
      </c>
      <c r="L25" s="296"/>
      <c r="M25" s="298"/>
      <c r="N25" s="298"/>
      <c r="O25" s="298"/>
      <c r="P25" s="298"/>
      <c r="Q25" s="298" t="s">
        <v>6</v>
      </c>
      <c r="R25" s="298" t="s">
        <v>8</v>
      </c>
      <c r="S25" s="298"/>
      <c r="T25" s="298"/>
      <c r="U25" s="298" t="s">
        <v>5</v>
      </c>
      <c r="V25" s="298"/>
      <c r="W25" s="298"/>
      <c r="X25" s="298"/>
      <c r="Y25" s="298"/>
      <c r="Z25" s="296">
        <f t="array" ref="Z25">SUM(IF(K25:Y25="A",1,0), IF(K25:Y25="B",2,0), IF(K25:Y25="C",3,0), IF(K25:Y25="D",4,0), IF(K25:Y25="E",5,0), IF(K25:Y25="S",6,0), IF(K25:Y25="F",7,0))</f>
        <v>21</v>
      </c>
      <c r="AA25" s="289">
        <f>_xlfn.XLOOKUP(F6Results_2026[[#This Row],[Full_Name]],tblF42023[FULL_NAME],tblF42023[POINTS],"",0,1)</f>
        <v>7</v>
      </c>
      <c r="AB25" s="289" t="str">
        <f>_xlfn.XLOOKUP(F6Results_2026[[#This Row],[Full_Name]],tblF42023[FULL_NAME],tblF42023[DIVISION],"",0,1)</f>
        <v>I</v>
      </c>
      <c r="AC25" s="289">
        <f>_xlfn.XLOOKUP(F6Results_2026[[#This Row],[Full_Name]],tblF42023[FULL_NAME],tblF42023[POINTS],"",0,1)</f>
        <v>7</v>
      </c>
      <c r="AD2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2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25" s="299">
        <f>_xlfn.XLOOKUP(F6Results_2026[[#This Row],[Full_Name]],tblF22021[FULL_NAME],tblF22021[POINTS],"",0,1)</f>
        <v>7</v>
      </c>
      <c r="AG25" s="299" t="str">
        <f>_xlfn.XLOOKUP(F6Results_2026[[#This Row],[Full_Name]],tblF42023[FULL_NAME],tblF42023[DIVISION],"",0,1)</f>
        <v>I</v>
      </c>
      <c r="AH25" s="300">
        <f>_xlfn.XLOOKUP(F6Results_2026[[#This Row],[Full_Name]],tblF42023[FULL_NAME],tblF42023[TOTAL A''S],"",0,1)</f>
        <v>7</v>
      </c>
      <c r="AI25" s="259"/>
      <c r="AK25" s="262" t="s">
        <v>409</v>
      </c>
      <c r="AL25" s="269">
        <f>COUNTIFS(Fact_Subject_Grade!$G:$G,"Geo",Fact_Subject_Grade!$H:$H,AL$21)</f>
        <v>3</v>
      </c>
      <c r="AM25" s="265">
        <f>COUNTIFS(Fact_Subject_Grade!$G:$G,"Geo",Fact_Subject_Grade!$H:$H,AM$21)</f>
        <v>18</v>
      </c>
      <c r="AN25" s="265">
        <f>COUNTIFS(Fact_Subject_Grade!$G:$G,"Geo",Fact_Subject_Grade!$H:$H,AN$21)</f>
        <v>39</v>
      </c>
      <c r="AO25" s="265">
        <f>COUNTIFS(Fact_Subject_Grade!$G:$G,"Geo",Fact_Subject_Grade!$H:$H,AO$21)</f>
        <v>16</v>
      </c>
      <c r="AP25" s="265">
        <f>COUNTIFS(Fact_Subject_Grade!$G:$G,"Geo",Fact_Subject_Grade!$H:$H,AP$21)</f>
        <v>3</v>
      </c>
      <c r="AQ25" s="265">
        <f>COUNTIFS(Fact_Subject_Grade!$G:$G,"Geo",Fact_Subject_Grade!$H:$H,AQ$21)</f>
        <v>0</v>
      </c>
      <c r="AR25" s="265">
        <f>COUNTIFS(Fact_Subject_Grade!$G:$G,"Geo",Fact_Subject_Grade!$H:$H,AR$21)</f>
        <v>0</v>
      </c>
      <c r="AS25" s="268">
        <f t="shared" si="3"/>
        <v>79</v>
      </c>
      <c r="AT25" s="272">
        <f>IFERROR((SUMPRODUCT(AL25:AR25,{5,4,3,2,1,0.5,0})/(AS25*5))*100,"")</f>
        <v>60.506329113924053</v>
      </c>
      <c r="AU25" s="275">
        <f t="shared" si="4"/>
        <v>19</v>
      </c>
      <c r="AV25" s="271">
        <f>IFERROR(SUMPRODUCT(AL25:AR25,{1,2,3,4,5,6,7})/AS25,"")</f>
        <v>2.9746835443037973</v>
      </c>
      <c r="AW25" s="277" t="str">
        <f t="shared" si="5"/>
        <v>C-GOOD</v>
      </c>
    </row>
    <row r="26" spans="1:49" x14ac:dyDescent="0.3">
      <c r="A26" s="284" t="s">
        <v>215</v>
      </c>
      <c r="B26" s="296">
        <v>2026</v>
      </c>
      <c r="C26" s="285">
        <v>20130267516</v>
      </c>
      <c r="D26" s="297" t="s">
        <v>216</v>
      </c>
      <c r="E26" s="296" t="s">
        <v>194</v>
      </c>
      <c r="F26" s="296" t="s">
        <v>896</v>
      </c>
      <c r="G26" s="296" t="s">
        <v>84</v>
      </c>
      <c r="H26" s="93" cm="1">
        <f t="array" ref="H2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26" s="298" t="str">
        <f t="shared" si="1"/>
        <v>II</v>
      </c>
      <c r="J26" s="296" t="s">
        <v>42</v>
      </c>
      <c r="K26" s="298" t="s">
        <v>7</v>
      </c>
      <c r="L26" s="298"/>
      <c r="M26" s="296"/>
      <c r="N26" s="296"/>
      <c r="O26" s="296"/>
      <c r="P26" s="296"/>
      <c r="Q26" s="296" t="s">
        <v>6</v>
      </c>
      <c r="R26" s="296" t="s">
        <v>4</v>
      </c>
      <c r="S26" s="296"/>
      <c r="T26" s="296"/>
      <c r="U26" s="296" t="s">
        <v>4</v>
      </c>
      <c r="V26" s="296"/>
      <c r="W26" s="296"/>
      <c r="X26" s="296"/>
      <c r="Y26" s="296"/>
      <c r="Z26" s="296">
        <f t="array" ref="Z26">SUM(IF(K26:Y26="A",1,0), IF(K26:Y26="B",2,0), IF(K26:Y26="C",3,0), IF(K26:Y26="D",4,0), IF(K26:Y26="E",5,0), IF(K26:Y26="S",6,0), IF(K26:Y26="F",7,0))</f>
        <v>17</v>
      </c>
      <c r="AA26" s="289">
        <f>_xlfn.XLOOKUP(F6Results_2026[[#This Row],[Full_Name]],tblF42023[FULL_NAME],tblF42023[POINTS],"",0,1)</f>
        <v>8</v>
      </c>
      <c r="AB26" s="289" t="str">
        <f>_xlfn.XLOOKUP(F6Results_2026[[#This Row],[Full_Name]],tblF42023[FULL_NAME],tblF42023[DIVISION],"",0,1)</f>
        <v>I</v>
      </c>
      <c r="AC26" s="289">
        <f>_xlfn.XLOOKUP(F6Results_2026[[#This Row],[Full_Name]],tblF42023[FULL_NAME],tblF42023[POINTS],"",0,1)</f>
        <v>8</v>
      </c>
      <c r="AD26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26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26" s="299">
        <f>_xlfn.XLOOKUP(F6Results_2026[[#This Row],[Full_Name]],tblF22021[FULL_NAME],tblF22021[POINTS],"",0,1)</f>
        <v>7</v>
      </c>
      <c r="AG26" s="299" t="str">
        <f>_xlfn.XLOOKUP(F6Results_2026[[#This Row],[Full_Name]],tblF42023[FULL_NAME],tblF42023[DIVISION],"",0,1)</f>
        <v>I</v>
      </c>
      <c r="AH26" s="300">
        <f>_xlfn.XLOOKUP(F6Results_2026[[#This Row],[Full_Name]],tblF42023[FULL_NAME],tblF42023[TOTAL A''S],"",0,1)</f>
        <v>6</v>
      </c>
      <c r="AI26" s="259"/>
      <c r="AK26" s="262" t="s">
        <v>410</v>
      </c>
      <c r="AL26" s="269">
        <f>COUNTIFS(Fact_Subject_Grade!$G:$G,"Kisw",Fact_Subject_Grade!$H:$H,AL$21)</f>
        <v>28</v>
      </c>
      <c r="AM26" s="265">
        <f>COUNTIFS(Fact_Subject_Grade!$G:$G,"Kisw",Fact_Subject_Grade!$H:$H,AM$21)</f>
        <v>0</v>
      </c>
      <c r="AN26" s="265">
        <f>COUNTIFS(Fact_Subject_Grade!$G:$G,"Kisw",Fact_Subject_Grade!$H:$H,AN$21)</f>
        <v>0</v>
      </c>
      <c r="AO26" s="265">
        <f>COUNTIFS(Fact_Subject_Grade!$G:$G,"Kisw",Fact_Subject_Grade!$H:$H,AO$21)</f>
        <v>0</v>
      </c>
      <c r="AP26" s="265">
        <f>COUNTIFS(Fact_Subject_Grade!$G:$G,"Kisw",Fact_Subject_Grade!$H:$H,AP$21)</f>
        <v>0</v>
      </c>
      <c r="AQ26" s="265">
        <f>COUNTIFS(Fact_Subject_Grade!$G:$G,"Kisw",Fact_Subject_Grade!$H:$H,AQ$21)</f>
        <v>0</v>
      </c>
      <c r="AR26" s="265">
        <f>COUNTIFS(Fact_Subject_Grade!$G:$G,"Kisw",Fact_Subject_Grade!$H:$H,AR$21)</f>
        <v>0</v>
      </c>
      <c r="AS26" s="268">
        <f t="shared" si="3"/>
        <v>28</v>
      </c>
      <c r="AT26" s="272">
        <f>IFERROR((SUMPRODUCT(AL26:AR26,{5,4,3,2,1,0.5,0})/(AS26*5))*100,"")</f>
        <v>100</v>
      </c>
      <c r="AU26" s="275">
        <f t="shared" si="4"/>
        <v>0</v>
      </c>
      <c r="AV26" s="271">
        <f>IFERROR(SUMPRODUCT(AL26:AR26,{1,2,3,4,5,6,7})/AS26,"")</f>
        <v>1</v>
      </c>
      <c r="AW26" s="277" t="str">
        <f t="shared" si="5"/>
        <v>A-EXCELLENT</v>
      </c>
    </row>
    <row r="27" spans="1:49" x14ac:dyDescent="0.3">
      <c r="A27" s="284" t="s">
        <v>172</v>
      </c>
      <c r="B27" s="296">
        <v>2026</v>
      </c>
      <c r="C27" s="285">
        <v>20130269960</v>
      </c>
      <c r="D27" s="297" t="s">
        <v>173</v>
      </c>
      <c r="E27" s="296" t="s">
        <v>139</v>
      </c>
      <c r="F27" s="296" t="s">
        <v>895</v>
      </c>
      <c r="G27" s="296" t="s">
        <v>84</v>
      </c>
      <c r="H27" s="93" cm="1">
        <f t="array" ref="H2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27" s="298" t="str">
        <f t="shared" si="1"/>
        <v>II</v>
      </c>
      <c r="J27" s="296" t="s">
        <v>42</v>
      </c>
      <c r="K27" s="298" t="s">
        <v>6</v>
      </c>
      <c r="L27" s="298"/>
      <c r="M27" s="296"/>
      <c r="N27" s="296" t="s">
        <v>3</v>
      </c>
      <c r="O27" s="296"/>
      <c r="P27" s="296"/>
      <c r="Q27" s="296"/>
      <c r="R27" s="296"/>
      <c r="S27" s="296"/>
      <c r="T27" s="296"/>
      <c r="U27" s="296" t="s">
        <v>6</v>
      </c>
      <c r="V27" s="296"/>
      <c r="W27" s="296" t="s">
        <v>4</v>
      </c>
      <c r="X27" s="296"/>
      <c r="Y27" s="296"/>
      <c r="Z27" s="296">
        <f t="array" ref="Z27">SUM(IF(K27:Y27="A",1,0), IF(K27:Y27="B",2,0), IF(K27:Y27="C",3,0), IF(K27:Y27="D",4,0), IF(K27:Y27="E",5,0), IF(K27:Y27="S",6,0), IF(K27:Y27="F",7,0))</f>
        <v>15</v>
      </c>
      <c r="AA27" s="289">
        <f>_xlfn.XLOOKUP(F6Results_2026[[#This Row],[Full_Name]],tblF42023[FULL_NAME],tblF42023[POINTS],"",0,1)</f>
        <v>11</v>
      </c>
      <c r="AB27" s="289" t="str">
        <f>_xlfn.XLOOKUP(F6Results_2026[[#This Row],[Full_Name]],tblF42023[FULL_NAME],tblF42023[DIVISION],"",0,1)</f>
        <v>I</v>
      </c>
      <c r="AC27" s="289">
        <f>_xlfn.XLOOKUP(F6Results_2026[[#This Row],[Full_Name]],tblF42023[FULL_NAME],tblF42023[POINTS],"",0,1)</f>
        <v>11</v>
      </c>
      <c r="AD27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2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27" s="299">
        <f>_xlfn.XLOOKUP(F6Results_2026[[#This Row],[Full_Name]],tblF22021[FULL_NAME],tblF22021[POINTS],"",0,1)</f>
        <v>7</v>
      </c>
      <c r="AG27" s="299" t="str">
        <f>_xlfn.XLOOKUP(F6Results_2026[[#This Row],[Full_Name]],tblF42023[FULL_NAME],tblF42023[DIVISION],"",0,1)</f>
        <v>I</v>
      </c>
      <c r="AH27" s="300">
        <f>_xlfn.XLOOKUP(F6Results_2026[[#This Row],[Full_Name]],tblF42023[FULL_NAME],tblF42023[TOTAL A''S],"",0,1)</f>
        <v>3</v>
      </c>
      <c r="AI27" s="259"/>
      <c r="AK27" s="262" t="s">
        <v>411</v>
      </c>
      <c r="AL27" s="269">
        <f>COUNTIFS(Fact_Subject_Grade!$G:$G,"Engl",Fact_Subject_Grade!$H:$H,AL$21)</f>
        <v>0</v>
      </c>
      <c r="AM27" s="265">
        <f>COUNTIFS(Fact_Subject_Grade!$G:$G,"Engl",Fact_Subject_Grade!$H:$H,AM$21)</f>
        <v>4</v>
      </c>
      <c r="AN27" s="265">
        <f>COUNTIFS(Fact_Subject_Grade!$G:$G,"Engl",Fact_Subject_Grade!$H:$H,AN$21)</f>
        <v>7</v>
      </c>
      <c r="AO27" s="265">
        <f>COUNTIFS(Fact_Subject_Grade!$G:$G,"Engl",Fact_Subject_Grade!$H:$H,AO$21)</f>
        <v>12</v>
      </c>
      <c r="AP27" s="265">
        <f>COUNTIFS(Fact_Subject_Grade!$G:$G,"Engl",Fact_Subject_Grade!$H:$H,AP$21)</f>
        <v>1</v>
      </c>
      <c r="AQ27" s="265">
        <f>COUNTIFS(Fact_Subject_Grade!$G:$G,"Engl",Fact_Subject_Grade!$H:$H,AQ$21)</f>
        <v>0</v>
      </c>
      <c r="AR27" s="265">
        <f>COUNTIFS(Fact_Subject_Grade!$G:$G,"Engl",Fact_Subject_Grade!$H:$H,AR$21)</f>
        <v>0</v>
      </c>
      <c r="AS27" s="268">
        <f t="shared" si="3"/>
        <v>24</v>
      </c>
      <c r="AT27" s="272">
        <f>IFERROR((SUMPRODUCT(AL27:AR27,{5,4,3,2,1,0.5,0})/(AS27*5))*100,"")</f>
        <v>51.666666666666671</v>
      </c>
      <c r="AU27" s="275">
        <f t="shared" si="4"/>
        <v>13</v>
      </c>
      <c r="AV27" s="271">
        <f>IFERROR(SUMPRODUCT(AL27:AR27,{1,2,3,4,5,6,7})/AS27,"")</f>
        <v>3.4166666666666665</v>
      </c>
      <c r="AW27" s="277" t="str">
        <f t="shared" si="5"/>
        <v>C-GOOD</v>
      </c>
    </row>
    <row r="28" spans="1:49" x14ac:dyDescent="0.3">
      <c r="A28" s="286" t="s">
        <v>231</v>
      </c>
      <c r="B28" s="296">
        <v>2026</v>
      </c>
      <c r="C28" s="93">
        <v>20130282968</v>
      </c>
      <c r="D28" s="297" t="s">
        <v>917</v>
      </c>
      <c r="E28" s="296" t="s">
        <v>194</v>
      </c>
      <c r="F28" s="296" t="s">
        <v>896</v>
      </c>
      <c r="G28" s="296" t="s">
        <v>84</v>
      </c>
      <c r="H28" s="93" cm="1">
        <f t="array" ref="H2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28" s="298" t="str">
        <f t="shared" si="1"/>
        <v>II</v>
      </c>
      <c r="J28" s="296" t="s">
        <v>94</v>
      </c>
      <c r="K28" s="298" t="s">
        <v>8</v>
      </c>
      <c r="L28" s="298"/>
      <c r="M28" s="296"/>
      <c r="N28" s="296"/>
      <c r="O28" s="296"/>
      <c r="P28" s="296"/>
      <c r="Q28" s="296" t="s">
        <v>4</v>
      </c>
      <c r="R28" s="296" t="s">
        <v>5</v>
      </c>
      <c r="S28" s="296"/>
      <c r="T28" s="296"/>
      <c r="U28" s="296" t="s">
        <v>4</v>
      </c>
      <c r="V28" s="296"/>
      <c r="W28" s="296"/>
      <c r="X28" s="296"/>
      <c r="Y28" s="296"/>
      <c r="Z28" s="296">
        <f t="array" ref="Z28">SUM(IF(K28:Y28="A",1,0), IF(K28:Y28="B",2,0), IF(K28:Y28="C",3,0), IF(K28:Y28="D",4,0), IF(K28:Y28="E",5,0), IF(K28:Y28="S",6,0), IF(K28:Y28="F",7,0))</f>
        <v>17</v>
      </c>
      <c r="AA28" s="289" t="str">
        <f>_xlfn.XLOOKUP(F6Results_2026[[#This Row],[Full_Name]],tblF42023[FULL_NAME],tblF42023[POINTS],"",0,1)</f>
        <v/>
      </c>
      <c r="AB28" s="289" t="str">
        <f>_xlfn.XLOOKUP(F6Results_2026[[#This Row],[Full_Name]],tblF42023[FULL_NAME],tblF42023[DIVISION],"",0,1)</f>
        <v/>
      </c>
      <c r="AC28" s="289" t="str">
        <f>_xlfn.XLOOKUP(F6Results_2026[[#This Row],[Full_Name]],tblF42023[FULL_NAME],tblF42023[POINTS],"",0,1)</f>
        <v/>
      </c>
      <c r="AD2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2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28" s="299" t="str">
        <f>_xlfn.XLOOKUP(F6Results_2026[[#This Row],[Full_Name]],tblF22021[FULL_NAME],tblF22021[POINTS],"",0,1)</f>
        <v/>
      </c>
      <c r="AG28" s="299" t="str">
        <f>_xlfn.XLOOKUP(F6Results_2026[[#This Row],[Full_Name]],tblF42023[FULL_NAME],tblF42023[DIVISION],"",0,1)</f>
        <v/>
      </c>
      <c r="AH28" s="300" t="str">
        <f>_xlfn.XLOOKUP(F6Results_2026[[#This Row],[Full_Name]],tblF42023[FULL_NAME],tblF42023[TOTAL A''S],"",0,1)</f>
        <v/>
      </c>
      <c r="AI28" s="259"/>
      <c r="AK28" s="262" t="s">
        <v>412</v>
      </c>
      <c r="AL28" s="269">
        <f>COUNTIFS(Fact_Subject_Grade!$G:$G,"Phy",Fact_Subject_Grade!$H:$H,AL$21)</f>
        <v>0</v>
      </c>
      <c r="AM28" s="265">
        <f>COUNTIFS(Fact_Subject_Grade!$G:$G,"Phy",Fact_Subject_Grade!$H:$H,AM$21)</f>
        <v>0</v>
      </c>
      <c r="AN28" s="265">
        <f>COUNTIFS(Fact_Subject_Grade!$G:$G,"Phy",Fact_Subject_Grade!$H:$H,AN$21)</f>
        <v>15</v>
      </c>
      <c r="AO28" s="265">
        <f>COUNTIFS(Fact_Subject_Grade!$G:$G,"Phy",Fact_Subject_Grade!$H:$H,AO$21)</f>
        <v>22</v>
      </c>
      <c r="AP28" s="265">
        <f>COUNTIFS(Fact_Subject_Grade!$G:$G,"Phy",Fact_Subject_Grade!$H:$H,AP$21)</f>
        <v>22</v>
      </c>
      <c r="AQ28" s="265">
        <f>COUNTIFS(Fact_Subject_Grade!$G:$G,"Phy",Fact_Subject_Grade!$H:$H,AQ$21)</f>
        <v>6</v>
      </c>
      <c r="AR28" s="265">
        <f>COUNTIFS(Fact_Subject_Grade!$G:$G,"Phy",Fact_Subject_Grade!$H:$H,AR$21)</f>
        <v>16</v>
      </c>
      <c r="AS28" s="268">
        <f t="shared" si="3"/>
        <v>81</v>
      </c>
      <c r="AT28" s="272">
        <f>IFERROR((SUMPRODUCT(AL28:AR28,{5,4,3,2,1,0.5,0})/(AS28*5))*100,"")</f>
        <v>28.148148148148149</v>
      </c>
      <c r="AU28" s="275">
        <f t="shared" si="4"/>
        <v>66</v>
      </c>
      <c r="AV28" s="271">
        <f>IFERROR(SUMPRODUCT(AL28:AR28,{1,2,3,4,5,6,7})/AS28,"")</f>
        <v>4.8271604938271606</v>
      </c>
      <c r="AW28" s="277" t="str">
        <f t="shared" si="5"/>
        <v>E-SATISFACTORY</v>
      </c>
    </row>
    <row r="29" spans="1:49" x14ac:dyDescent="0.3">
      <c r="A29" s="284" t="s">
        <v>317</v>
      </c>
      <c r="B29" s="296">
        <v>2026</v>
      </c>
      <c r="C29" s="285">
        <v>20130285592</v>
      </c>
      <c r="D29" s="297" t="s">
        <v>318</v>
      </c>
      <c r="E29" s="298" t="s">
        <v>304</v>
      </c>
      <c r="F29" s="298" t="s">
        <v>895</v>
      </c>
      <c r="G29" s="298" t="s">
        <v>84</v>
      </c>
      <c r="H29" s="93" cm="1">
        <f t="array" ref="H2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18</v>
      </c>
      <c r="I29" s="298" t="str">
        <f t="shared" si="1"/>
        <v>IV</v>
      </c>
      <c r="J29" s="296" t="s">
        <v>42</v>
      </c>
      <c r="K29" s="296" t="s">
        <v>6</v>
      </c>
      <c r="L29" s="296" t="s">
        <v>8</v>
      </c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 t="s">
        <v>8</v>
      </c>
      <c r="X29" s="298" t="s">
        <v>8</v>
      </c>
      <c r="Y29" s="298" t="s">
        <v>5</v>
      </c>
      <c r="Z29" s="296">
        <f t="array" ref="Z29">SUM(IF(K29:Y29="A",1,0), IF(K29:Y29="B",2,0), IF(K29:Y29="C",3,0), IF(K29:Y29="D",4,0), IF(K29:Y29="E",5,0), IF(K29:Y29="S",6,0), IF(K29:Y29="F",7,0))</f>
        <v>30</v>
      </c>
      <c r="AA29" s="289">
        <f>_xlfn.XLOOKUP(F6Results_2026[[#This Row],[Full_Name]],tblF42023[FULL_NAME],tblF42023[POINTS],"",0,1)</f>
        <v>10</v>
      </c>
      <c r="AB29" s="289" t="str">
        <f>_xlfn.XLOOKUP(F6Results_2026[[#This Row],[Full_Name]],tblF42023[FULL_NAME],tblF42023[DIVISION],"",0,1)</f>
        <v>I</v>
      </c>
      <c r="AC29" s="289">
        <f>_xlfn.XLOOKUP(F6Results_2026[[#This Row],[Full_Name]],tblF42023[FULL_NAME],tblF42023[POINTS],"",0,1)</f>
        <v>10</v>
      </c>
      <c r="AD29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29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29" s="299">
        <f>_xlfn.XLOOKUP(F6Results_2026[[#This Row],[Full_Name]],tblF22021[FULL_NAME],tblF22021[POINTS],"",0,1)</f>
        <v>8</v>
      </c>
      <c r="AG29" s="299" t="str">
        <f>_xlfn.XLOOKUP(F6Results_2026[[#This Row],[Full_Name]],tblF42023[FULL_NAME],tblF42023[DIVISION],"",0,1)</f>
        <v>I</v>
      </c>
      <c r="AH29" s="300">
        <f>_xlfn.XLOOKUP(F6Results_2026[[#This Row],[Full_Name]],tblF42023[FULL_NAME],tblF42023[TOTAL A''S],"",0,1)</f>
        <v>4</v>
      </c>
      <c r="AI29" s="259"/>
      <c r="AK29" s="262" t="s">
        <v>413</v>
      </c>
      <c r="AL29" s="269">
        <f>COUNTIFS(Fact_Subject_Grade!$G:$G,"Chem",Fact_Subject_Grade!$H:$H,AL$21)</f>
        <v>0</v>
      </c>
      <c r="AM29" s="265">
        <f>COUNTIFS(Fact_Subject_Grade!$G:$G,"Chem",Fact_Subject_Grade!$H:$H,AM$21)</f>
        <v>0</v>
      </c>
      <c r="AN29" s="265">
        <f>COUNTIFS(Fact_Subject_Grade!$G:$G,"Chem",Fact_Subject_Grade!$H:$H,AN$21)</f>
        <v>42</v>
      </c>
      <c r="AO29" s="265">
        <f>COUNTIFS(Fact_Subject_Grade!$G:$G,"Chem",Fact_Subject_Grade!$H:$H,AO$21)</f>
        <v>28</v>
      </c>
      <c r="AP29" s="265">
        <f>COUNTIFS(Fact_Subject_Grade!$G:$G,"Chem",Fact_Subject_Grade!$H:$H,AP$21)</f>
        <v>8</v>
      </c>
      <c r="AQ29" s="265">
        <f>COUNTIFS(Fact_Subject_Grade!$G:$G,"Chem",Fact_Subject_Grade!$H:$H,AQ$21)</f>
        <v>0</v>
      </c>
      <c r="AR29" s="265">
        <f>COUNTIFS(Fact_Subject_Grade!$G:$G,"Chem",Fact_Subject_Grade!$H:$H,AR$21)</f>
        <v>12</v>
      </c>
      <c r="AS29" s="268">
        <f t="shared" si="3"/>
        <v>90</v>
      </c>
      <c r="AT29" s="272">
        <f>IFERROR((SUMPRODUCT(AL29:AR29,{5,4,3,2,1,0.5,0})/(AS29*5))*100,"")</f>
        <v>42.222222222222221</v>
      </c>
      <c r="AU29" s="275">
        <f t="shared" si="4"/>
        <v>48</v>
      </c>
      <c r="AV29" s="271">
        <f>IFERROR(SUMPRODUCT(AL29:AR29,{1,2,3,4,5,6,7})/AS29,"")</f>
        <v>4.0222222222222221</v>
      </c>
      <c r="AW29" s="277" t="str">
        <f t="shared" si="5"/>
        <v>D-AVERAGE</v>
      </c>
    </row>
    <row r="30" spans="1:49" x14ac:dyDescent="0.3">
      <c r="A30" s="284" t="s">
        <v>166</v>
      </c>
      <c r="B30" s="296">
        <v>2026</v>
      </c>
      <c r="C30" s="285">
        <v>20130285593</v>
      </c>
      <c r="D30" s="297" t="s">
        <v>167</v>
      </c>
      <c r="E30" s="298" t="s">
        <v>139</v>
      </c>
      <c r="F30" s="298" t="s">
        <v>895</v>
      </c>
      <c r="G30" s="298" t="s">
        <v>84</v>
      </c>
      <c r="H30" s="93" cm="1">
        <f t="array" ref="H3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30" s="298" t="str">
        <f t="shared" si="1"/>
        <v>II</v>
      </c>
      <c r="J30" s="296" t="s">
        <v>42</v>
      </c>
      <c r="K30" s="296" t="s">
        <v>8</v>
      </c>
      <c r="L30" s="296"/>
      <c r="M30" s="298"/>
      <c r="N30" s="298" t="s">
        <v>3</v>
      </c>
      <c r="O30" s="298"/>
      <c r="P30" s="298"/>
      <c r="Q30" s="298"/>
      <c r="R30" s="298"/>
      <c r="S30" s="298"/>
      <c r="T30" s="298"/>
      <c r="U30" s="298" t="s">
        <v>6</v>
      </c>
      <c r="V30" s="298"/>
      <c r="W30" s="298" t="s">
        <v>5</v>
      </c>
      <c r="X30" s="298"/>
      <c r="Y30" s="298"/>
      <c r="Z30" s="296">
        <f t="array" ref="Z30">SUM(IF(K30:Y30="A",1,0), IF(K30:Y30="B",2,0), IF(K30:Y30="C",3,0), IF(K30:Y30="D",4,0), IF(K30:Y30="E",5,0), IF(K30:Y30="S",6,0), IF(K30:Y30="F",7,0))</f>
        <v>18</v>
      </c>
      <c r="AA30" s="289">
        <f>_xlfn.XLOOKUP(F6Results_2026[[#This Row],[Full_Name]],tblF42023[FULL_NAME],tblF42023[POINTS],"",0,1)</f>
        <v>12</v>
      </c>
      <c r="AB30" s="289" t="str">
        <f>_xlfn.XLOOKUP(F6Results_2026[[#This Row],[Full_Name]],tblF42023[FULL_NAME],tblF42023[DIVISION],"",0,1)</f>
        <v>I</v>
      </c>
      <c r="AC30" s="289">
        <f>_xlfn.XLOOKUP(F6Results_2026[[#This Row],[Full_Name]],tblF42023[FULL_NAME],tblF42023[POINTS],"",0,1)</f>
        <v>12</v>
      </c>
      <c r="AD30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30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0" s="299">
        <f>_xlfn.XLOOKUP(F6Results_2026[[#This Row],[Full_Name]],tblF22021[FULL_NAME],tblF22021[POINTS],"",0,1)</f>
        <v>9</v>
      </c>
      <c r="AG30" s="299" t="str">
        <f>_xlfn.XLOOKUP(F6Results_2026[[#This Row],[Full_Name]],tblF42023[FULL_NAME],tblF42023[DIVISION],"",0,1)</f>
        <v>I</v>
      </c>
      <c r="AH30" s="300">
        <f>_xlfn.XLOOKUP(F6Results_2026[[#This Row],[Full_Name]],tblF42023[FULL_NAME],tblF42023[TOTAL A''S],"",0,1)</f>
        <v>3</v>
      </c>
      <c r="AI30" s="259"/>
      <c r="AK30" s="262" t="s">
        <v>414</v>
      </c>
      <c r="AL30" s="269">
        <f>COUNTIFS(Fact_Subject_Grade!$G:$G,"Biol",Fact_Subject_Grade!$H:$H,AL$21)</f>
        <v>0</v>
      </c>
      <c r="AM30" s="265">
        <f>COUNTIFS(Fact_Subject_Grade!$G:$G,"Biol",Fact_Subject_Grade!$H:$H,AM$21)</f>
        <v>0</v>
      </c>
      <c r="AN30" s="265">
        <f>COUNTIFS(Fact_Subject_Grade!$G:$G,"Biol",Fact_Subject_Grade!$H:$H,AN$21)</f>
        <v>25</v>
      </c>
      <c r="AO30" s="265">
        <f>COUNTIFS(Fact_Subject_Grade!$G:$G,"Biol",Fact_Subject_Grade!$H:$H,AO$21)</f>
        <v>7</v>
      </c>
      <c r="AP30" s="265">
        <f>COUNTIFS(Fact_Subject_Grade!$G:$G,"Biol",Fact_Subject_Grade!$H:$H,AP$21)</f>
        <v>0</v>
      </c>
      <c r="AQ30" s="265">
        <f>COUNTIFS(Fact_Subject_Grade!$G:$G,"Biol",Fact_Subject_Grade!$H:$H,AQ$21)</f>
        <v>0</v>
      </c>
      <c r="AR30" s="265">
        <f>COUNTIFS(Fact_Subject_Grade!$G:$G,"Biol",Fact_Subject_Grade!$H:$H,AR$21)</f>
        <v>30</v>
      </c>
      <c r="AS30" s="268">
        <f t="shared" si="3"/>
        <v>62</v>
      </c>
      <c r="AT30" s="272">
        <f>IFERROR((SUMPRODUCT(AL30:AR30,{5,4,3,2,1,0.5,0})/(AS30*5))*100,"")</f>
        <v>28.70967741935484</v>
      </c>
      <c r="AU30" s="275">
        <f t="shared" si="4"/>
        <v>37</v>
      </c>
      <c r="AV30" s="271">
        <f>IFERROR(SUMPRODUCT(AL30:AR30,{1,2,3,4,5,6,7})/AS30,"")</f>
        <v>5.0483870967741939</v>
      </c>
      <c r="AW30" s="277" t="str">
        <f t="shared" si="5"/>
        <v>E-SATISFACTORY</v>
      </c>
    </row>
    <row r="31" spans="1:49" x14ac:dyDescent="0.3">
      <c r="A31" s="284" t="s">
        <v>168</v>
      </c>
      <c r="B31" s="296">
        <v>2026</v>
      </c>
      <c r="C31" s="285">
        <v>20130285595</v>
      </c>
      <c r="D31" s="297" t="s">
        <v>169</v>
      </c>
      <c r="E31" s="296" t="s">
        <v>139</v>
      </c>
      <c r="F31" s="296" t="s">
        <v>895</v>
      </c>
      <c r="G31" s="296" t="s">
        <v>84</v>
      </c>
      <c r="H31" s="93" cm="1">
        <f t="array" ref="H3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31" s="298" t="str">
        <f t="shared" si="1"/>
        <v>II</v>
      </c>
      <c r="J31" s="296" t="s">
        <v>42</v>
      </c>
      <c r="K31" s="298" t="s">
        <v>6</v>
      </c>
      <c r="L31" s="298"/>
      <c r="M31" s="296"/>
      <c r="N31" s="296" t="s">
        <v>4</v>
      </c>
      <c r="O31" s="296"/>
      <c r="P31" s="296"/>
      <c r="Q31" s="296"/>
      <c r="R31" s="296"/>
      <c r="S31" s="296"/>
      <c r="T31" s="296"/>
      <c r="U31" s="296" t="s">
        <v>6</v>
      </c>
      <c r="V31" s="296"/>
      <c r="W31" s="296" t="s">
        <v>4</v>
      </c>
      <c r="X31" s="296"/>
      <c r="Y31" s="296"/>
      <c r="Z31" s="296">
        <f t="array" ref="Z31">SUM(IF(K31:Y31="A",1,0), IF(K31:Y31="B",2,0), IF(K31:Y31="C",3,0), IF(K31:Y31="D",4,0), IF(K31:Y31="E",5,0), IF(K31:Y31="S",6,0), IF(K31:Y31="F",7,0))</f>
        <v>16</v>
      </c>
      <c r="AA31" s="289">
        <f>_xlfn.XLOOKUP(F6Results_2026[[#This Row],[Full_Name]],tblF42023[FULL_NAME],tblF42023[POINTS],"",0,1)</f>
        <v>11</v>
      </c>
      <c r="AB31" s="289" t="str">
        <f>_xlfn.XLOOKUP(F6Results_2026[[#This Row],[Full_Name]],tblF42023[FULL_NAME],tblF42023[DIVISION],"",0,1)</f>
        <v>I</v>
      </c>
      <c r="AC31" s="289">
        <f>_xlfn.XLOOKUP(F6Results_2026[[#This Row],[Full_Name]],tblF42023[FULL_NAME],tblF42023[POINTS],"",0,1)</f>
        <v>11</v>
      </c>
      <c r="AD31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3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1" s="299">
        <f>_xlfn.XLOOKUP(F6Results_2026[[#This Row],[Full_Name]],tblF22021[FULL_NAME],tblF22021[POINTS],"",0,1)</f>
        <v>7</v>
      </c>
      <c r="AG31" s="299" t="str">
        <f>_xlfn.XLOOKUP(F6Results_2026[[#This Row],[Full_Name]],tblF42023[FULL_NAME],tblF42023[DIVISION],"",0,1)</f>
        <v>I</v>
      </c>
      <c r="AH31" s="300">
        <f>_xlfn.XLOOKUP(F6Results_2026[[#This Row],[Full_Name]],tblF42023[FULL_NAME],tblF42023[TOTAL A''S],"",0,1)</f>
        <v>3</v>
      </c>
      <c r="AI31" s="259"/>
      <c r="AK31" s="262" t="s">
        <v>415</v>
      </c>
      <c r="AL31" s="269">
        <f>COUNTIFS(Fact_Subject_Grade!$G:$G,"Agr",Fact_Subject_Grade!$H:$H,AL$21)</f>
        <v>0</v>
      </c>
      <c r="AM31" s="265">
        <f>COUNTIFS(Fact_Subject_Grade!$G:$G,"Agr",Fact_Subject_Grade!$H:$H,AM$21)</f>
        <v>0</v>
      </c>
      <c r="AN31" s="265">
        <f>COUNTIFS(Fact_Subject_Grade!$G:$G,"Agr",Fact_Subject_Grade!$H:$H,AN$21)</f>
        <v>10</v>
      </c>
      <c r="AO31" s="265">
        <f>COUNTIFS(Fact_Subject_Grade!$G:$G,"Agr",Fact_Subject_Grade!$H:$H,AO$21)</f>
        <v>4</v>
      </c>
      <c r="AP31" s="265">
        <f>COUNTIFS(Fact_Subject_Grade!$G:$G,"Agr",Fact_Subject_Grade!$H:$H,AP$21)</f>
        <v>0</v>
      </c>
      <c r="AQ31" s="265">
        <f>COUNTIFS(Fact_Subject_Grade!$G:$G,"Agr",Fact_Subject_Grade!$H:$H,AQ$21)</f>
        <v>0</v>
      </c>
      <c r="AR31" s="265">
        <f>COUNTIFS(Fact_Subject_Grade!$G:$G,"Agr",Fact_Subject_Grade!$H:$H,AR$21)</f>
        <v>2</v>
      </c>
      <c r="AS31" s="268">
        <f t="shared" si="3"/>
        <v>16</v>
      </c>
      <c r="AT31" s="272">
        <f>IFERROR((SUMPRODUCT(AL31:AR31,{5,4,3,2,1,0.5,0})/(AS31*5))*100,"")</f>
        <v>47.5</v>
      </c>
      <c r="AU31" s="275">
        <f t="shared" si="4"/>
        <v>6</v>
      </c>
      <c r="AV31" s="271">
        <f>IFERROR(SUMPRODUCT(AL31:AR31,{1,2,3,4,5,6,7})/AS31,"")</f>
        <v>3.75</v>
      </c>
      <c r="AW31" s="277" t="str">
        <f t="shared" si="5"/>
        <v>D-AVERAGE</v>
      </c>
    </row>
    <row r="32" spans="1:49" x14ac:dyDescent="0.3">
      <c r="A32" s="284" t="s">
        <v>170</v>
      </c>
      <c r="B32" s="296">
        <v>2026</v>
      </c>
      <c r="C32" s="285">
        <v>20130285602</v>
      </c>
      <c r="D32" s="297" t="s">
        <v>171</v>
      </c>
      <c r="E32" s="298" t="s">
        <v>139</v>
      </c>
      <c r="F32" s="298" t="s">
        <v>895</v>
      </c>
      <c r="G32" s="298" t="s">
        <v>84</v>
      </c>
      <c r="H32" s="93" cm="1">
        <f t="array" ref="H3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32" s="298" t="str">
        <f t="shared" si="1"/>
        <v>II</v>
      </c>
      <c r="J32" s="296" t="s">
        <v>42</v>
      </c>
      <c r="K32" s="296" t="s">
        <v>6</v>
      </c>
      <c r="L32" s="296"/>
      <c r="M32" s="298"/>
      <c r="N32" s="298" t="s">
        <v>4</v>
      </c>
      <c r="O32" s="298"/>
      <c r="P32" s="298"/>
      <c r="Q32" s="298"/>
      <c r="R32" s="298"/>
      <c r="S32" s="298"/>
      <c r="T32" s="298"/>
      <c r="U32" s="298" t="s">
        <v>6</v>
      </c>
      <c r="V32" s="298"/>
      <c r="W32" s="298" t="s">
        <v>5</v>
      </c>
      <c r="X32" s="298"/>
      <c r="Y32" s="298"/>
      <c r="Z32" s="296">
        <f t="array" ref="Z32">SUM(IF(K32:Y32="A",1,0), IF(K32:Y32="B",2,0), IF(K32:Y32="C",3,0), IF(K32:Y32="D",4,0), IF(K32:Y32="E",5,0), IF(K32:Y32="S",6,0), IF(K32:Y32="F",7,0))</f>
        <v>17</v>
      </c>
      <c r="AA32" s="289">
        <f>_xlfn.XLOOKUP(F6Results_2026[[#This Row],[Full_Name]],tblF42023[FULL_NAME],tblF42023[POINTS],"",0,1)</f>
        <v>9</v>
      </c>
      <c r="AB32" s="289" t="str">
        <f>_xlfn.XLOOKUP(F6Results_2026[[#This Row],[Full_Name]],tblF42023[FULL_NAME],tblF42023[DIVISION],"",0,1)</f>
        <v>I</v>
      </c>
      <c r="AC32" s="289">
        <f>_xlfn.XLOOKUP(F6Results_2026[[#This Row],[Full_Name]],tblF42023[FULL_NAME],tblF42023[POINTS],"",0,1)</f>
        <v>9</v>
      </c>
      <c r="AD32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32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2" s="299">
        <f>_xlfn.XLOOKUP(F6Results_2026[[#This Row],[Full_Name]],tblF22021[FULL_NAME],tblF22021[POINTS],"",0,1)</f>
        <v>7</v>
      </c>
      <c r="AG32" s="299" t="str">
        <f>_xlfn.XLOOKUP(F6Results_2026[[#This Row],[Full_Name]],tblF42023[FULL_NAME],tblF42023[DIVISION],"",0,1)</f>
        <v>I</v>
      </c>
      <c r="AH32" s="300">
        <f>_xlfn.XLOOKUP(F6Results_2026[[#This Row],[Full_Name]],tblF42023[FULL_NAME],tblF42023[TOTAL A''S],"",0,1)</f>
        <v>5</v>
      </c>
      <c r="AI32" s="259"/>
      <c r="AK32" s="262" t="s">
        <v>497</v>
      </c>
      <c r="AL32" s="269">
        <f>COUNTIFS(Fact_Subject_Grade!$G:$G,"Adv_Math",Fact_Subject_Grade!$H:$H,AL$21)</f>
        <v>0</v>
      </c>
      <c r="AM32" s="265">
        <f>COUNTIFS(Fact_Subject_Grade!$G:$G,"Adv_Math",Fact_Subject_Grade!$H:$H,AM$21)</f>
        <v>0</v>
      </c>
      <c r="AN32" s="265">
        <f>COUNTIFS(Fact_Subject_Grade!$G:$G,"Adv_Math",Fact_Subject_Grade!$H:$H,AN$21)</f>
        <v>10</v>
      </c>
      <c r="AO32" s="265">
        <f>COUNTIFS(Fact_Subject_Grade!$G:$G,"Adv_Math",Fact_Subject_Grade!$H:$H,AO$21)</f>
        <v>16</v>
      </c>
      <c r="AP32" s="265">
        <f>COUNTIFS(Fact_Subject_Grade!$G:$G,"Adv_Math",Fact_Subject_Grade!$H:$H,AP$21)</f>
        <v>20</v>
      </c>
      <c r="AQ32" s="265">
        <f>COUNTIFS(Fact_Subject_Grade!$G:$G,"Adv_Math",Fact_Subject_Grade!$H:$H,AQ$21)</f>
        <v>7</v>
      </c>
      <c r="AR32" s="265">
        <f>COUNTIFS(Fact_Subject_Grade!$G:$G,"Adv_Math",Fact_Subject_Grade!$H:$H,AR$21)</f>
        <v>9</v>
      </c>
      <c r="AS32" s="268">
        <f t="shared" si="3"/>
        <v>62</v>
      </c>
      <c r="AT32" s="272">
        <f>IFERROR((SUMPRODUCT(AL32:AR32,{5,4,3,2,1,0.5,0})/(AS32*5))*100,"")</f>
        <v>27.580645161290324</v>
      </c>
      <c r="AU32" s="275">
        <f t="shared" si="4"/>
        <v>52</v>
      </c>
      <c r="AV32" s="271">
        <f>IFERROR(SUMPRODUCT(AL32:AR32,{1,2,3,4,5,6,7})/AS32,"")</f>
        <v>4.82258064516129</v>
      </c>
      <c r="AW32" s="273" t="str">
        <f t="shared" si="5"/>
        <v>E-SATISFACTORY</v>
      </c>
    </row>
    <row r="33" spans="1:49" x14ac:dyDescent="0.3">
      <c r="A33" s="284" t="s">
        <v>219</v>
      </c>
      <c r="B33" s="296">
        <v>2026</v>
      </c>
      <c r="C33" s="285">
        <v>20130285603</v>
      </c>
      <c r="D33" s="297" t="s">
        <v>220</v>
      </c>
      <c r="E33" s="296" t="s">
        <v>194</v>
      </c>
      <c r="F33" s="296" t="s">
        <v>896</v>
      </c>
      <c r="G33" s="296" t="s">
        <v>84</v>
      </c>
      <c r="H33" s="93" cm="1">
        <f t="array" ref="H3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33" s="298" t="str">
        <f t="shared" si="1"/>
        <v>III</v>
      </c>
      <c r="J33" s="296" t="s">
        <v>42</v>
      </c>
      <c r="K33" s="298" t="s">
        <v>5</v>
      </c>
      <c r="L33" s="298"/>
      <c r="M33" s="296"/>
      <c r="N33" s="296"/>
      <c r="O33" s="296"/>
      <c r="P33" s="296"/>
      <c r="Q33" s="296" t="s">
        <v>6</v>
      </c>
      <c r="R33" s="296" t="s">
        <v>8</v>
      </c>
      <c r="S33" s="296"/>
      <c r="T33" s="296"/>
      <c r="U33" s="296" t="s">
        <v>6</v>
      </c>
      <c r="V33" s="296"/>
      <c r="W33" s="296"/>
      <c r="X33" s="296"/>
      <c r="Y33" s="296"/>
      <c r="Z33" s="296">
        <f t="array" ref="Z33">SUM(IF(K33:Y33="A",1,0), IF(K33:Y33="B",2,0), IF(K33:Y33="C",3,0), IF(K33:Y33="D",4,0), IF(K33:Y33="E",5,0), IF(K33:Y33="S",6,0), IF(K33:Y33="F",7,0))</f>
        <v>21</v>
      </c>
      <c r="AA33" s="289">
        <f>_xlfn.XLOOKUP(F6Results_2026[[#This Row],[Full_Name]],tblF42023[FULL_NAME],tblF42023[POINTS],"",0,1)</f>
        <v>7</v>
      </c>
      <c r="AB33" s="289" t="str">
        <f>_xlfn.XLOOKUP(F6Results_2026[[#This Row],[Full_Name]],tblF42023[FULL_NAME],tblF42023[DIVISION],"",0,1)</f>
        <v>I</v>
      </c>
      <c r="AC33" s="289">
        <f>_xlfn.XLOOKUP(F6Results_2026[[#This Row],[Full_Name]],tblF42023[FULL_NAME],tblF42023[POINTS],"",0,1)</f>
        <v>7</v>
      </c>
      <c r="AD33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33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3" s="299">
        <f>_xlfn.XLOOKUP(F6Results_2026[[#This Row],[Full_Name]],tblF22021[FULL_NAME],tblF22021[POINTS],"",0,1)</f>
        <v>7</v>
      </c>
      <c r="AG33" s="299" t="str">
        <f>_xlfn.XLOOKUP(F6Results_2026[[#This Row],[Full_Name]],tblF42023[FULL_NAME],tblF42023[DIVISION],"",0,1)</f>
        <v>I</v>
      </c>
      <c r="AH33" s="300">
        <f>_xlfn.XLOOKUP(F6Results_2026[[#This Row],[Full_Name]],tblF42023[FULL_NAME],tblF42023[TOTAL A''S],"",0,1)</f>
        <v>7</v>
      </c>
      <c r="AI33" s="259"/>
      <c r="AK33" s="262" t="s">
        <v>417</v>
      </c>
      <c r="AL33" s="269">
        <f>COUNTIFS(Fact_Subject_Grade!$G:$G,"Comp_Sci",Fact_Subject_Grade!$H:$H,AL$21)</f>
        <v>0</v>
      </c>
      <c r="AM33" s="265">
        <f>COUNTIFS(Fact_Subject_Grade!$G:$G,"Comp_Sci",Fact_Subject_Grade!$H:$H,AM$21)</f>
        <v>0</v>
      </c>
      <c r="AN33" s="265">
        <f>COUNTIFS(Fact_Subject_Grade!$G:$G,"Comp_Sci",Fact_Subject_Grade!$H:$H,AN$21)</f>
        <v>3</v>
      </c>
      <c r="AO33" s="265">
        <f>COUNTIFS(Fact_Subject_Grade!$G:$G,"Comp_Sci",Fact_Subject_Grade!$H:$H,AO$21)</f>
        <v>3</v>
      </c>
      <c r="AP33" s="265">
        <f>COUNTIFS(Fact_Subject_Grade!$G:$G,"Comp_Sci",Fact_Subject_Grade!$H:$H,AP$21)</f>
        <v>0</v>
      </c>
      <c r="AQ33" s="265">
        <f>COUNTIFS(Fact_Subject_Grade!$G:$G,"Comp_Sci",Fact_Subject_Grade!$H:$H,AQ$21)</f>
        <v>0</v>
      </c>
      <c r="AR33" s="265">
        <f>COUNTIFS(Fact_Subject_Grade!$G:$G,"Comp_Sci",Fact_Subject_Grade!$H:$H,AR$21)</f>
        <v>1</v>
      </c>
      <c r="AS33" s="268">
        <f t="shared" si="3"/>
        <v>7</v>
      </c>
      <c r="AT33" s="272">
        <f>IFERROR((SUMPRODUCT(AL33:AR33,{5,4,3,2,1,0.5,0})/(AS33*5))*100,"")</f>
        <v>42.857142857142854</v>
      </c>
      <c r="AU33" s="275">
        <f t="shared" si="4"/>
        <v>4</v>
      </c>
      <c r="AV33" s="271">
        <f>IFERROR(SUMPRODUCT(AL33:AR33,{1,2,3,4,5,6,7})/AS33,"")</f>
        <v>4</v>
      </c>
      <c r="AW33" s="273" t="str">
        <f t="shared" si="5"/>
        <v>D-AVERAGE</v>
      </c>
    </row>
    <row r="34" spans="1:49" x14ac:dyDescent="0.3">
      <c r="A34" s="284" t="s">
        <v>321</v>
      </c>
      <c r="B34" s="296">
        <v>2026</v>
      </c>
      <c r="C34" s="285">
        <v>20130285604</v>
      </c>
      <c r="D34" s="297" t="s">
        <v>322</v>
      </c>
      <c r="E34" s="298" t="s">
        <v>304</v>
      </c>
      <c r="F34" s="298" t="s">
        <v>895</v>
      </c>
      <c r="G34" s="298" t="s">
        <v>84</v>
      </c>
      <c r="H34" s="93" cm="1">
        <f t="array" ref="H3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34" s="298" t="str">
        <f t="shared" si="1"/>
        <v>III</v>
      </c>
      <c r="J34" s="296" t="s">
        <v>42</v>
      </c>
      <c r="K34" s="296" t="s">
        <v>8</v>
      </c>
      <c r="L34" s="296" t="s">
        <v>8</v>
      </c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 t="s">
        <v>4</v>
      </c>
      <c r="X34" s="298" t="s">
        <v>8</v>
      </c>
      <c r="Y34" s="298" t="s">
        <v>5</v>
      </c>
      <c r="Z34" s="296">
        <f t="array" ref="Z34">SUM(IF(K34:Y34="A",1,0), IF(K34:Y34="B",2,0), IF(K34:Y34="C",3,0), IF(K34:Y34="D",4,0), IF(K34:Y34="E",5,0), IF(K34:Y34="S",6,0), IF(K34:Y34="F",7,0))</f>
        <v>28</v>
      </c>
      <c r="AA34" s="289">
        <f>_xlfn.XLOOKUP(F6Results_2026[[#This Row],[Full_Name]],tblF42023[FULL_NAME],tblF42023[POINTS],"",0,1)</f>
        <v>12</v>
      </c>
      <c r="AB34" s="289" t="str">
        <f>_xlfn.XLOOKUP(F6Results_2026[[#This Row],[Full_Name]],tblF42023[FULL_NAME],tblF42023[DIVISION],"",0,1)</f>
        <v>I</v>
      </c>
      <c r="AC34" s="289">
        <f>_xlfn.XLOOKUP(F6Results_2026[[#This Row],[Full_Name]],tblF42023[FULL_NAME],tblF42023[POINTS],"",0,1)</f>
        <v>12</v>
      </c>
      <c r="AD34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34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34" s="299">
        <f>_xlfn.XLOOKUP(F6Results_2026[[#This Row],[Full_Name]],tblF22021[FULL_NAME],tblF22021[POINTS],"",0,1)</f>
        <v>10</v>
      </c>
      <c r="AG34" s="299" t="str">
        <f>_xlfn.XLOOKUP(F6Results_2026[[#This Row],[Full_Name]],tblF42023[FULL_NAME],tblF42023[DIVISION],"",0,1)</f>
        <v>I</v>
      </c>
      <c r="AH34" s="300">
        <f>_xlfn.XLOOKUP(F6Results_2026[[#This Row],[Full_Name]],tblF42023[FULL_NAME],tblF42023[TOTAL A''S],"",0,1)</f>
        <v>3</v>
      </c>
      <c r="AI34" s="259"/>
      <c r="AK34" s="262" t="s">
        <v>418</v>
      </c>
      <c r="AL34" s="269">
        <f>COUNTIFS(Fact_Subject_Grade!$G:$G,"Econ",Fact_Subject_Grade!$H:$H,AL$21)</f>
        <v>0</v>
      </c>
      <c r="AM34" s="265">
        <f>COUNTIFS(Fact_Subject_Grade!$G:$G,"Econ",Fact_Subject_Grade!$H:$H,AM$21)</f>
        <v>0</v>
      </c>
      <c r="AN34" s="265">
        <f>COUNTIFS(Fact_Subject_Grade!$G:$G,"Econ",Fact_Subject_Grade!$H:$H,AN$21)</f>
        <v>14</v>
      </c>
      <c r="AO34" s="265">
        <f>COUNTIFS(Fact_Subject_Grade!$G:$G,"Econ",Fact_Subject_Grade!$H:$H,AO$21)</f>
        <v>7</v>
      </c>
      <c r="AP34" s="265">
        <f>COUNTIFS(Fact_Subject_Grade!$G:$G,"Econ",Fact_Subject_Grade!$H:$H,AP$21)</f>
        <v>1</v>
      </c>
      <c r="AQ34" s="265">
        <f>COUNTIFS(Fact_Subject_Grade!$G:$G,"Econ",Fact_Subject_Grade!$H:$H,AQ$21)</f>
        <v>0</v>
      </c>
      <c r="AR34" s="265">
        <f>COUNTIFS(Fact_Subject_Grade!$G:$G,"Econ",Fact_Subject_Grade!$H:$H,AR$21)</f>
        <v>18</v>
      </c>
      <c r="AS34" s="268">
        <f t="shared" si="3"/>
        <v>40</v>
      </c>
      <c r="AT34" s="272">
        <f>IFERROR((SUMPRODUCT(AL34:AR34,{5,4,3,2,1,0.5,0})/(AS34*5))*100,"")</f>
        <v>28.499999999999996</v>
      </c>
      <c r="AU34" s="275">
        <f t="shared" si="4"/>
        <v>26</v>
      </c>
      <c r="AV34" s="271">
        <f>IFERROR(SUMPRODUCT(AL34:AR34,{1,2,3,4,5,6,7})/AS34,"")</f>
        <v>5.0250000000000004</v>
      </c>
      <c r="AW34" s="273" t="str">
        <f t="shared" si="5"/>
        <v>E-SATISFACTORY</v>
      </c>
    </row>
    <row r="35" spans="1:49" x14ac:dyDescent="0.3">
      <c r="A35" s="284" t="s">
        <v>174</v>
      </c>
      <c r="B35" s="296">
        <v>2026</v>
      </c>
      <c r="C35" s="285">
        <v>20130285606</v>
      </c>
      <c r="D35" s="297" t="s">
        <v>175</v>
      </c>
      <c r="E35" s="298" t="s">
        <v>139</v>
      </c>
      <c r="F35" s="298" t="s">
        <v>895</v>
      </c>
      <c r="G35" s="298" t="s">
        <v>84</v>
      </c>
      <c r="H35" s="93" cm="1">
        <f t="array" ref="H3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35" s="298" t="str">
        <f t="shared" si="1"/>
        <v>I</v>
      </c>
      <c r="J35" s="296" t="s">
        <v>42</v>
      </c>
      <c r="K35" s="296" t="s">
        <v>8</v>
      </c>
      <c r="L35" s="296"/>
      <c r="M35" s="298"/>
      <c r="N35" s="298" t="s">
        <v>3</v>
      </c>
      <c r="O35" s="298"/>
      <c r="P35" s="298"/>
      <c r="Q35" s="298"/>
      <c r="R35" s="298"/>
      <c r="S35" s="298"/>
      <c r="T35" s="298"/>
      <c r="U35" s="298" t="s">
        <v>4</v>
      </c>
      <c r="V35" s="298"/>
      <c r="W35" s="298" t="s">
        <v>4</v>
      </c>
      <c r="X35" s="298"/>
      <c r="Y35" s="298"/>
      <c r="Z35" s="296">
        <f t="array" ref="Z35">SUM(IF(K35:Y35="A",1,0), IF(K35:Y35="B",2,0), IF(K35:Y35="C",3,0), IF(K35:Y35="D",4,0), IF(K35:Y35="E",5,0), IF(K35:Y35="S",6,0), IF(K35:Y35="F",7,0))</f>
        <v>15</v>
      </c>
      <c r="AA35" s="289">
        <f>_xlfn.XLOOKUP(F6Results_2026[[#This Row],[Full_Name]],tblF42023[FULL_NAME],tblF42023[POINTS],"",0,1)</f>
        <v>7</v>
      </c>
      <c r="AB35" s="289" t="str">
        <f>_xlfn.XLOOKUP(F6Results_2026[[#This Row],[Full_Name]],tblF42023[FULL_NAME],tblF42023[DIVISION],"",0,1)</f>
        <v>I</v>
      </c>
      <c r="AC35" s="289">
        <f>_xlfn.XLOOKUP(F6Results_2026[[#This Row],[Full_Name]],tblF42023[FULL_NAME],tblF42023[POINTS],"",0,1)</f>
        <v>7</v>
      </c>
      <c r="AD35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3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5" s="299">
        <f>_xlfn.XLOOKUP(F6Results_2026[[#This Row],[Full_Name]],tblF22021[FULL_NAME],tblF22021[POINTS],"",0,1)</f>
        <v>7</v>
      </c>
      <c r="AG35" s="299" t="str">
        <f>_xlfn.XLOOKUP(F6Results_2026[[#This Row],[Full_Name]],tblF42023[FULL_NAME],tblF42023[DIVISION],"",0,1)</f>
        <v>I</v>
      </c>
      <c r="AH35" s="300">
        <f>_xlfn.XLOOKUP(F6Results_2026[[#This Row],[Full_Name]],tblF42023[FULL_NAME],tblF42023[TOTAL A''S],"",0,1)</f>
        <v>8</v>
      </c>
      <c r="AI35" s="259"/>
      <c r="AK35" s="262" t="s">
        <v>419</v>
      </c>
      <c r="AL35" s="269">
        <f>COUNTIFS(Fact_Subject_Grade!$G:$G,"Comm",Fact_Subject_Grade!$H:$H,AL$21)</f>
        <v>0</v>
      </c>
      <c r="AM35" s="265">
        <f>COUNTIFS(Fact_Subject_Grade!$G:$G,"Comm",Fact_Subject_Grade!$H:$H,AM$21)</f>
        <v>0</v>
      </c>
      <c r="AN35" s="265">
        <f>COUNTIFS(Fact_Subject_Grade!$G:$G,"Comm",Fact_Subject_Grade!$H:$H,AN$21)</f>
        <v>0</v>
      </c>
      <c r="AO35" s="265">
        <f>COUNTIFS(Fact_Subject_Grade!$G:$G,"Comm",Fact_Subject_Grade!$H:$H,AO$21)</f>
        <v>0</v>
      </c>
      <c r="AP35" s="265">
        <f>COUNTIFS(Fact_Subject_Grade!$G:$G,"Comm",Fact_Subject_Grade!$H:$H,AP$21)</f>
        <v>0</v>
      </c>
      <c r="AQ35" s="265">
        <f>COUNTIFS(Fact_Subject_Grade!$G:$G,"Comm",Fact_Subject_Grade!$H:$H,AQ$21)</f>
        <v>0</v>
      </c>
      <c r="AR35" s="265">
        <f>COUNTIFS(Fact_Subject_Grade!$G:$G,"Comm",Fact_Subject_Grade!$H:$H,AR$21)</f>
        <v>13</v>
      </c>
      <c r="AS35" s="268">
        <f t="shared" si="3"/>
        <v>13</v>
      </c>
      <c r="AT35" s="272">
        <f>IFERROR((SUMPRODUCT(AL35:AR35,{5,4,3,2,1,0.5,0})/(AS35*5))*100,"")</f>
        <v>0</v>
      </c>
      <c r="AU35" s="275">
        <f t="shared" si="4"/>
        <v>13</v>
      </c>
      <c r="AV35" s="271">
        <f>IFERROR(SUMPRODUCT(AL35:AR35,{1,2,3,4,5,6,7})/AS35,"")</f>
        <v>7</v>
      </c>
      <c r="AW35" s="273" t="str">
        <f>IF(AV35="","",IF(AV35&lt;=1.4999,"A-EXCELLENT",IF(AV35&lt;=2.4999,"B-VERY GOOD",IF(AV35&lt;=3.4999,"C-GOOD",IF(AV35&lt;=4.4999,"D-AVERAGE",IF(AV35&lt;=5.4999,"E-SATISFACTORY",IF(AV35&lt;=6.4999,"S-SUBSIDIARY",IF(AV35&lt;=7,"F-FAIL",""))))))))</f>
        <v>F-FAIL</v>
      </c>
    </row>
    <row r="36" spans="1:49" x14ac:dyDescent="0.3">
      <c r="A36" s="301" t="s">
        <v>968</v>
      </c>
      <c r="B36" s="299">
        <v>2026</v>
      </c>
      <c r="C36" s="299">
        <v>20130285608</v>
      </c>
      <c r="D36" s="297" t="s">
        <v>333</v>
      </c>
      <c r="E36" s="299" t="s">
        <v>289</v>
      </c>
      <c r="F36" s="299" t="s">
        <v>896</v>
      </c>
      <c r="G36" s="299" t="s">
        <v>84</v>
      </c>
      <c r="H36" s="93" cm="1">
        <f t="array" ref="H3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36" s="289" t="str">
        <f t="shared" si="1"/>
        <v>III</v>
      </c>
      <c r="J36" s="296" t="s">
        <v>42</v>
      </c>
      <c r="K36" s="289" t="s">
        <v>5</v>
      </c>
      <c r="L36" s="289" t="s">
        <v>4</v>
      </c>
      <c r="M36" s="299"/>
      <c r="N36" s="299"/>
      <c r="O36" s="299"/>
      <c r="P36" s="299"/>
      <c r="Q36" s="299"/>
      <c r="R36" s="299" t="s">
        <v>4</v>
      </c>
      <c r="S36" s="299" t="s">
        <v>8</v>
      </c>
      <c r="T36" s="299" t="s">
        <v>8</v>
      </c>
      <c r="U36" s="299"/>
      <c r="V36" s="299"/>
      <c r="W36" s="299"/>
      <c r="X36" s="299"/>
      <c r="Y36" s="299"/>
      <c r="Z36" s="299"/>
      <c r="AA36" s="302">
        <f>_xlfn.XLOOKUP(F6Results_2026[[#This Row],[Full_Name]],tblF42023[FULL_NAME],tblF42023[POINTS],"",0,1)</f>
        <v>7</v>
      </c>
      <c r="AB36" s="302" t="str">
        <f>_xlfn.XLOOKUP(F6Results_2026[[#This Row],[Full_Name]],tblF42023[FULL_NAME],tblF42023[DIVISION],"",0,1)</f>
        <v>I</v>
      </c>
      <c r="AC36" s="302">
        <f>_xlfn.XLOOKUP(F6Results_2026[[#This Row],[Full_Name]],tblF42023[FULL_NAME],tblF42023[POINTS],"",0,1)</f>
        <v>7</v>
      </c>
      <c r="AD36" s="303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36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6" s="304">
        <f>_xlfn.XLOOKUP(F6Results_2026[[#This Row],[Full_Name]],tblF22021[FULL_NAME],tblF22021[POINTS],"",0,1)</f>
        <v>7</v>
      </c>
      <c r="AG36" s="304" t="str">
        <f>_xlfn.XLOOKUP(F6Results_2026[[#This Row],[Full_Name]],tblF42023[FULL_NAME],tblF42023[DIVISION],"",0,1)</f>
        <v>I</v>
      </c>
      <c r="AH36" s="305">
        <f>_xlfn.XLOOKUP(F6Results_2026[[#This Row],[Full_Name]],tblF42023[FULL_NAME],tblF42023[TOTAL A''S],"",0,1)</f>
        <v>8</v>
      </c>
      <c r="AI36" s="259"/>
      <c r="AK36" s="263" t="s">
        <v>986</v>
      </c>
      <c r="AL36" s="270">
        <f>COUNTIFS(Fact_Subject_Grade!$G:$G,"Acco",Fact_Subject_Grade!$H:$H,AL$21)</f>
        <v>0</v>
      </c>
      <c r="AM36" s="266">
        <f>COUNTIFS(Fact_Subject_Grade!$G:$G,"Acco",Fact_Subject_Grade!$H:$H,AM$21)</f>
        <v>0</v>
      </c>
      <c r="AN36" s="266">
        <f>COUNTIFS(Fact_Subject_Grade!$G:$G,"Acco",Fact_Subject_Grade!$H:$H,AN$21)</f>
        <v>4</v>
      </c>
      <c r="AO36" s="266">
        <f>COUNTIFS(Fact_Subject_Grade!$G:$G,"Acco",Fact_Subject_Grade!$H:$H,AO$21)</f>
        <v>5</v>
      </c>
      <c r="AP36" s="266">
        <f>COUNTIFS(Fact_Subject_Grade!$G:$G,"Acco",Fact_Subject_Grade!$H:$H,AP$21)</f>
        <v>1</v>
      </c>
      <c r="AQ36" s="266">
        <f>COUNTIFS(Fact_Subject_Grade!$G:$G,"Acco",Fact_Subject_Grade!$H:$H,AQ$21)</f>
        <v>0</v>
      </c>
      <c r="AR36" s="266">
        <f>COUNTIFS(Fact_Subject_Grade!$G:$G,"Acco",Fact_Subject_Grade!$H:$H,AR$21)</f>
        <v>3</v>
      </c>
      <c r="AS36" s="268">
        <f t="shared" si="3"/>
        <v>13</v>
      </c>
      <c r="AT36" s="272">
        <f>IFERROR((SUMPRODUCT(AL36:AR36,{5,4,3,2,1,0.5,0})/(AS36*5))*100,"")</f>
        <v>35.384615384615387</v>
      </c>
      <c r="AU36" s="275">
        <f t="shared" si="4"/>
        <v>9</v>
      </c>
      <c r="AV36" s="271">
        <f>IFERROR(SUMPRODUCT(AL36:AR36,{1,2,3,4,5,6,7})/AS36,"")</f>
        <v>4.4615384615384617</v>
      </c>
      <c r="AW36" s="274" t="str">
        <f t="shared" si="5"/>
        <v>D-AVERAGE</v>
      </c>
    </row>
    <row r="37" spans="1:49" x14ac:dyDescent="0.3">
      <c r="A37" s="284" t="s">
        <v>85</v>
      </c>
      <c r="B37" s="296">
        <v>2026</v>
      </c>
      <c r="C37" s="285">
        <v>20130285609</v>
      </c>
      <c r="D37" s="297" t="s">
        <v>86</v>
      </c>
      <c r="E37" s="298" t="s">
        <v>45</v>
      </c>
      <c r="F37" s="298" t="s">
        <v>41</v>
      </c>
      <c r="G37" s="298" t="s">
        <v>84</v>
      </c>
      <c r="H37" s="93" cm="1">
        <f t="array" ref="H3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37" s="298" t="str">
        <f t="shared" si="1"/>
        <v>I</v>
      </c>
      <c r="J37" s="296" t="s">
        <v>42</v>
      </c>
      <c r="K37" s="296" t="s">
        <v>6</v>
      </c>
      <c r="L37" s="296"/>
      <c r="M37" s="298" t="s">
        <v>4</v>
      </c>
      <c r="N37" s="298" t="s">
        <v>4</v>
      </c>
      <c r="O37" s="298"/>
      <c r="P37" s="298" t="s">
        <v>4</v>
      </c>
      <c r="Q37" s="298"/>
      <c r="R37" s="298"/>
      <c r="S37" s="298"/>
      <c r="T37" s="298"/>
      <c r="U37" s="298"/>
      <c r="V37" s="298"/>
      <c r="W37" s="298"/>
      <c r="X37" s="298"/>
      <c r="Y37" s="298"/>
      <c r="Z37" s="296">
        <f t="array" ref="Z37">SUM(IF(K37:Y37="A",1,0), IF(K37:Y37="B",2,0), IF(K37:Y37="C",3,0), IF(K37:Y37="D",4,0), IF(K37:Y37="E",5,0), IF(K37:Y37="S",6,0), IF(K37:Y37="F",7,0))</f>
        <v>14</v>
      </c>
      <c r="AA37" s="289">
        <f>_xlfn.XLOOKUP(F6Results_2026[[#This Row],[Full_Name]],tblF42023[FULL_NAME],tblF42023[POINTS],"",0,1)</f>
        <v>9</v>
      </c>
      <c r="AB37" s="289" t="str">
        <f>_xlfn.XLOOKUP(F6Results_2026[[#This Row],[Full_Name]],tblF42023[FULL_NAME],tblF42023[DIVISION],"",0,1)</f>
        <v>I</v>
      </c>
      <c r="AC37" s="289">
        <f>_xlfn.XLOOKUP(F6Results_2026[[#This Row],[Full_Name]],tblF42023[FULL_NAME],tblF42023[POINTS],"",0,1)</f>
        <v>9</v>
      </c>
      <c r="AD37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3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7" s="299">
        <f>_xlfn.XLOOKUP(F6Results_2026[[#This Row],[Full_Name]],tblF22021[FULL_NAME],tblF22021[POINTS],"",0,1)</f>
        <v>7</v>
      </c>
      <c r="AG37" s="299" t="str">
        <f>_xlfn.XLOOKUP(F6Results_2026[[#This Row],[Full_Name]],tblF42023[FULL_NAME],tblF42023[DIVISION],"",0,1)</f>
        <v>I</v>
      </c>
      <c r="AH37" s="300">
        <f>_xlfn.XLOOKUP(F6Results_2026[[#This Row],[Full_Name]],tblF42023[FULL_NAME],tblF42023[TOTAL A''S],"",0,1)</f>
        <v>5</v>
      </c>
      <c r="AI37" s="259"/>
      <c r="AL37" s="276">
        <f>SUM(AL22:AL36)</f>
        <v>33</v>
      </c>
      <c r="AM37" s="276">
        <f t="shared" ref="AM37:AR37" si="6">SUM(AM22:AM36)</f>
        <v>23</v>
      </c>
      <c r="AN37" s="276">
        <f t="shared" si="6"/>
        <v>190</v>
      </c>
      <c r="AO37" s="276">
        <f t="shared" si="6"/>
        <v>185</v>
      </c>
      <c r="AP37" s="276">
        <f t="shared" si="6"/>
        <v>156</v>
      </c>
      <c r="AQ37" s="276">
        <f t="shared" si="6"/>
        <v>38</v>
      </c>
      <c r="AR37" s="276">
        <f t="shared" si="6"/>
        <v>131</v>
      </c>
      <c r="AS37" s="276">
        <f>SUM(AS22:AS36)</f>
        <v>756</v>
      </c>
      <c r="AT37" s="276"/>
    </row>
    <row r="38" spans="1:49" x14ac:dyDescent="0.3">
      <c r="A38" s="284" t="s">
        <v>176</v>
      </c>
      <c r="B38" s="296">
        <v>2026</v>
      </c>
      <c r="C38" s="285">
        <v>20130285610</v>
      </c>
      <c r="D38" s="297" t="s">
        <v>177</v>
      </c>
      <c r="E38" s="296" t="s">
        <v>139</v>
      </c>
      <c r="F38" s="296" t="s">
        <v>895</v>
      </c>
      <c r="G38" s="296" t="s">
        <v>84</v>
      </c>
      <c r="H38" s="93" cm="1">
        <f t="array" ref="H3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38" s="298" t="str">
        <f t="shared" si="1"/>
        <v>II</v>
      </c>
      <c r="J38" s="296" t="s">
        <v>42</v>
      </c>
      <c r="K38" s="298" t="s">
        <v>5</v>
      </c>
      <c r="L38" s="298"/>
      <c r="M38" s="296"/>
      <c r="N38" s="296" t="s">
        <v>3</v>
      </c>
      <c r="O38" s="296"/>
      <c r="P38" s="296"/>
      <c r="Q38" s="296"/>
      <c r="R38" s="296"/>
      <c r="S38" s="296"/>
      <c r="T38" s="296"/>
      <c r="U38" s="296" t="s">
        <v>4</v>
      </c>
      <c r="V38" s="296"/>
      <c r="W38" s="296" t="s">
        <v>8</v>
      </c>
      <c r="X38" s="296"/>
      <c r="Y38" s="296"/>
      <c r="Z38" s="296">
        <f t="array" ref="Z38">SUM(IF(K38:Y38="A",1,0), IF(K38:Y38="B",2,0), IF(K38:Y38="C",3,0), IF(K38:Y38="D",4,0), IF(K38:Y38="E",5,0), IF(K38:Y38="S",6,0), IF(K38:Y38="F",7,0))</f>
        <v>16</v>
      </c>
      <c r="AA38" s="289">
        <f>_xlfn.XLOOKUP(F6Results_2026[[#This Row],[Full_Name]],tblF42023[FULL_NAME],tblF42023[POINTS],"",0,1)</f>
        <v>7</v>
      </c>
      <c r="AB38" s="289" t="str">
        <f>_xlfn.XLOOKUP(F6Results_2026[[#This Row],[Full_Name]],tblF42023[FULL_NAME],tblF42023[DIVISION],"",0,1)</f>
        <v>I</v>
      </c>
      <c r="AC38" s="289">
        <f>_xlfn.XLOOKUP(F6Results_2026[[#This Row],[Full_Name]],tblF42023[FULL_NAME],tblF42023[POINTS],"",0,1)</f>
        <v>7</v>
      </c>
      <c r="AD38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3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8" s="299">
        <f>_xlfn.XLOOKUP(F6Results_2026[[#This Row],[Full_Name]],tblF22021[FULL_NAME],tblF22021[POINTS],"",0,1)</f>
        <v>7</v>
      </c>
      <c r="AG38" s="299" t="str">
        <f>_xlfn.XLOOKUP(F6Results_2026[[#This Row],[Full_Name]],tblF42023[FULL_NAME],tblF42023[DIVISION],"",0,1)</f>
        <v>I</v>
      </c>
      <c r="AH38" s="300">
        <f>_xlfn.XLOOKUP(F6Results_2026[[#This Row],[Full_Name]],tblF42023[FULL_NAME],tblF42023[TOTAL A''S],"",0,1)</f>
        <v>7</v>
      </c>
      <c r="AI38" s="259"/>
    </row>
    <row r="39" spans="1:49" x14ac:dyDescent="0.3">
      <c r="A39" s="284" t="s">
        <v>283</v>
      </c>
      <c r="B39" s="296">
        <v>2026</v>
      </c>
      <c r="C39" s="285">
        <v>20130285611</v>
      </c>
      <c r="D39" s="297" t="s">
        <v>284</v>
      </c>
      <c r="E39" s="298" t="s">
        <v>240</v>
      </c>
      <c r="F39" s="298" t="s">
        <v>896</v>
      </c>
      <c r="G39" s="298" t="s">
        <v>84</v>
      </c>
      <c r="H39" s="93" cm="1">
        <f t="array" ref="H3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39" s="298" t="str">
        <f t="shared" si="1"/>
        <v>O</v>
      </c>
      <c r="J39" s="296" t="s">
        <v>42</v>
      </c>
      <c r="K39" s="296" t="s">
        <v>8</v>
      </c>
      <c r="L39" s="296" t="s">
        <v>2</v>
      </c>
      <c r="M39" s="298"/>
      <c r="N39" s="298"/>
      <c r="O39" s="298"/>
      <c r="P39" s="298"/>
      <c r="Q39" s="298" t="s">
        <v>8</v>
      </c>
      <c r="R39" s="298" t="s">
        <v>8</v>
      </c>
      <c r="S39" s="298" t="s">
        <v>8</v>
      </c>
      <c r="T39" s="298"/>
      <c r="U39" s="298"/>
      <c r="V39" s="298"/>
      <c r="W39" s="298"/>
      <c r="X39" s="298"/>
      <c r="Y39" s="298"/>
      <c r="Z39" s="296">
        <f t="array" ref="Z39">SUM(IF(K39:Y39="A",1,0), IF(K39:Y39="B",2,0), IF(K39:Y39="C",3,0), IF(K39:Y39="D",4,0), IF(K39:Y39="E",5,0), IF(K39:Y39="S",6,0), IF(K39:Y39="F",7,0))</f>
        <v>29</v>
      </c>
      <c r="AA39" s="289">
        <f>_xlfn.XLOOKUP(F6Results_2026[[#This Row],[Full_Name]],tblF42023[FULL_NAME],tblF42023[POINTS],"",0,1)</f>
        <v>7</v>
      </c>
      <c r="AB39" s="289" t="str">
        <f>_xlfn.XLOOKUP(F6Results_2026[[#This Row],[Full_Name]],tblF42023[FULL_NAME],tblF42023[DIVISION],"",0,1)</f>
        <v>I</v>
      </c>
      <c r="AC39" s="289">
        <f>_xlfn.XLOOKUP(F6Results_2026[[#This Row],[Full_Name]],tblF42023[FULL_NAME],tblF42023[POINTS],"",0,1)</f>
        <v>7</v>
      </c>
      <c r="AD39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39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39" s="299">
        <f>_xlfn.XLOOKUP(F6Results_2026[[#This Row],[Full_Name]],tblF22021[FULL_NAME],tblF22021[POINTS],"",0,1)</f>
        <v>7</v>
      </c>
      <c r="AG39" s="299" t="str">
        <f>_xlfn.XLOOKUP(F6Results_2026[[#This Row],[Full_Name]],tblF42023[FULL_NAME],tblF42023[DIVISION],"",0,1)</f>
        <v>I</v>
      </c>
      <c r="AH39" s="300">
        <f>_xlfn.XLOOKUP(F6Results_2026[[#This Row],[Full_Name]],tblF42023[FULL_NAME],tblF42023[TOTAL A''S],"",0,1)</f>
        <v>9</v>
      </c>
      <c r="AI39" s="259"/>
      <c r="AJ39" s="278"/>
      <c r="AK39" s="279" t="s">
        <v>987</v>
      </c>
      <c r="AL39" s="279" t="s">
        <v>989</v>
      </c>
      <c r="AM39" s="279" t="s">
        <v>990</v>
      </c>
      <c r="AN39" s="278"/>
    </row>
    <row r="40" spans="1:49" x14ac:dyDescent="0.3">
      <c r="A40" s="301" t="s">
        <v>981</v>
      </c>
      <c r="B40" s="299">
        <v>2026</v>
      </c>
      <c r="C40" s="299">
        <v>20130285615</v>
      </c>
      <c r="D40" s="297" t="s">
        <v>339</v>
      </c>
      <c r="E40" s="299" t="s">
        <v>978</v>
      </c>
      <c r="F40" s="299" t="s">
        <v>896</v>
      </c>
      <c r="G40" s="299" t="s">
        <v>84</v>
      </c>
      <c r="H40" s="93" cm="1">
        <f t="array" ref="H4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40" s="289" t="str">
        <f t="shared" si="1"/>
        <v>III</v>
      </c>
      <c r="J40" s="296" t="s">
        <v>42</v>
      </c>
      <c r="K40" s="289" t="s">
        <v>8</v>
      </c>
      <c r="L40" s="289"/>
      <c r="M40" s="299"/>
      <c r="N40" s="299"/>
      <c r="O40" s="299"/>
      <c r="P40" s="299"/>
      <c r="Q40" s="299" t="s">
        <v>6</v>
      </c>
      <c r="R40" s="299"/>
      <c r="S40" s="299"/>
      <c r="T40" s="299"/>
      <c r="U40" s="299" t="s">
        <v>6</v>
      </c>
      <c r="V40" s="299" t="s">
        <v>8</v>
      </c>
      <c r="W40" s="299"/>
      <c r="X40" s="299"/>
      <c r="Y40" s="299"/>
      <c r="Z40" s="299"/>
      <c r="AA40" s="302">
        <f>_xlfn.XLOOKUP(F6Results_2026[[#This Row],[Full_Name]],tblF42023[FULL_NAME],tblF42023[POINTS],"",0,1)</f>
        <v>9</v>
      </c>
      <c r="AB40" s="302" t="str">
        <f>_xlfn.XLOOKUP(F6Results_2026[[#This Row],[Full_Name]],tblF42023[FULL_NAME],tblF42023[DIVISION],"",0,1)</f>
        <v>I</v>
      </c>
      <c r="AC40" s="302">
        <f>_xlfn.XLOOKUP(F6Results_2026[[#This Row],[Full_Name]],tblF42023[FULL_NAME],tblF42023[POINTS],"",0,1)</f>
        <v>9</v>
      </c>
      <c r="AD40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40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40" s="304">
        <f>_xlfn.XLOOKUP(F6Results_2026[[#This Row],[Full_Name]],tblF22021[FULL_NAME],tblF22021[POINTS],"",0,1)</f>
        <v>7</v>
      </c>
      <c r="AG40" s="304" t="str">
        <f>_xlfn.XLOOKUP(F6Results_2026[[#This Row],[Full_Name]],tblF42023[FULL_NAME],tblF42023[DIVISION],"",0,1)</f>
        <v>I</v>
      </c>
      <c r="AH40" s="305">
        <f>_xlfn.XLOOKUP(F6Results_2026[[#This Row],[Full_Name]],tblF42023[FULL_NAME],tblF42023[TOTAL A''S],"",0,1)</f>
        <v>5</v>
      </c>
      <c r="AI40" s="259"/>
      <c r="AJ40" s="279" t="s">
        <v>2</v>
      </c>
      <c r="AK40" s="278">
        <f>AL37*1</f>
        <v>33</v>
      </c>
      <c r="AL40" s="280">
        <f>COUNTIFS(F6Results_2026[Sex],"M",F6Results_2026[Div],"I")*1</f>
        <v>12</v>
      </c>
      <c r="AM40" s="280">
        <f>COUNTIFS(F6Results_2026[Sex],"F",F6Results_2026[Div],"I")*1</f>
        <v>26</v>
      </c>
      <c r="AN40" s="278">
        <f>SUM(AL40:AM40)</f>
        <v>38</v>
      </c>
    </row>
    <row r="41" spans="1:49" x14ac:dyDescent="0.3">
      <c r="A41" s="284" t="s">
        <v>225</v>
      </c>
      <c r="B41" s="296">
        <v>2026</v>
      </c>
      <c r="C41" s="285">
        <v>20130285616</v>
      </c>
      <c r="D41" s="297" t="s">
        <v>226</v>
      </c>
      <c r="E41" s="296" t="s">
        <v>194</v>
      </c>
      <c r="F41" s="296" t="s">
        <v>896</v>
      </c>
      <c r="G41" s="296" t="s">
        <v>84</v>
      </c>
      <c r="H41" s="93" cm="1">
        <f t="array" ref="H4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41" s="298" t="str">
        <f t="shared" si="1"/>
        <v>O</v>
      </c>
      <c r="J41" s="296" t="s">
        <v>42</v>
      </c>
      <c r="K41" s="298" t="s">
        <v>6</v>
      </c>
      <c r="L41" s="298"/>
      <c r="M41" s="296"/>
      <c r="N41" s="296"/>
      <c r="O41" s="296"/>
      <c r="P41" s="296"/>
      <c r="Q41" s="296" t="s">
        <v>8</v>
      </c>
      <c r="R41" s="296" t="s">
        <v>8</v>
      </c>
      <c r="S41" s="296"/>
      <c r="T41" s="296"/>
      <c r="U41" s="296" t="s">
        <v>8</v>
      </c>
      <c r="V41" s="296"/>
      <c r="W41" s="296"/>
      <c r="X41" s="296"/>
      <c r="Y41" s="296"/>
      <c r="Z41" s="296">
        <f t="array" ref="Z41">SUM(IF(K41:Y41="A",1,0), IF(K41:Y41="B",2,0), IF(K41:Y41="C",3,0), IF(K41:Y41="D",4,0), IF(K41:Y41="E",5,0), IF(K41:Y41="S",6,0), IF(K41:Y41="F",7,0))</f>
        <v>26</v>
      </c>
      <c r="AA41" s="289">
        <f>_xlfn.XLOOKUP(F6Results_2026[[#This Row],[Full_Name]],tblF42023[FULL_NAME],tblF42023[POINTS],"",0,1)</f>
        <v>7</v>
      </c>
      <c r="AB41" s="289" t="str">
        <f>_xlfn.XLOOKUP(F6Results_2026[[#This Row],[Full_Name]],tblF42023[FULL_NAME],tblF42023[DIVISION],"",0,1)</f>
        <v>I</v>
      </c>
      <c r="AC41" s="289">
        <f>_xlfn.XLOOKUP(F6Results_2026[[#This Row],[Full_Name]],tblF42023[FULL_NAME],tblF42023[POINTS],"",0,1)</f>
        <v>7</v>
      </c>
      <c r="AD41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4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41" s="299">
        <f>_xlfn.XLOOKUP(F6Results_2026[[#This Row],[Full_Name]],tblF22021[FULL_NAME],tblF22021[POINTS],"",0,1)</f>
        <v>7</v>
      </c>
      <c r="AG41" s="299" t="str">
        <f>_xlfn.XLOOKUP(F6Results_2026[[#This Row],[Full_Name]],tblF42023[FULL_NAME],tblF42023[DIVISION],"",0,1)</f>
        <v>I</v>
      </c>
      <c r="AH41" s="300">
        <f>_xlfn.XLOOKUP(F6Results_2026[[#This Row],[Full_Name]],tblF42023[FULL_NAME],tblF42023[TOTAL A''S],"",0,1)</f>
        <v>10</v>
      </c>
      <c r="AI41" s="259"/>
      <c r="AJ41" s="279" t="s">
        <v>3</v>
      </c>
      <c r="AK41" s="278">
        <f>AM37*2</f>
        <v>46</v>
      </c>
      <c r="AL41" s="278">
        <f>COUNTIFS(F6Results_2026[Sex],"M",F6Results_2026[Div],"Ii")*2</f>
        <v>58</v>
      </c>
      <c r="AM41" s="278">
        <f>COUNTIFS(F6Results_2026[Sex],"F",F6Results_2026[Div],"Ii")*2</f>
        <v>72</v>
      </c>
      <c r="AN41" s="278">
        <f t="shared" ref="AN41:AN46" si="7">SUM(AL41:AM41)</f>
        <v>130</v>
      </c>
    </row>
    <row r="42" spans="1:49" x14ac:dyDescent="0.3">
      <c r="A42" s="301" t="s">
        <v>982</v>
      </c>
      <c r="B42" s="299">
        <v>2026</v>
      </c>
      <c r="C42" s="299">
        <v>20130285618</v>
      </c>
      <c r="D42" s="297" t="s">
        <v>340</v>
      </c>
      <c r="E42" s="299" t="s">
        <v>978</v>
      </c>
      <c r="F42" s="299" t="s">
        <v>896</v>
      </c>
      <c r="G42" s="299" t="s">
        <v>84</v>
      </c>
      <c r="H42" s="93" cm="1">
        <f t="array" ref="H4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42" s="289" t="str">
        <f t="shared" ref="I42:I73" si="8">VLOOKUP(H42,$AO$11:$AP$17,2,TRUE)</f>
        <v>III</v>
      </c>
      <c r="J42" s="296" t="s">
        <v>42</v>
      </c>
      <c r="K42" s="289" t="s">
        <v>5</v>
      </c>
      <c r="L42" s="289"/>
      <c r="M42" s="299"/>
      <c r="N42" s="299"/>
      <c r="O42" s="299"/>
      <c r="P42" s="299"/>
      <c r="Q42" s="299" t="s">
        <v>7</v>
      </c>
      <c r="R42" s="299"/>
      <c r="S42" s="299"/>
      <c r="T42" s="299"/>
      <c r="U42" s="299" t="s">
        <v>7</v>
      </c>
      <c r="V42" s="299" t="s">
        <v>5</v>
      </c>
      <c r="W42" s="299"/>
      <c r="X42" s="299"/>
      <c r="Y42" s="299"/>
      <c r="Z42" s="299"/>
      <c r="AA42" s="302">
        <f>_xlfn.XLOOKUP(F6Results_2026[[#This Row],[Full_Name]],tblF42023[FULL_NAME],tblF42023[POINTS],"",0,1)</f>
        <v>7</v>
      </c>
      <c r="AB42" s="302" t="str">
        <f>_xlfn.XLOOKUP(F6Results_2026[[#This Row],[Full_Name]],tblF42023[FULL_NAME],tblF42023[DIVISION],"",0,1)</f>
        <v>I</v>
      </c>
      <c r="AC42" s="302">
        <f>_xlfn.XLOOKUP(F6Results_2026[[#This Row],[Full_Name]],tblF42023[FULL_NAME],tblF42023[POINTS],"",0,1)</f>
        <v>7</v>
      </c>
      <c r="AD42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42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42" s="304">
        <f>_xlfn.XLOOKUP(F6Results_2026[[#This Row],[Full_Name]],tblF22021[FULL_NAME],tblF22021[POINTS],"",0,1)</f>
        <v>7</v>
      </c>
      <c r="AG42" s="304" t="str">
        <f>_xlfn.XLOOKUP(F6Results_2026[[#This Row],[Full_Name]],tblF42023[FULL_NAME],tblF42023[DIVISION],"",0,1)</f>
        <v>I</v>
      </c>
      <c r="AH42" s="305">
        <f>_xlfn.XLOOKUP(F6Results_2026[[#This Row],[Full_Name]],tblF42023[FULL_NAME],tblF42023[TOTAL A''S],"",0,1)</f>
        <v>7</v>
      </c>
      <c r="AI42" s="259"/>
      <c r="AJ42" s="279" t="s">
        <v>4</v>
      </c>
      <c r="AK42" s="278">
        <f>AN37*3</f>
        <v>570</v>
      </c>
      <c r="AL42" s="278">
        <f>COUNTIFS(F6Results_2026[Sex],"M",F6Results_2026[Div],"III")*3</f>
        <v>111</v>
      </c>
      <c r="AM42" s="278">
        <f>COUNTIFS(F6Results_2026[Sex],"F",F6Results_2026[Div],"III")*3</f>
        <v>102</v>
      </c>
      <c r="AN42" s="278">
        <f t="shared" si="7"/>
        <v>213</v>
      </c>
    </row>
    <row r="43" spans="1:49" x14ac:dyDescent="0.3">
      <c r="A43" s="284" t="s">
        <v>87</v>
      </c>
      <c r="B43" s="296">
        <v>2026</v>
      </c>
      <c r="C43" s="285">
        <v>20130285619</v>
      </c>
      <c r="D43" s="297" t="s">
        <v>88</v>
      </c>
      <c r="E43" s="296" t="s">
        <v>45</v>
      </c>
      <c r="F43" s="296" t="s">
        <v>41</v>
      </c>
      <c r="G43" s="296" t="s">
        <v>84</v>
      </c>
      <c r="H43" s="93" cm="1">
        <f t="array" ref="H4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43" s="298" t="str">
        <f t="shared" si="8"/>
        <v>III</v>
      </c>
      <c r="J43" s="296" t="s">
        <v>42</v>
      </c>
      <c r="K43" s="298" t="s">
        <v>7</v>
      </c>
      <c r="L43" s="298"/>
      <c r="M43" s="296" t="s">
        <v>6</v>
      </c>
      <c r="N43" s="296" t="s">
        <v>5</v>
      </c>
      <c r="O43" s="296"/>
      <c r="P43" s="296" t="s">
        <v>5</v>
      </c>
      <c r="Q43" s="296"/>
      <c r="R43" s="296"/>
      <c r="S43" s="296"/>
      <c r="T43" s="296"/>
      <c r="U43" s="296"/>
      <c r="V43" s="296"/>
      <c r="W43" s="296"/>
      <c r="X43" s="296"/>
      <c r="Y43" s="296"/>
      <c r="Z43" s="296">
        <f t="array" ref="Z43">SUM(IF(K43:Y43="A",1,0), IF(K43:Y43="B",2,0), IF(K43:Y43="C",3,0), IF(K43:Y43="D",4,0), IF(K43:Y43="E",5,0), IF(K43:Y43="S",6,0), IF(K43:Y43="F",7,0))</f>
        <v>19</v>
      </c>
      <c r="AA43" s="289">
        <f>_xlfn.XLOOKUP(F6Results_2026[[#This Row],[Full_Name]],tblF42023[FULL_NAME],tblF42023[POINTS],"",0,1)</f>
        <v>17</v>
      </c>
      <c r="AB43" s="289" t="str">
        <f>_xlfn.XLOOKUP(F6Results_2026[[#This Row],[Full_Name]],tblF42023[FULL_NAME],tblF42023[DIVISION],"",0,1)</f>
        <v>I</v>
      </c>
      <c r="AC43" s="289">
        <f>_xlfn.XLOOKUP(F6Results_2026[[#This Row],[Full_Name]],tblF42023[FULL_NAME],tblF42023[POINTS],"",0,1)</f>
        <v>17</v>
      </c>
      <c r="AD43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43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43" s="299">
        <f>_xlfn.XLOOKUP(F6Results_2026[[#This Row],[Full_Name]],tblF22021[FULL_NAME],tblF22021[POINTS],"",0,1)</f>
        <v>13</v>
      </c>
      <c r="AG43" s="299" t="str">
        <f>_xlfn.XLOOKUP(F6Results_2026[[#This Row],[Full_Name]],tblF42023[FULL_NAME],tblF42023[DIVISION],"",0,1)</f>
        <v>I</v>
      </c>
      <c r="AH43" s="300">
        <f>_xlfn.XLOOKUP(F6Results_2026[[#This Row],[Full_Name]],tblF42023[FULL_NAME],tblF42023[TOTAL A''S],"",0,1)</f>
        <v>1</v>
      </c>
      <c r="AI43" s="259"/>
      <c r="AJ43" s="279" t="s">
        <v>5</v>
      </c>
      <c r="AK43" s="278">
        <f>AO37*4</f>
        <v>740</v>
      </c>
      <c r="AL43" s="278">
        <f>COUNTIFS(F6Results_2026[Sex],"M",F6Results_2026[Div],"IV")*4</f>
        <v>12</v>
      </c>
      <c r="AM43" s="278">
        <f>COUNTIFS(F6Results_2026[Sex],"F",F6Results_2026[Div],"IV")*4</f>
        <v>12</v>
      </c>
      <c r="AN43" s="278">
        <f t="shared" si="7"/>
        <v>24</v>
      </c>
    </row>
    <row r="44" spans="1:49" x14ac:dyDescent="0.3">
      <c r="A44" s="301" t="s">
        <v>983</v>
      </c>
      <c r="B44" s="299">
        <v>2026</v>
      </c>
      <c r="C44" s="299">
        <v>20130285622</v>
      </c>
      <c r="D44" s="297" t="s">
        <v>341</v>
      </c>
      <c r="E44" s="299" t="s">
        <v>978</v>
      </c>
      <c r="F44" s="299" t="s">
        <v>896</v>
      </c>
      <c r="G44" s="299" t="s">
        <v>84</v>
      </c>
      <c r="H44" s="93" cm="1">
        <f t="array" ref="H4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44" s="289" t="str">
        <f t="shared" si="8"/>
        <v>II</v>
      </c>
      <c r="J44" s="296" t="s">
        <v>42</v>
      </c>
      <c r="K44" s="289" t="s">
        <v>6</v>
      </c>
      <c r="L44" s="289"/>
      <c r="M44" s="299"/>
      <c r="N44" s="299"/>
      <c r="O44" s="299"/>
      <c r="P44" s="299"/>
      <c r="Q44" s="299" t="s">
        <v>6</v>
      </c>
      <c r="R44" s="299"/>
      <c r="S44" s="299"/>
      <c r="T44" s="299"/>
      <c r="U44" s="299" t="s">
        <v>4</v>
      </c>
      <c r="V44" s="299" t="s">
        <v>4</v>
      </c>
      <c r="W44" s="299"/>
      <c r="X44" s="299"/>
      <c r="Y44" s="299"/>
      <c r="Z44" s="299"/>
      <c r="AA44" s="302">
        <f>_xlfn.XLOOKUP(F6Results_2026[[#This Row],[Full_Name]],tblF42023[FULL_NAME],tblF42023[POINTS],"",0,1)</f>
        <v>8</v>
      </c>
      <c r="AB44" s="302" t="str">
        <f>_xlfn.XLOOKUP(F6Results_2026[[#This Row],[Full_Name]],tblF42023[FULL_NAME],tblF42023[DIVISION],"",0,1)</f>
        <v>I</v>
      </c>
      <c r="AC44" s="302">
        <f>_xlfn.XLOOKUP(F6Results_2026[[#This Row],[Full_Name]],tblF42023[FULL_NAME],tblF42023[POINTS],"",0,1)</f>
        <v>8</v>
      </c>
      <c r="AD44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44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44" s="304">
        <f>_xlfn.XLOOKUP(F6Results_2026[[#This Row],[Full_Name]],tblF22021[FULL_NAME],tblF22021[POINTS],"",0,1)</f>
        <v>7</v>
      </c>
      <c r="AG44" s="304" t="str">
        <f>_xlfn.XLOOKUP(F6Results_2026[[#This Row],[Full_Name]],tblF42023[FULL_NAME],tblF42023[DIVISION],"",0,1)</f>
        <v>I</v>
      </c>
      <c r="AH44" s="305">
        <f>_xlfn.XLOOKUP(F6Results_2026[[#This Row],[Full_Name]],tblF42023[FULL_NAME],tblF42023[TOTAL A''S],"",0,1)</f>
        <v>6</v>
      </c>
      <c r="AI44" s="259"/>
      <c r="AJ44" s="279" t="s">
        <v>6</v>
      </c>
      <c r="AK44" s="278">
        <f>AP37*5</f>
        <v>780</v>
      </c>
      <c r="AL44" s="278">
        <f>COUNTIFS(F6Results_2026[Sex],"M",F6Results_2026[Div],"0")*5</f>
        <v>0</v>
      </c>
      <c r="AM44" s="278">
        <f>COUNTIFS(F6Results_2026[Sex],"F",F6Results_2026[Div],"0")*5</f>
        <v>0</v>
      </c>
      <c r="AN44" s="278">
        <f t="shared" si="7"/>
        <v>0</v>
      </c>
    </row>
    <row r="45" spans="1:49" x14ac:dyDescent="0.3">
      <c r="A45" s="284" t="s">
        <v>293</v>
      </c>
      <c r="B45" s="296">
        <v>2026</v>
      </c>
      <c r="C45" s="285">
        <v>20130285624</v>
      </c>
      <c r="D45" s="297" t="s">
        <v>294</v>
      </c>
      <c r="E45" s="298" t="s">
        <v>240</v>
      </c>
      <c r="F45" s="298" t="s">
        <v>896</v>
      </c>
      <c r="G45" s="298" t="s">
        <v>84</v>
      </c>
      <c r="H45" s="93" cm="1">
        <f t="array" ref="H4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45" s="298" t="str">
        <f t="shared" si="8"/>
        <v>III</v>
      </c>
      <c r="J45" s="296" t="s">
        <v>42</v>
      </c>
      <c r="K45" s="296" t="s">
        <v>7</v>
      </c>
      <c r="L45" s="296" t="s">
        <v>4</v>
      </c>
      <c r="M45" s="298"/>
      <c r="N45" s="298"/>
      <c r="O45" s="298"/>
      <c r="P45" s="298"/>
      <c r="Q45" s="298" t="s">
        <v>5</v>
      </c>
      <c r="R45" s="298" t="s">
        <v>5</v>
      </c>
      <c r="S45" s="298" t="s">
        <v>8</v>
      </c>
      <c r="T45" s="298"/>
      <c r="U45" s="298"/>
      <c r="V45" s="298"/>
      <c r="W45" s="298"/>
      <c r="X45" s="298"/>
      <c r="Y45" s="298"/>
      <c r="Z45" s="296">
        <f t="array" ref="Z45">SUM(IF(K45:Y45="A",1,0), IF(K45:Y45="B",2,0), IF(K45:Y45="C",3,0), IF(K45:Y45="D",4,0), IF(K45:Y45="E",5,0), IF(K45:Y45="S",6,0), IF(K45:Y45="F",7,0))</f>
        <v>24</v>
      </c>
      <c r="AA45" s="289">
        <f>_xlfn.XLOOKUP(F6Results_2026[[#This Row],[Full_Name]],tblF42023[FULL_NAME],tblF42023[POINTS],"",0,1)</f>
        <v>12</v>
      </c>
      <c r="AB45" s="289" t="str">
        <f>_xlfn.XLOOKUP(F6Results_2026[[#This Row],[Full_Name]],tblF42023[FULL_NAME],tblF42023[DIVISION],"",0,1)</f>
        <v>I</v>
      </c>
      <c r="AC45" s="289">
        <f>_xlfn.XLOOKUP(F6Results_2026[[#This Row],[Full_Name]],tblF42023[FULL_NAME],tblF42023[POINTS],"",0,1)</f>
        <v>12</v>
      </c>
      <c r="AD45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4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45" s="299">
        <f>_xlfn.XLOOKUP(F6Results_2026[[#This Row],[Full_Name]],tblF22021[FULL_NAME],tblF22021[POINTS],"",0,1)</f>
        <v>7</v>
      </c>
      <c r="AG45" s="299" t="str">
        <f>_xlfn.XLOOKUP(F6Results_2026[[#This Row],[Full_Name]],tblF42023[FULL_NAME],tblF42023[DIVISION],"",0,1)</f>
        <v>I</v>
      </c>
      <c r="AH45" s="300">
        <f>_xlfn.XLOOKUP(F6Results_2026[[#This Row],[Full_Name]],tblF42023[FULL_NAME],tblF42023[TOTAL A''S],"",0,1)</f>
        <v>2</v>
      </c>
      <c r="AI45" s="259"/>
      <c r="AJ45" s="279" t="s">
        <v>7</v>
      </c>
      <c r="AK45" s="278">
        <f>AQ37*6</f>
        <v>228</v>
      </c>
      <c r="AL45" s="278"/>
      <c r="AM45" s="278"/>
      <c r="AN45" s="278">
        <f t="shared" si="7"/>
        <v>0</v>
      </c>
    </row>
    <row r="46" spans="1:49" x14ac:dyDescent="0.3">
      <c r="A46" s="301" t="s">
        <v>970</v>
      </c>
      <c r="B46" s="299">
        <v>2026</v>
      </c>
      <c r="C46" s="299">
        <v>20130285625</v>
      </c>
      <c r="D46" s="297" t="s">
        <v>335</v>
      </c>
      <c r="E46" s="299" t="s">
        <v>289</v>
      </c>
      <c r="F46" s="299" t="s">
        <v>896</v>
      </c>
      <c r="G46" s="299" t="s">
        <v>84</v>
      </c>
      <c r="H46" s="93" cm="1">
        <f t="array" ref="H4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46" s="289" t="str">
        <f t="shared" si="8"/>
        <v>III</v>
      </c>
      <c r="J46" s="296" t="s">
        <v>42</v>
      </c>
      <c r="K46" s="289" t="s">
        <v>5</v>
      </c>
      <c r="L46" s="289" t="s">
        <v>7</v>
      </c>
      <c r="M46" s="299"/>
      <c r="N46" s="299"/>
      <c r="O46" s="299"/>
      <c r="P46" s="299"/>
      <c r="Q46" s="299"/>
      <c r="R46" s="299" t="s">
        <v>5</v>
      </c>
      <c r="S46" s="299" t="s">
        <v>8</v>
      </c>
      <c r="T46" s="299" t="s">
        <v>4</v>
      </c>
      <c r="U46" s="299"/>
      <c r="V46" s="299"/>
      <c r="W46" s="299"/>
      <c r="X46" s="299"/>
      <c r="Y46" s="299"/>
      <c r="Z46" s="299"/>
      <c r="AA46" s="302">
        <f>_xlfn.XLOOKUP(F6Results_2026[[#This Row],[Full_Name]],tblF42023[FULL_NAME],tblF42023[POINTS],"",0,1)</f>
        <v>10</v>
      </c>
      <c r="AB46" s="302" t="str">
        <f>_xlfn.XLOOKUP(F6Results_2026[[#This Row],[Full_Name]],tblF42023[FULL_NAME],tblF42023[DIVISION],"",0,1)</f>
        <v>I</v>
      </c>
      <c r="AC46" s="302">
        <f>_xlfn.XLOOKUP(F6Results_2026[[#This Row],[Full_Name]],tblF42023[FULL_NAME],tblF42023[POINTS],"",0,1)</f>
        <v>10</v>
      </c>
      <c r="AD46" s="303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46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46" s="304">
        <f>_xlfn.XLOOKUP(F6Results_2026[[#This Row],[Full_Name]],tblF22021[FULL_NAME],tblF22021[POINTS],"",0,1)</f>
        <v>7</v>
      </c>
      <c r="AG46" s="304" t="str">
        <f>_xlfn.XLOOKUP(F6Results_2026[[#This Row],[Full_Name]],tblF42023[FULL_NAME],tblF42023[DIVISION],"",0,1)</f>
        <v>I</v>
      </c>
      <c r="AH46" s="305">
        <f>_xlfn.XLOOKUP(F6Results_2026[[#This Row],[Full_Name]],tblF42023[FULL_NAME],tblF42023[TOTAL A''S],"",0,1)</f>
        <v>4</v>
      </c>
      <c r="AI46" s="259"/>
      <c r="AJ46" s="279" t="s">
        <v>8</v>
      </c>
      <c r="AK46" s="278">
        <f>AR37*7</f>
        <v>917</v>
      </c>
      <c r="AL46" s="278"/>
      <c r="AM46" s="278"/>
      <c r="AN46" s="278">
        <f t="shared" si="7"/>
        <v>0</v>
      </c>
    </row>
    <row r="47" spans="1:49" x14ac:dyDescent="0.3">
      <c r="A47" s="284" t="s">
        <v>182</v>
      </c>
      <c r="B47" s="296">
        <v>2026</v>
      </c>
      <c r="C47" s="285">
        <v>20130285627</v>
      </c>
      <c r="D47" s="297" t="s">
        <v>183</v>
      </c>
      <c r="E47" s="298" t="s">
        <v>139</v>
      </c>
      <c r="F47" s="298" t="s">
        <v>895</v>
      </c>
      <c r="G47" s="298" t="s">
        <v>84</v>
      </c>
      <c r="H47" s="93" cm="1">
        <f t="array" ref="H4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47" s="298" t="str">
        <f t="shared" si="8"/>
        <v>II</v>
      </c>
      <c r="J47" s="296" t="s">
        <v>42</v>
      </c>
      <c r="K47" s="296" t="s">
        <v>7</v>
      </c>
      <c r="L47" s="296"/>
      <c r="M47" s="298"/>
      <c r="N47" s="298" t="s">
        <v>4</v>
      </c>
      <c r="O47" s="298"/>
      <c r="P47" s="298"/>
      <c r="Q47" s="298"/>
      <c r="R47" s="298"/>
      <c r="S47" s="298"/>
      <c r="T47" s="298"/>
      <c r="U47" s="298" t="s">
        <v>5</v>
      </c>
      <c r="V47" s="298"/>
      <c r="W47" s="298" t="s">
        <v>4</v>
      </c>
      <c r="X47" s="298"/>
      <c r="Y47" s="298"/>
      <c r="Z47" s="296">
        <f t="array" ref="Z47">SUM(IF(K47:Y47="A",1,0), IF(K47:Y47="B",2,0), IF(K47:Y47="C",3,0), IF(K47:Y47="D",4,0), IF(K47:Y47="E",5,0), IF(K47:Y47="S",6,0), IF(K47:Y47="F",7,0))</f>
        <v>16</v>
      </c>
      <c r="AA47" s="289">
        <f>_xlfn.XLOOKUP(F6Results_2026[[#This Row],[Full_Name]],tblF42023[FULL_NAME],tblF42023[POINTS],"",0,1)</f>
        <v>14</v>
      </c>
      <c r="AB47" s="289" t="str">
        <f>_xlfn.XLOOKUP(F6Results_2026[[#This Row],[Full_Name]],tblF42023[FULL_NAME],tblF42023[DIVISION],"",0,1)</f>
        <v>I</v>
      </c>
      <c r="AC47" s="289">
        <f>_xlfn.XLOOKUP(F6Results_2026[[#This Row],[Full_Name]],tblF42023[FULL_NAME],tblF42023[POINTS],"",0,1)</f>
        <v>14</v>
      </c>
      <c r="AD47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4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47" s="299">
        <f>_xlfn.XLOOKUP(F6Results_2026[[#This Row],[Full_Name]],tblF22021[FULL_NAME],tblF22021[POINTS],"",0,1)</f>
        <v>7</v>
      </c>
      <c r="AG47" s="299" t="str">
        <f>_xlfn.XLOOKUP(F6Results_2026[[#This Row],[Full_Name]],tblF42023[FULL_NAME],tblF42023[DIVISION],"",0,1)</f>
        <v>I</v>
      </c>
      <c r="AH47" s="300">
        <f>_xlfn.XLOOKUP(F6Results_2026[[#This Row],[Full_Name]],tblF42023[FULL_NAME],tblF42023[TOTAL A''S],"",0,1)</f>
        <v>1</v>
      </c>
      <c r="AI47" s="259"/>
      <c r="AJ47" s="279" t="s">
        <v>988</v>
      </c>
      <c r="AK47" s="278">
        <f>SUM(AK40:AK46)</f>
        <v>3314</v>
      </c>
      <c r="AL47" s="278">
        <f>SUM(AL40:AL46)</f>
        <v>193</v>
      </c>
      <c r="AM47" s="278">
        <f>SUM(AM40:AM46)</f>
        <v>212</v>
      </c>
      <c r="AN47" s="278">
        <f>SUM(AN40:AN46)</f>
        <v>405</v>
      </c>
    </row>
    <row r="48" spans="1:49" x14ac:dyDescent="0.3">
      <c r="A48" s="284" t="s">
        <v>234</v>
      </c>
      <c r="B48" s="296">
        <v>2026</v>
      </c>
      <c r="C48" s="285">
        <v>20130285630</v>
      </c>
      <c r="D48" s="297" t="s">
        <v>235</v>
      </c>
      <c r="E48" s="298" t="s">
        <v>194</v>
      </c>
      <c r="F48" s="298" t="s">
        <v>896</v>
      </c>
      <c r="G48" s="298" t="s">
        <v>84</v>
      </c>
      <c r="H48" s="93" cm="1">
        <f t="array" ref="H4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48" s="298" t="str">
        <f t="shared" si="8"/>
        <v>II</v>
      </c>
      <c r="J48" s="296" t="s">
        <v>42</v>
      </c>
      <c r="K48" s="296" t="s">
        <v>6</v>
      </c>
      <c r="L48" s="296"/>
      <c r="M48" s="298"/>
      <c r="N48" s="298"/>
      <c r="O48" s="298"/>
      <c r="P48" s="298"/>
      <c r="Q48" s="298" t="s">
        <v>5</v>
      </c>
      <c r="R48" s="298" t="s">
        <v>4</v>
      </c>
      <c r="S48" s="298"/>
      <c r="T48" s="298"/>
      <c r="U48" s="298" t="s">
        <v>5</v>
      </c>
      <c r="V48" s="298"/>
      <c r="W48" s="298"/>
      <c r="X48" s="298"/>
      <c r="Y48" s="298"/>
      <c r="Z48" s="296">
        <f t="array" ref="Z48">SUM(IF(K48:Y48="A",1,0), IF(K48:Y48="B",2,0), IF(K48:Y48="C",3,0), IF(K48:Y48="D",4,0), IF(K48:Y48="E",5,0), IF(K48:Y48="S",6,0), IF(K48:Y48="F",7,0))</f>
        <v>16</v>
      </c>
      <c r="AA48" s="289">
        <f>_xlfn.XLOOKUP(F6Results_2026[[#This Row],[Full_Name]],tblF42023[FULL_NAME],tblF42023[POINTS],"",0,1)</f>
        <v>7</v>
      </c>
      <c r="AB48" s="289" t="str">
        <f>_xlfn.XLOOKUP(F6Results_2026[[#This Row],[Full_Name]],tblF42023[FULL_NAME],tblF42023[DIVISION],"",0,1)</f>
        <v>I</v>
      </c>
      <c r="AC48" s="289">
        <f>_xlfn.XLOOKUP(F6Results_2026[[#This Row],[Full_Name]],tblF42023[FULL_NAME],tblF42023[POINTS],"",0,1)</f>
        <v>7</v>
      </c>
      <c r="AD48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4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48" s="299">
        <f>_xlfn.XLOOKUP(F6Results_2026[[#This Row],[Full_Name]],tblF22021[FULL_NAME],tblF22021[POINTS],"",0,1)</f>
        <v>7</v>
      </c>
      <c r="AG48" s="299" t="str">
        <f>_xlfn.XLOOKUP(F6Results_2026[[#This Row],[Full_Name]],tblF42023[FULL_NAME],tblF42023[DIVISION],"",0,1)</f>
        <v>I</v>
      </c>
      <c r="AH48" s="300">
        <f>_xlfn.XLOOKUP(F6Results_2026[[#This Row],[Full_Name]],tblF42023[FULL_NAME],tblF42023[TOTAL A''S],"",0,1)</f>
        <v>8</v>
      </c>
      <c r="AI48" s="259"/>
      <c r="AJ48" s="278"/>
      <c r="AK48" s="278">
        <f>AK47/AS37</f>
        <v>4.3835978835978837</v>
      </c>
      <c r="AL48" s="278">
        <f>AL47/L4</f>
        <v>2.2183908045977012</v>
      </c>
      <c r="AM48" s="278">
        <f>AM47/L5</f>
        <v>2.0784313725490198</v>
      </c>
      <c r="AN48" s="278">
        <f>AN47/L6</f>
        <v>2.1428571428571428</v>
      </c>
    </row>
    <row r="49" spans="1:40" x14ac:dyDescent="0.3">
      <c r="A49" s="284" t="s">
        <v>186</v>
      </c>
      <c r="B49" s="296">
        <v>2026</v>
      </c>
      <c r="C49" s="285">
        <v>20130285633</v>
      </c>
      <c r="D49" s="297" t="s">
        <v>187</v>
      </c>
      <c r="E49" s="298" t="s">
        <v>139</v>
      </c>
      <c r="F49" s="298" t="s">
        <v>895</v>
      </c>
      <c r="G49" s="298" t="s">
        <v>84</v>
      </c>
      <c r="H49" s="93" cm="1">
        <f t="array" ref="H4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49" s="298" t="str">
        <f t="shared" si="8"/>
        <v>III</v>
      </c>
      <c r="J49" s="296" t="s">
        <v>42</v>
      </c>
      <c r="K49" s="296" t="s">
        <v>6</v>
      </c>
      <c r="L49" s="296"/>
      <c r="M49" s="298"/>
      <c r="N49" s="298" t="s">
        <v>4</v>
      </c>
      <c r="O49" s="298"/>
      <c r="P49" s="298"/>
      <c r="Q49" s="298"/>
      <c r="R49" s="298"/>
      <c r="S49" s="298"/>
      <c r="T49" s="298"/>
      <c r="U49" s="298" t="s">
        <v>6</v>
      </c>
      <c r="V49" s="298"/>
      <c r="W49" s="298" t="s">
        <v>8</v>
      </c>
      <c r="X49" s="298"/>
      <c r="Y49" s="298"/>
      <c r="Z49" s="296">
        <f t="array" ref="Z49">SUM(IF(K49:Y49="A",1,0), IF(K49:Y49="B",2,0), IF(K49:Y49="C",3,0), IF(K49:Y49="D",4,0), IF(K49:Y49="E",5,0), IF(K49:Y49="S",6,0), IF(K49:Y49="F",7,0))</f>
        <v>20</v>
      </c>
      <c r="AA49" s="289">
        <f>_xlfn.XLOOKUP(F6Results_2026[[#This Row],[Full_Name]],tblF42023[FULL_NAME],tblF42023[POINTS],"",0,1)</f>
        <v>9</v>
      </c>
      <c r="AB49" s="289" t="str">
        <f>_xlfn.XLOOKUP(F6Results_2026[[#This Row],[Full_Name]],tblF42023[FULL_NAME],tblF42023[DIVISION],"",0,1)</f>
        <v>I</v>
      </c>
      <c r="AC49" s="289">
        <f>_xlfn.XLOOKUP(F6Results_2026[[#This Row],[Full_Name]],tblF42023[FULL_NAME],tblF42023[POINTS],"",0,1)</f>
        <v>9</v>
      </c>
      <c r="AD49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49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49" s="299">
        <f>_xlfn.XLOOKUP(F6Results_2026[[#This Row],[Full_Name]],tblF22021[FULL_NAME],tblF22021[POINTS],"",0,1)</f>
        <v>7</v>
      </c>
      <c r="AG49" s="299" t="str">
        <f>_xlfn.XLOOKUP(F6Results_2026[[#This Row],[Full_Name]],tblF42023[FULL_NAME],tblF42023[DIVISION],"",0,1)</f>
        <v>I</v>
      </c>
      <c r="AH49" s="300">
        <f>_xlfn.XLOOKUP(F6Results_2026[[#This Row],[Full_Name]],tblF42023[FULL_NAME],tblF42023[TOTAL A''S],"",0,1)</f>
        <v>5</v>
      </c>
      <c r="AI49" s="259"/>
      <c r="AJ49" s="278"/>
      <c r="AK49" s="388">
        <f>AVERAGE(AN48,AK48)</f>
        <v>3.2632275132275135</v>
      </c>
      <c r="AL49" s="388"/>
      <c r="AM49" s="388"/>
      <c r="AN49" s="388"/>
    </row>
    <row r="50" spans="1:40" x14ac:dyDescent="0.3">
      <c r="A50" s="284" t="s">
        <v>325</v>
      </c>
      <c r="B50" s="296">
        <v>2026</v>
      </c>
      <c r="C50" s="285">
        <v>20130285636</v>
      </c>
      <c r="D50" s="297" t="s">
        <v>326</v>
      </c>
      <c r="E50" s="298" t="s">
        <v>304</v>
      </c>
      <c r="F50" s="298" t="s">
        <v>895</v>
      </c>
      <c r="G50" s="298" t="s">
        <v>84</v>
      </c>
      <c r="H50" s="93" cm="1">
        <f t="array" ref="H5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50" s="298" t="str">
        <f t="shared" si="8"/>
        <v>III</v>
      </c>
      <c r="J50" s="296" t="s">
        <v>42</v>
      </c>
      <c r="K50" s="296" t="s">
        <v>6</v>
      </c>
      <c r="L50" s="296" t="s">
        <v>6</v>
      </c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 t="s">
        <v>8</v>
      </c>
      <c r="X50" s="298" t="s">
        <v>8</v>
      </c>
      <c r="Y50" s="298" t="s">
        <v>4</v>
      </c>
      <c r="Z50" s="296">
        <f t="array" ref="Z50">SUM(IF(K50:Y50="A",1,0), IF(K50:Y50="B",2,0), IF(K50:Y50="C",3,0), IF(K50:Y50="D",4,0), IF(K50:Y50="E",5,0), IF(K50:Y50="S",6,0), IF(K50:Y50="F",7,0))</f>
        <v>27</v>
      </c>
      <c r="AA50" s="289">
        <f>_xlfn.XLOOKUP(F6Results_2026[[#This Row],[Full_Name]],tblF42023[FULL_NAME],tblF42023[POINTS],"",0,1)</f>
        <v>9</v>
      </c>
      <c r="AB50" s="289" t="str">
        <f>_xlfn.XLOOKUP(F6Results_2026[[#This Row],[Full_Name]],tblF42023[FULL_NAME],tblF42023[DIVISION],"",0,1)</f>
        <v>I</v>
      </c>
      <c r="AC50" s="289">
        <f>_xlfn.XLOOKUP(F6Results_2026[[#This Row],[Full_Name]],tblF42023[FULL_NAME],tblF42023[POINTS],"",0,1)</f>
        <v>9</v>
      </c>
      <c r="AD5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5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50" s="299">
        <f>_xlfn.XLOOKUP(F6Results_2026[[#This Row],[Full_Name]],tblF22021[FULL_NAME],tblF22021[POINTS],"",0,1)</f>
        <v>7</v>
      </c>
      <c r="AG50" s="299" t="str">
        <f>_xlfn.XLOOKUP(F6Results_2026[[#This Row],[Full_Name]],tblF42023[FULL_NAME],tblF42023[DIVISION],"",0,1)</f>
        <v>I</v>
      </c>
      <c r="AH50" s="300">
        <f>_xlfn.XLOOKUP(F6Results_2026[[#This Row],[Full_Name]],tblF42023[FULL_NAME],tblF42023[TOTAL A''S],"",0,1)</f>
        <v>5</v>
      </c>
      <c r="AI50" s="259"/>
    </row>
    <row r="51" spans="1:40" x14ac:dyDescent="0.3">
      <c r="A51" s="284" t="s">
        <v>89</v>
      </c>
      <c r="B51" s="296">
        <v>2026</v>
      </c>
      <c r="C51" s="285">
        <v>20130285637</v>
      </c>
      <c r="D51" s="297" t="s">
        <v>90</v>
      </c>
      <c r="E51" s="298" t="s">
        <v>45</v>
      </c>
      <c r="F51" s="298" t="s">
        <v>41</v>
      </c>
      <c r="G51" s="298" t="s">
        <v>84</v>
      </c>
      <c r="H51" s="93" cm="1">
        <f t="array" ref="H5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51" s="298" t="str">
        <f t="shared" si="8"/>
        <v>II</v>
      </c>
      <c r="J51" s="296" t="s">
        <v>42</v>
      </c>
      <c r="K51" s="296" t="s">
        <v>8</v>
      </c>
      <c r="L51" s="296"/>
      <c r="M51" s="298" t="s">
        <v>5</v>
      </c>
      <c r="N51" s="298" t="s">
        <v>5</v>
      </c>
      <c r="O51" s="298"/>
      <c r="P51" s="298" t="s">
        <v>5</v>
      </c>
      <c r="Q51" s="298"/>
      <c r="R51" s="298"/>
      <c r="S51" s="298"/>
      <c r="T51" s="298"/>
      <c r="U51" s="298"/>
      <c r="V51" s="298"/>
      <c r="W51" s="298"/>
      <c r="X51" s="298"/>
      <c r="Y51" s="298"/>
      <c r="Z51" s="296">
        <f t="array" ref="Z51">SUM(IF(K51:Y51="A",1,0), IF(K51:Y51="B",2,0), IF(K51:Y51="C",3,0), IF(K51:Y51="D",4,0), IF(K51:Y51="E",5,0), IF(K51:Y51="S",6,0), IF(K51:Y51="F",7,0))</f>
        <v>19</v>
      </c>
      <c r="AA51" s="289">
        <f>_xlfn.XLOOKUP(F6Results_2026[[#This Row],[Full_Name]],tblF42023[FULL_NAME],tblF42023[POINTS],"",0,1)</f>
        <v>15</v>
      </c>
      <c r="AB51" s="289" t="str">
        <f>_xlfn.XLOOKUP(F6Results_2026[[#This Row],[Full_Name]],tblF42023[FULL_NAME],tblF42023[DIVISION],"",0,1)</f>
        <v>I</v>
      </c>
      <c r="AC51" s="289">
        <f>_xlfn.XLOOKUP(F6Results_2026[[#This Row],[Full_Name]],tblF42023[FULL_NAME],tblF42023[POINTS],"",0,1)</f>
        <v>15</v>
      </c>
      <c r="AD51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5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1" s="299">
        <f>_xlfn.XLOOKUP(F6Results_2026[[#This Row],[Full_Name]],tblF22021[FULL_NAME],tblF22021[POINTS],"",0,1)</f>
        <v>11</v>
      </c>
      <c r="AG51" s="299" t="str">
        <f>_xlfn.XLOOKUP(F6Results_2026[[#This Row],[Full_Name]],tblF42023[FULL_NAME],tblF42023[DIVISION],"",0,1)</f>
        <v>I</v>
      </c>
      <c r="AH51" s="300">
        <f>_xlfn.XLOOKUP(F6Results_2026[[#This Row],[Full_Name]],tblF42023[FULL_NAME],tblF42023[TOTAL A''S],"",0,1)</f>
        <v>2</v>
      </c>
      <c r="AI51" s="259"/>
    </row>
    <row r="52" spans="1:40" x14ac:dyDescent="0.3">
      <c r="A52" s="284" t="s">
        <v>91</v>
      </c>
      <c r="B52" s="296">
        <v>2026</v>
      </c>
      <c r="C52" s="285">
        <v>20130285639</v>
      </c>
      <c r="D52" s="297" t="s">
        <v>92</v>
      </c>
      <c r="E52" s="296" t="s">
        <v>45</v>
      </c>
      <c r="F52" s="296" t="s">
        <v>41</v>
      </c>
      <c r="G52" s="296" t="s">
        <v>84</v>
      </c>
      <c r="H52" s="93" cm="1">
        <f t="array" ref="H5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52" s="298" t="str">
        <f t="shared" si="8"/>
        <v>III</v>
      </c>
      <c r="J52" s="296" t="s">
        <v>42</v>
      </c>
      <c r="K52" s="298" t="s">
        <v>8</v>
      </c>
      <c r="L52" s="298"/>
      <c r="M52" s="296" t="s">
        <v>5</v>
      </c>
      <c r="N52" s="296" t="s">
        <v>6</v>
      </c>
      <c r="O52" s="296"/>
      <c r="P52" s="296" t="s">
        <v>5</v>
      </c>
      <c r="Q52" s="296"/>
      <c r="R52" s="296"/>
      <c r="S52" s="296"/>
      <c r="T52" s="296"/>
      <c r="U52" s="296"/>
      <c r="V52" s="296"/>
      <c r="W52" s="296"/>
      <c r="X52" s="296"/>
      <c r="Y52" s="296"/>
      <c r="Z52" s="296">
        <f t="array" ref="Z52">SUM(IF(K52:Y52="A",1,0), IF(K52:Y52="B",2,0), IF(K52:Y52="C",3,0), IF(K52:Y52="D",4,0), IF(K52:Y52="E",5,0), IF(K52:Y52="S",6,0), IF(K52:Y52="F",7,0))</f>
        <v>20</v>
      </c>
      <c r="AA52" s="289">
        <f>_xlfn.XLOOKUP(F6Results_2026[[#This Row],[Full_Name]],tblF42023[FULL_NAME],tblF42023[POINTS],"",0,1)</f>
        <v>15</v>
      </c>
      <c r="AB52" s="289" t="str">
        <f>_xlfn.XLOOKUP(F6Results_2026[[#This Row],[Full_Name]],tblF42023[FULL_NAME],tblF42023[DIVISION],"",0,1)</f>
        <v>I</v>
      </c>
      <c r="AC52" s="289">
        <f>_xlfn.XLOOKUP(F6Results_2026[[#This Row],[Full_Name]],tblF42023[FULL_NAME],tblF42023[POINTS],"",0,1)</f>
        <v>15</v>
      </c>
      <c r="AD52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52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2" s="299">
        <f>_xlfn.XLOOKUP(F6Results_2026[[#This Row],[Full_Name]],tblF22021[FULL_NAME],tblF22021[POINTS],"",0,1)</f>
        <v>10</v>
      </c>
      <c r="AG52" s="299" t="str">
        <f>_xlfn.XLOOKUP(F6Results_2026[[#This Row],[Full_Name]],tblF42023[FULL_NAME],tblF42023[DIVISION],"",0,1)</f>
        <v>I</v>
      </c>
      <c r="AH52" s="300">
        <f>_xlfn.XLOOKUP(F6Results_2026[[#This Row],[Full_Name]],tblF42023[FULL_NAME],tblF42023[TOTAL A''S],"",0,1)</f>
        <v>0</v>
      </c>
      <c r="AI52" s="259"/>
    </row>
    <row r="53" spans="1:40" x14ac:dyDescent="0.3">
      <c r="A53" s="284" t="s">
        <v>327</v>
      </c>
      <c r="B53" s="296">
        <v>2026</v>
      </c>
      <c r="C53" s="285">
        <v>20130285640</v>
      </c>
      <c r="D53" s="297" t="s">
        <v>328</v>
      </c>
      <c r="E53" s="296" t="s">
        <v>304</v>
      </c>
      <c r="F53" s="296" t="s">
        <v>895</v>
      </c>
      <c r="G53" s="296" t="s">
        <v>84</v>
      </c>
      <c r="H53" s="93" cm="1">
        <f t="array" ref="H5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53" s="298" t="str">
        <f t="shared" si="8"/>
        <v>III</v>
      </c>
      <c r="J53" s="296" t="s">
        <v>42</v>
      </c>
      <c r="K53" s="289" t="s">
        <v>6</v>
      </c>
      <c r="L53" s="289" t="s">
        <v>7</v>
      </c>
      <c r="M53" s="296"/>
      <c r="N53" s="296"/>
      <c r="O53" s="296"/>
      <c r="P53" s="296"/>
      <c r="Q53" s="296"/>
      <c r="R53" s="296"/>
      <c r="S53" s="298"/>
      <c r="T53" s="296"/>
      <c r="U53" s="296"/>
      <c r="V53" s="296"/>
      <c r="W53" s="296" t="s">
        <v>4</v>
      </c>
      <c r="X53" s="296" t="s">
        <v>8</v>
      </c>
      <c r="Y53" s="296" t="s">
        <v>6</v>
      </c>
      <c r="Z53" s="296">
        <f t="array" ref="Z53">SUM(IF(K53:Y53="A",1,0), IF(K53:Y53="B",2,0), IF(K53:Y53="C",3,0), IF(K53:Y53="D",4,0), IF(K53:Y53="E",5,0), IF(K53:Y53="S",6,0), IF(K53:Y53="F",7,0))</f>
        <v>26</v>
      </c>
      <c r="AA53" s="289">
        <f>_xlfn.XLOOKUP(F6Results_2026[[#This Row],[Full_Name]],tblF42023[FULL_NAME],tblF42023[POINTS],"",0,1)</f>
        <v>15</v>
      </c>
      <c r="AB53" s="289" t="str">
        <f>_xlfn.XLOOKUP(F6Results_2026[[#This Row],[Full_Name]],tblF42023[FULL_NAME],tblF42023[DIVISION],"",0,1)</f>
        <v>I</v>
      </c>
      <c r="AC53" s="289">
        <f>_xlfn.XLOOKUP(F6Results_2026[[#This Row],[Full_Name]],tblF42023[FULL_NAME],tblF42023[POINTS],"",0,1)</f>
        <v>15</v>
      </c>
      <c r="AD5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5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53" s="299">
        <f>_xlfn.XLOOKUP(F6Results_2026[[#This Row],[Full_Name]],tblF22021[FULL_NAME],tblF22021[POINTS],"",0,1)</f>
        <v>10</v>
      </c>
      <c r="AG53" s="299" t="str">
        <f>_xlfn.XLOOKUP(F6Results_2026[[#This Row],[Full_Name]],tblF42023[FULL_NAME],tblF42023[DIVISION],"",0,1)</f>
        <v>I</v>
      </c>
      <c r="AH53" s="300">
        <f>_xlfn.XLOOKUP(F6Results_2026[[#This Row],[Full_Name]],tblF42023[FULL_NAME],tblF42023[TOTAL A''S],"",0,1)</f>
        <v>2</v>
      </c>
      <c r="AI53" s="259"/>
    </row>
    <row r="54" spans="1:40" x14ac:dyDescent="0.3">
      <c r="A54" s="284" t="s">
        <v>190</v>
      </c>
      <c r="B54" s="296">
        <v>2026</v>
      </c>
      <c r="C54" s="285">
        <v>20130285642</v>
      </c>
      <c r="D54" s="297" t="s">
        <v>191</v>
      </c>
      <c r="E54" s="298" t="s">
        <v>139</v>
      </c>
      <c r="F54" s="298" t="s">
        <v>895</v>
      </c>
      <c r="G54" s="298" t="s">
        <v>84</v>
      </c>
      <c r="H54" s="93" cm="1">
        <f t="array" ref="H5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54" s="298" t="str">
        <f t="shared" si="8"/>
        <v>II</v>
      </c>
      <c r="J54" s="296" t="s">
        <v>42</v>
      </c>
      <c r="K54" s="296" t="s">
        <v>6</v>
      </c>
      <c r="L54" s="296"/>
      <c r="M54" s="298"/>
      <c r="N54" s="298" t="s">
        <v>3</v>
      </c>
      <c r="O54" s="298"/>
      <c r="P54" s="298"/>
      <c r="Q54" s="298"/>
      <c r="R54" s="298"/>
      <c r="S54" s="298"/>
      <c r="T54" s="298"/>
      <c r="U54" s="298" t="s">
        <v>6</v>
      </c>
      <c r="V54" s="298"/>
      <c r="W54" s="298" t="s">
        <v>5</v>
      </c>
      <c r="X54" s="298"/>
      <c r="Y54" s="298"/>
      <c r="Z54" s="296">
        <f t="array" ref="Z54">SUM(IF(K54:Y54="A",1,0), IF(K54:Y54="B",2,0), IF(K54:Y54="C",3,0), IF(K54:Y54="D",4,0), IF(K54:Y54="E",5,0), IF(K54:Y54="S",6,0), IF(K54:Y54="F",7,0))</f>
        <v>16</v>
      </c>
      <c r="AA54" s="289">
        <f>_xlfn.XLOOKUP(F6Results_2026[[#This Row],[Full_Name]],tblF42023[FULL_NAME],tblF42023[POINTS],"",0,1)</f>
        <v>9</v>
      </c>
      <c r="AB54" s="289" t="str">
        <f>_xlfn.XLOOKUP(F6Results_2026[[#This Row],[Full_Name]],tblF42023[FULL_NAME],tblF42023[DIVISION],"",0,1)</f>
        <v>I</v>
      </c>
      <c r="AC54" s="289">
        <f>_xlfn.XLOOKUP(F6Results_2026[[#This Row],[Full_Name]],tblF42023[FULL_NAME],tblF42023[POINTS],"",0,1)</f>
        <v>9</v>
      </c>
      <c r="AD54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5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4" s="299">
        <f>_xlfn.XLOOKUP(F6Results_2026[[#This Row],[Full_Name]],tblF22021[FULL_NAME],tblF22021[POINTS],"",0,1)</f>
        <v>7</v>
      </c>
      <c r="AG54" s="299" t="str">
        <f>_xlfn.XLOOKUP(F6Results_2026[[#This Row],[Full_Name]],tblF42023[FULL_NAME],tblF42023[DIVISION],"",0,1)</f>
        <v>I</v>
      </c>
      <c r="AH54" s="300">
        <f>_xlfn.XLOOKUP(F6Results_2026[[#This Row],[Full_Name]],tblF42023[FULL_NAME],tblF42023[TOTAL A''S],"",0,1)</f>
        <v>5</v>
      </c>
      <c r="AI54" s="259"/>
    </row>
    <row r="55" spans="1:40" x14ac:dyDescent="0.3">
      <c r="A55" s="284" t="s">
        <v>237</v>
      </c>
      <c r="B55" s="296">
        <v>2026</v>
      </c>
      <c r="C55" s="285">
        <v>20130285643</v>
      </c>
      <c r="D55" s="297" t="s">
        <v>238</v>
      </c>
      <c r="E55" s="298" t="s">
        <v>194</v>
      </c>
      <c r="F55" s="298" t="s">
        <v>896</v>
      </c>
      <c r="G55" s="298" t="s">
        <v>84</v>
      </c>
      <c r="H55" s="93" cm="1">
        <f t="array" ref="H5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55" s="298" t="str">
        <f t="shared" si="8"/>
        <v>III</v>
      </c>
      <c r="J55" s="296" t="s">
        <v>42</v>
      </c>
      <c r="K55" s="296" t="s">
        <v>6</v>
      </c>
      <c r="L55" s="296"/>
      <c r="M55" s="298"/>
      <c r="N55" s="298"/>
      <c r="O55" s="298"/>
      <c r="P55" s="298"/>
      <c r="Q55" s="298" t="s">
        <v>7</v>
      </c>
      <c r="R55" s="298" t="s">
        <v>5</v>
      </c>
      <c r="S55" s="298"/>
      <c r="T55" s="298"/>
      <c r="U55" s="298" t="s">
        <v>6</v>
      </c>
      <c r="V55" s="298"/>
      <c r="W55" s="298"/>
      <c r="X55" s="298"/>
      <c r="Y55" s="298"/>
      <c r="Z55" s="296">
        <f t="array" ref="Z55">SUM(IF(K55:Y55="A",1,0), IF(K55:Y55="B",2,0), IF(K55:Y55="C",3,0), IF(K55:Y55="D",4,0), IF(K55:Y55="E",5,0), IF(K55:Y55="S",6,0), IF(K55:Y55="F",7,0))</f>
        <v>20</v>
      </c>
      <c r="AA55" s="289">
        <f>_xlfn.XLOOKUP(F6Results_2026[[#This Row],[Full_Name]],tblF42023[FULL_NAME],tblF42023[POINTS],"",0,1)</f>
        <v>9</v>
      </c>
      <c r="AB55" s="289" t="str">
        <f>_xlfn.XLOOKUP(F6Results_2026[[#This Row],[Full_Name]],tblF42023[FULL_NAME],tblF42023[DIVISION],"",0,1)</f>
        <v>I</v>
      </c>
      <c r="AC55" s="289">
        <f>_xlfn.XLOOKUP(F6Results_2026[[#This Row],[Full_Name]],tblF42023[FULL_NAME],tblF42023[POINTS],"",0,1)</f>
        <v>9</v>
      </c>
      <c r="AD5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5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5" s="299">
        <f>_xlfn.XLOOKUP(F6Results_2026[[#This Row],[Full_Name]],tblF22021[FULL_NAME],tblF22021[POINTS],"",0,1)</f>
        <v>7</v>
      </c>
      <c r="AG55" s="299" t="str">
        <f>_xlfn.XLOOKUP(F6Results_2026[[#This Row],[Full_Name]],tblF42023[FULL_NAME],tblF42023[DIVISION],"",0,1)</f>
        <v>I</v>
      </c>
      <c r="AH55" s="300">
        <f>_xlfn.XLOOKUP(F6Results_2026[[#This Row],[Full_Name]],tblF42023[FULL_NAME],tblF42023[TOTAL A''S],"",0,1)</f>
        <v>5</v>
      </c>
      <c r="AI55" s="259"/>
    </row>
    <row r="56" spans="1:40" x14ac:dyDescent="0.3">
      <c r="A56" s="284" t="s">
        <v>192</v>
      </c>
      <c r="B56" s="296">
        <v>2026</v>
      </c>
      <c r="C56" s="285">
        <v>20130285644</v>
      </c>
      <c r="D56" s="297" t="s">
        <v>193</v>
      </c>
      <c r="E56" s="296" t="s">
        <v>194</v>
      </c>
      <c r="F56" s="296" t="s">
        <v>896</v>
      </c>
      <c r="G56" s="296" t="s">
        <v>8</v>
      </c>
      <c r="H56" s="93" cm="1">
        <f t="array" ref="H5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56" s="298" t="str">
        <f t="shared" si="8"/>
        <v>III</v>
      </c>
      <c r="J56" s="296" t="s">
        <v>42</v>
      </c>
      <c r="K56" s="298" t="s">
        <v>6</v>
      </c>
      <c r="L56" s="298"/>
      <c r="M56" s="296"/>
      <c r="N56" s="296"/>
      <c r="O56" s="296"/>
      <c r="P56" s="296"/>
      <c r="Q56" s="296" t="s">
        <v>8</v>
      </c>
      <c r="R56" s="296" t="s">
        <v>5</v>
      </c>
      <c r="S56" s="296"/>
      <c r="T56" s="296"/>
      <c r="U56" s="296" t="s">
        <v>7</v>
      </c>
      <c r="V56" s="296"/>
      <c r="W56" s="296"/>
      <c r="X56" s="296"/>
      <c r="Y56" s="296"/>
      <c r="Z56" s="296">
        <f t="array" ref="Z56">SUM(IF(K56:Y56="A",1,0), IF(K56:Y56="B",2,0), IF(K56:Y56="C",3,0), IF(K56:Y56="D",4,0), IF(K56:Y56="E",5,0), IF(K56:Y56="S",6,0), IF(K56:Y56="F",7,0))</f>
        <v>22</v>
      </c>
      <c r="AA56" s="289">
        <f>_xlfn.XLOOKUP(F6Results_2026[[#This Row],[Full_Name]],tblF42023[FULL_NAME],tblF42023[POINTS],"",0,1)</f>
        <v>11</v>
      </c>
      <c r="AB56" s="289" t="str">
        <f>_xlfn.XLOOKUP(F6Results_2026[[#This Row],[Full_Name]],tblF42023[FULL_NAME],tblF42023[DIVISION],"",0,1)</f>
        <v>I</v>
      </c>
      <c r="AC56" s="289">
        <f>_xlfn.XLOOKUP(F6Results_2026[[#This Row],[Full_Name]],tblF42023[FULL_NAME],tblF42023[POINTS],"",0,1)</f>
        <v>11</v>
      </c>
      <c r="AD56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56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6" s="299">
        <f>_xlfn.XLOOKUP(F6Results_2026[[#This Row],[Full_Name]],tblF22021[FULL_NAME],tblF22021[POINTS],"",0,1)</f>
        <v>7</v>
      </c>
      <c r="AG56" s="299" t="str">
        <f>_xlfn.XLOOKUP(F6Results_2026[[#This Row],[Full_Name]],tblF42023[FULL_NAME],tblF42023[DIVISION],"",0,1)</f>
        <v>I</v>
      </c>
      <c r="AH56" s="300">
        <f>_xlfn.XLOOKUP(F6Results_2026[[#This Row],[Full_Name]],tblF42023[FULL_NAME],tblF42023[TOTAL A''S],"",0,1)</f>
        <v>3</v>
      </c>
      <c r="AI56" s="259"/>
    </row>
    <row r="57" spans="1:40" x14ac:dyDescent="0.3">
      <c r="A57" s="284" t="s">
        <v>137</v>
      </c>
      <c r="B57" s="296">
        <v>2026</v>
      </c>
      <c r="C57" s="285">
        <v>20130285645</v>
      </c>
      <c r="D57" s="297" t="s">
        <v>138</v>
      </c>
      <c r="E57" s="298" t="s">
        <v>139</v>
      </c>
      <c r="F57" s="298" t="s">
        <v>895</v>
      </c>
      <c r="G57" s="298" t="s">
        <v>8</v>
      </c>
      <c r="H57" s="93" cm="1">
        <f t="array" ref="H5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57" s="298" t="str">
        <f t="shared" si="8"/>
        <v>III</v>
      </c>
      <c r="J57" s="296" t="s">
        <v>42</v>
      </c>
      <c r="K57" s="296" t="s">
        <v>5</v>
      </c>
      <c r="L57" s="296"/>
      <c r="M57" s="298"/>
      <c r="N57" s="298" t="s">
        <v>2</v>
      </c>
      <c r="O57" s="298"/>
      <c r="P57" s="298"/>
      <c r="Q57" s="298"/>
      <c r="R57" s="298"/>
      <c r="S57" s="298"/>
      <c r="T57" s="298"/>
      <c r="U57" s="298" t="s">
        <v>6</v>
      </c>
      <c r="V57" s="298"/>
      <c r="W57" s="298" t="s">
        <v>8</v>
      </c>
      <c r="X57" s="298"/>
      <c r="Y57" s="298"/>
      <c r="Z57" s="296">
        <f t="array" ref="Z57">SUM(IF(K57:Y57="A",1,0), IF(K57:Y57="B",2,0), IF(K57:Y57="C",3,0), IF(K57:Y57="D",4,0), IF(K57:Y57="E",5,0), IF(K57:Y57="S",6,0), IF(K57:Y57="F",7,0))</f>
        <v>17</v>
      </c>
      <c r="AA57" s="289">
        <f>_xlfn.XLOOKUP(F6Results_2026[[#This Row],[Full_Name]],tblF42023[FULL_NAME],tblF42023[POINTS],"",0,1)</f>
        <v>9</v>
      </c>
      <c r="AB57" s="289" t="str">
        <f>_xlfn.XLOOKUP(F6Results_2026[[#This Row],[Full_Name]],tblF42023[FULL_NAME],tblF42023[DIVISION],"",0,1)</f>
        <v>I</v>
      </c>
      <c r="AC57" s="289">
        <f>_xlfn.XLOOKUP(F6Results_2026[[#This Row],[Full_Name]],tblF42023[FULL_NAME],tblF42023[POINTS],"",0,1)</f>
        <v>9</v>
      </c>
      <c r="AD57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5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7" s="299">
        <f>_xlfn.XLOOKUP(F6Results_2026[[#This Row],[Full_Name]],tblF22021[FULL_NAME],tblF22021[POINTS],"",0,1)</f>
        <v>7</v>
      </c>
      <c r="AG57" s="299" t="str">
        <f>_xlfn.XLOOKUP(F6Results_2026[[#This Row],[Full_Name]],tblF42023[FULL_NAME],tblF42023[DIVISION],"",0,1)</f>
        <v>I</v>
      </c>
      <c r="AH57" s="300">
        <f>_xlfn.XLOOKUP(F6Results_2026[[#This Row],[Full_Name]],tblF42023[FULL_NAME],tblF42023[TOTAL A''S],"",0,1)</f>
        <v>5</v>
      </c>
      <c r="AI57" s="259"/>
    </row>
    <row r="58" spans="1:40" x14ac:dyDescent="0.3">
      <c r="A58" s="284" t="s">
        <v>38</v>
      </c>
      <c r="B58" s="296">
        <v>2026</v>
      </c>
      <c r="C58" s="285">
        <v>20130285646</v>
      </c>
      <c r="D58" s="297" t="s">
        <v>39</v>
      </c>
      <c r="E58" s="296" t="s">
        <v>40</v>
      </c>
      <c r="F58" s="296" t="s">
        <v>41</v>
      </c>
      <c r="G58" s="296" t="s">
        <v>8</v>
      </c>
      <c r="H58" s="93" cm="1">
        <f t="array" ref="H5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58" s="298" t="str">
        <f t="shared" si="8"/>
        <v>II</v>
      </c>
      <c r="J58" s="296" t="s">
        <v>42</v>
      </c>
      <c r="K58" s="298" t="s">
        <v>8</v>
      </c>
      <c r="L58" s="298"/>
      <c r="M58" s="296" t="s">
        <v>5</v>
      </c>
      <c r="N58" s="296" t="s">
        <v>4</v>
      </c>
      <c r="O58" s="296"/>
      <c r="P58" s="296" t="s">
        <v>6</v>
      </c>
      <c r="Q58" s="296"/>
      <c r="R58" s="296"/>
      <c r="S58" s="296"/>
      <c r="T58" s="296"/>
      <c r="U58" s="296"/>
      <c r="V58" s="296"/>
      <c r="W58" s="296"/>
      <c r="X58" s="296"/>
      <c r="Y58" s="296"/>
      <c r="Z58" s="296">
        <f t="array" ref="Z58">SUM(IF(K58:Y58="A",1,0), IF(K58:Y58="B",2,0), IF(K58:Y58="C",3,0), IF(K58:Y58="D",4,0), IF(K58:Y58="E",5,0), IF(K58:Y58="S",6,0), IF(K58:Y58="F",7,0))</f>
        <v>19</v>
      </c>
      <c r="AA58" s="289">
        <f>_xlfn.XLOOKUP(F6Results_2026[[#This Row],[Full_Name]],tblF22021[FULL_NAME],tblF22021[POINTS],"",0,1)</f>
        <v>7</v>
      </c>
      <c r="AB58" s="289" t="str">
        <f>_xlfn.XLOOKUP(F6Results_2026[[#This Row],[Full_Name]],tblF22021[FULL_NAME],tblF22021[DIVISION],"",0,1)</f>
        <v>I</v>
      </c>
      <c r="AC58" s="289">
        <f>_xlfn.XLOOKUP(F6Results_2026[[#This Row],[Full_Name]],tblF22021[FULL_NAME],tblF22021[POINTS],"",0,1)</f>
        <v>7</v>
      </c>
      <c r="AD58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5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8" s="289">
        <f>_xlfn.XLOOKUP(F6Results_2026[[#This Row],[Full_Name]],tblF22021[FULL_NAME],tblF22021[POINTS],"",0,1)</f>
        <v>7</v>
      </c>
      <c r="AG58" s="289" t="str">
        <f>_xlfn.XLOOKUP(F6Results_2026[[#This Row],[Full_Name]],tblF22021[FULL_NAME],tblF22021[DIVISION],"",0,1)</f>
        <v>I</v>
      </c>
      <c r="AH58" s="306">
        <f>_xlfn.XLOOKUP(F6Results_2026[[#This Row],[Full_Name]],tblF42023[FULL_NAME],tblF42023[TOTAL A''S],"",0,1)</f>
        <v>4</v>
      </c>
      <c r="AI58" s="259"/>
    </row>
    <row r="59" spans="1:40" x14ac:dyDescent="0.3">
      <c r="A59" s="284" t="s">
        <v>140</v>
      </c>
      <c r="B59" s="296">
        <v>2026</v>
      </c>
      <c r="C59" s="285">
        <v>20130285648</v>
      </c>
      <c r="D59" s="297" t="s">
        <v>141</v>
      </c>
      <c r="E59" s="296" t="s">
        <v>139</v>
      </c>
      <c r="F59" s="296" t="s">
        <v>895</v>
      </c>
      <c r="G59" s="296" t="s">
        <v>8</v>
      </c>
      <c r="H59" s="93" cm="1">
        <f t="array" ref="H5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59" s="298" t="str">
        <f t="shared" si="8"/>
        <v>II</v>
      </c>
      <c r="J59" s="296" t="s">
        <v>42</v>
      </c>
      <c r="K59" s="298" t="s">
        <v>6</v>
      </c>
      <c r="L59" s="298"/>
      <c r="M59" s="296"/>
      <c r="N59" s="296" t="s">
        <v>4</v>
      </c>
      <c r="O59" s="296"/>
      <c r="P59" s="296"/>
      <c r="Q59" s="296"/>
      <c r="R59" s="296"/>
      <c r="S59" s="296"/>
      <c r="T59" s="296"/>
      <c r="U59" s="296" t="s">
        <v>6</v>
      </c>
      <c r="V59" s="296"/>
      <c r="W59" s="296" t="s">
        <v>4</v>
      </c>
      <c r="X59" s="296"/>
      <c r="Y59" s="296"/>
      <c r="Z59" s="296">
        <f t="array" ref="Z59">SUM(IF(K59:Y59="A",1,0), IF(K59:Y59="B",2,0), IF(K59:Y59="C",3,0), IF(K59:Y59="D",4,0), IF(K59:Y59="E",5,0), IF(K59:Y59="S",6,0), IF(K59:Y59="F",7,0))</f>
        <v>16</v>
      </c>
      <c r="AA59" s="289">
        <f>_xlfn.XLOOKUP(F6Results_2026[[#This Row],[Full_Name]],tblF42023[FULL_NAME],tblF42023[POINTS],"",0,1)</f>
        <v>9</v>
      </c>
      <c r="AB59" s="289" t="str">
        <f>_xlfn.XLOOKUP(F6Results_2026[[#This Row],[Full_Name]],tblF42023[FULL_NAME],tblF42023[DIVISION],"",0,1)</f>
        <v>I</v>
      </c>
      <c r="AC59" s="289">
        <f>_xlfn.XLOOKUP(F6Results_2026[[#This Row],[Full_Name]],tblF42023[FULL_NAME],tblF42023[POINTS],"",0,1)</f>
        <v>9</v>
      </c>
      <c r="AD59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59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59" s="299">
        <f>_xlfn.XLOOKUP(F6Results_2026[[#This Row],[Full_Name]],tblF22021[FULL_NAME],tblF22021[POINTS],"",0,1)</f>
        <v>7</v>
      </c>
      <c r="AG59" s="299" t="str">
        <f>_xlfn.XLOOKUP(F6Results_2026[[#This Row],[Full_Name]],tblF42023[FULL_NAME],tblF42023[DIVISION],"",0,1)</f>
        <v>I</v>
      </c>
      <c r="AH59" s="300">
        <f>_xlfn.XLOOKUP(F6Results_2026[[#This Row],[Full_Name]],tblF42023[FULL_NAME],tblF42023[TOTAL A''S],"",0,1)</f>
        <v>5</v>
      </c>
      <c r="AI59" s="259"/>
    </row>
    <row r="60" spans="1:40" x14ac:dyDescent="0.3">
      <c r="A60" s="284" t="s">
        <v>43</v>
      </c>
      <c r="B60" s="296">
        <v>2026</v>
      </c>
      <c r="C60" s="285">
        <v>20130285649</v>
      </c>
      <c r="D60" s="297" t="s">
        <v>44</v>
      </c>
      <c r="E60" s="298" t="s">
        <v>45</v>
      </c>
      <c r="F60" s="298" t="s">
        <v>41</v>
      </c>
      <c r="G60" s="298" t="s">
        <v>8</v>
      </c>
      <c r="H60" s="93" cm="1">
        <f t="array" ref="H6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60" s="298" t="str">
        <f t="shared" si="8"/>
        <v>II</v>
      </c>
      <c r="J60" s="296" t="s">
        <v>42</v>
      </c>
      <c r="K60" s="296" t="s">
        <v>8</v>
      </c>
      <c r="L60" s="296"/>
      <c r="M60" s="298" t="s">
        <v>5</v>
      </c>
      <c r="N60" s="296" t="s">
        <v>4</v>
      </c>
      <c r="O60" s="298"/>
      <c r="P60" s="298" t="s">
        <v>5</v>
      </c>
      <c r="Q60" s="298"/>
      <c r="R60" s="298"/>
      <c r="S60" s="298"/>
      <c r="T60" s="298"/>
      <c r="U60" s="298"/>
      <c r="V60" s="298"/>
      <c r="W60" s="298"/>
      <c r="X60" s="298"/>
      <c r="Y60" s="298"/>
      <c r="Z60" s="296">
        <f t="array" ref="Z60">SUM(IF(K60:Y60="A",1,0), IF(K60:Y60="B",2,0), IF(K60:Y60="C",3,0), IF(K60:Y60="D",4,0), IF(K60:Y60="E",5,0), IF(K60:Y60="S",6,0), IF(K60:Y60="F",7,0))</f>
        <v>18</v>
      </c>
      <c r="AA60" s="289">
        <f>_xlfn.XLOOKUP(F6Results_2026[[#This Row],[Full_Name]],tblF42023[FULL_NAME],tblF42023[POINTS],"",0,1)</f>
        <v>7</v>
      </c>
      <c r="AB60" s="289" t="str">
        <f>_xlfn.XLOOKUP(F6Results_2026[[#This Row],[Full_Name]],tblF42023[FULL_NAME],tblF42023[DIVISION],"",0,1)</f>
        <v>I</v>
      </c>
      <c r="AC60" s="289">
        <f>_xlfn.XLOOKUP(F6Results_2026[[#This Row],[Full_Name]],tblF42023[FULL_NAME],tblF42023[POINTS],"",0,1)</f>
        <v>7</v>
      </c>
      <c r="AD60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60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60" s="299">
        <f>_xlfn.XLOOKUP(F6Results_2026[[#This Row],[Full_Name]],tblF22021[FULL_NAME],tblF22021[POINTS],"",0,1)</f>
        <v>12</v>
      </c>
      <c r="AG60" s="299" t="str">
        <f>_xlfn.XLOOKUP(F6Results_2026[[#This Row],[Full_Name]],tblF42023[FULL_NAME],tblF42023[DIVISION],"",0,1)</f>
        <v>I</v>
      </c>
      <c r="AH60" s="300">
        <f>_xlfn.XLOOKUP(F6Results_2026[[#This Row],[Full_Name]],tblF42023[FULL_NAME],tblF42023[TOTAL A''S],"",0,1)</f>
        <v>7</v>
      </c>
      <c r="AI60" s="259"/>
    </row>
    <row r="61" spans="1:40" x14ac:dyDescent="0.3">
      <c r="A61" s="284" t="s">
        <v>95</v>
      </c>
      <c r="B61" s="296">
        <v>2026</v>
      </c>
      <c r="C61" s="285">
        <v>20130285651</v>
      </c>
      <c r="D61" s="297" t="s">
        <v>96</v>
      </c>
      <c r="E61" s="296" t="s">
        <v>40</v>
      </c>
      <c r="F61" s="296" t="s">
        <v>41</v>
      </c>
      <c r="G61" s="296" t="s">
        <v>8</v>
      </c>
      <c r="H61" s="93" cm="1">
        <f t="array" ref="H6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61" s="298" t="str">
        <f t="shared" si="8"/>
        <v>I</v>
      </c>
      <c r="J61" s="296" t="s">
        <v>42</v>
      </c>
      <c r="K61" s="298" t="s">
        <v>6</v>
      </c>
      <c r="L61" s="298"/>
      <c r="M61" s="296" t="s">
        <v>5</v>
      </c>
      <c r="N61" s="296" t="s">
        <v>4</v>
      </c>
      <c r="O61" s="296" t="s">
        <v>2</v>
      </c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>
        <f t="array" ref="Z61">SUM(IF(K61:Y61="A",1,0), IF(K61:Y61="B",2,0), IF(K61:Y61="C",3,0), IF(K61:Y61="D",4,0), IF(K61:Y61="E",5,0), IF(K61:Y61="S",6,0), IF(K61:Y61="F",7,0))</f>
        <v>13</v>
      </c>
      <c r="AA61" s="289">
        <f>_xlfn.XLOOKUP(F6Results_2026[[#This Row],[Full_Name]],tblF42023[FULL_NAME],tblF42023[POINTS],"",0,1)</f>
        <v>16</v>
      </c>
      <c r="AB61" s="289" t="str">
        <f>_xlfn.XLOOKUP(F6Results_2026[[#This Row],[Full_Name]],tblF42023[FULL_NAME],tblF42023[DIVISION],"",0,1)</f>
        <v>I</v>
      </c>
      <c r="AC61" s="289">
        <f>_xlfn.XLOOKUP(F6Results_2026[[#This Row],[Full_Name]],tblF42023[FULL_NAME],tblF42023[POINTS],"",0,1)</f>
        <v>16</v>
      </c>
      <c r="AD61" s="299">
        <f>IFERROR(
   INDEX(tblF42023[[HKL]:[CBA]],
         MATCH(F6Results_2026[[#This Row],[Full_Name]], tblF42023[FULL_NAME], 0),
         MATCH(F6Results_2026[[#This Row],[Comb]], tblF42023[[#Headers],[HKL]:[CBA]], 0)
   ),
   ""
)</f>
        <v>9</v>
      </c>
      <c r="AE61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61" s="299">
        <f>_xlfn.XLOOKUP(F6Results_2026[[#This Row],[Full_Name]],tblF22021[FULL_NAME],tblF22021[POINTS],"",0,1)</f>
        <v>10</v>
      </c>
      <c r="AG61" s="299" t="str">
        <f>_xlfn.XLOOKUP(F6Results_2026[[#This Row],[Full_Name]],tblF42023[FULL_NAME],tblF42023[DIVISION],"",0,1)</f>
        <v>I</v>
      </c>
      <c r="AH61" s="300">
        <f>_xlfn.XLOOKUP(F6Results_2026[[#This Row],[Full_Name]],tblF42023[FULL_NAME],tblF42023[TOTAL A''S],"",0,1)</f>
        <v>2</v>
      </c>
      <c r="AI61" s="259"/>
    </row>
    <row r="62" spans="1:40" x14ac:dyDescent="0.3">
      <c r="A62" s="284" t="s">
        <v>142</v>
      </c>
      <c r="B62" s="296">
        <v>2026</v>
      </c>
      <c r="C62" s="285">
        <v>20130285654</v>
      </c>
      <c r="D62" s="297" t="s">
        <v>143</v>
      </c>
      <c r="E62" s="298" t="s">
        <v>139</v>
      </c>
      <c r="F62" s="298" t="s">
        <v>895</v>
      </c>
      <c r="G62" s="298" t="s">
        <v>8</v>
      </c>
      <c r="H62" s="93" cm="1">
        <f t="array" ref="H6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62" s="298" t="str">
        <f t="shared" si="8"/>
        <v>II</v>
      </c>
      <c r="J62" s="296" t="s">
        <v>42</v>
      </c>
      <c r="K62" s="296" t="s">
        <v>5</v>
      </c>
      <c r="L62" s="296"/>
      <c r="M62" s="298"/>
      <c r="N62" s="298" t="s">
        <v>3</v>
      </c>
      <c r="O62" s="298"/>
      <c r="P62" s="298"/>
      <c r="Q62" s="298"/>
      <c r="R62" s="298"/>
      <c r="S62" s="298"/>
      <c r="T62" s="298"/>
      <c r="U62" s="298" t="s">
        <v>7</v>
      </c>
      <c r="V62" s="298"/>
      <c r="W62" s="298" t="s">
        <v>4</v>
      </c>
      <c r="X62" s="298"/>
      <c r="Y62" s="298"/>
      <c r="Z62" s="296">
        <f t="array" ref="Z62">SUM(IF(K62:Y62="A",1,0), IF(K62:Y62="B",2,0), IF(K62:Y62="C",3,0), IF(K62:Y62="D",4,0), IF(K62:Y62="E",5,0), IF(K62:Y62="S",6,0), IF(K62:Y62="F",7,0))</f>
        <v>15</v>
      </c>
      <c r="AA62" s="289">
        <f>_xlfn.XLOOKUP(F6Results_2026[[#This Row],[Full_Name]],tblF42023[FULL_NAME],tblF42023[POINTS],"",0,1)</f>
        <v>11</v>
      </c>
      <c r="AB62" s="289" t="str">
        <f>_xlfn.XLOOKUP(F6Results_2026[[#This Row],[Full_Name]],tblF42023[FULL_NAME],tblF42023[DIVISION],"",0,1)</f>
        <v>I</v>
      </c>
      <c r="AC62" s="289">
        <f>_xlfn.XLOOKUP(F6Results_2026[[#This Row],[Full_Name]],tblF42023[FULL_NAME],tblF42023[POINTS],"",0,1)</f>
        <v>11</v>
      </c>
      <c r="AD62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62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62" s="299">
        <f>_xlfn.XLOOKUP(F6Results_2026[[#This Row],[Full_Name]],tblF22021[FULL_NAME],tblF22021[POINTS],"",0,1)</f>
        <v>7</v>
      </c>
      <c r="AG62" s="299" t="str">
        <f>_xlfn.XLOOKUP(F6Results_2026[[#This Row],[Full_Name]],tblF42023[FULL_NAME],tblF42023[DIVISION],"",0,1)</f>
        <v>I</v>
      </c>
      <c r="AH62" s="300">
        <f>_xlfn.XLOOKUP(F6Results_2026[[#This Row],[Full_Name]],tblF42023[FULL_NAME],tblF42023[TOTAL A''S],"",0,1)</f>
        <v>3</v>
      </c>
      <c r="AI62" s="259"/>
    </row>
    <row r="63" spans="1:40" x14ac:dyDescent="0.3">
      <c r="A63" s="284" t="s">
        <v>144</v>
      </c>
      <c r="B63" s="296">
        <v>2026</v>
      </c>
      <c r="C63" s="285">
        <v>20130285655</v>
      </c>
      <c r="D63" s="297" t="s">
        <v>145</v>
      </c>
      <c r="E63" s="296" t="s">
        <v>139</v>
      </c>
      <c r="F63" s="296" t="s">
        <v>895</v>
      </c>
      <c r="G63" s="296" t="s">
        <v>8</v>
      </c>
      <c r="H63" s="93" cm="1">
        <f t="array" ref="H6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63" s="298" t="str">
        <f t="shared" si="8"/>
        <v>III</v>
      </c>
      <c r="J63" s="296" t="s">
        <v>42</v>
      </c>
      <c r="K63" s="298" t="s">
        <v>5</v>
      </c>
      <c r="L63" s="298"/>
      <c r="M63" s="296"/>
      <c r="N63" s="296" t="s">
        <v>4</v>
      </c>
      <c r="O63" s="296"/>
      <c r="P63" s="296"/>
      <c r="Q63" s="296"/>
      <c r="R63" s="296"/>
      <c r="S63" s="296"/>
      <c r="T63" s="296"/>
      <c r="U63" s="296" t="s">
        <v>7</v>
      </c>
      <c r="V63" s="296"/>
      <c r="W63" s="296" t="s">
        <v>6</v>
      </c>
      <c r="X63" s="296"/>
      <c r="Y63" s="296"/>
      <c r="Z63" s="296">
        <f t="array" ref="Z63">SUM(IF(K63:Y63="A",1,0), IF(K63:Y63="B",2,0), IF(K63:Y63="C",3,0), IF(K63:Y63="D",4,0), IF(K63:Y63="E",5,0), IF(K63:Y63="S",6,0), IF(K63:Y63="F",7,0))</f>
        <v>18</v>
      </c>
      <c r="AA63" s="289">
        <f>_xlfn.XLOOKUP(F6Results_2026[[#This Row],[Full_Name]],tblF42023[FULL_NAME],tblF42023[POINTS],"",0,1)</f>
        <v>12</v>
      </c>
      <c r="AB63" s="289" t="str">
        <f>_xlfn.XLOOKUP(F6Results_2026[[#This Row],[Full_Name]],tblF42023[FULL_NAME],tblF42023[DIVISION],"",0,1)</f>
        <v>I</v>
      </c>
      <c r="AC63" s="289">
        <f>_xlfn.XLOOKUP(F6Results_2026[[#This Row],[Full_Name]],tblF42023[FULL_NAME],tblF42023[POINTS],"",0,1)</f>
        <v>12</v>
      </c>
      <c r="AD63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63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63" s="299">
        <f>_xlfn.XLOOKUP(F6Results_2026[[#This Row],[Full_Name]],tblF22021[FULL_NAME],tblF22021[POINTS],"",0,1)</f>
        <v>9</v>
      </c>
      <c r="AG63" s="299" t="str">
        <f>_xlfn.XLOOKUP(F6Results_2026[[#This Row],[Full_Name]],tblF42023[FULL_NAME],tblF42023[DIVISION],"",0,1)</f>
        <v>I</v>
      </c>
      <c r="AH63" s="300">
        <f>_xlfn.XLOOKUP(F6Results_2026[[#This Row],[Full_Name]],tblF42023[FULL_NAME],tblF42023[TOTAL A''S],"",0,1)</f>
        <v>2</v>
      </c>
      <c r="AI63" s="259"/>
    </row>
    <row r="64" spans="1:40" x14ac:dyDescent="0.3">
      <c r="A64" s="284" t="s">
        <v>195</v>
      </c>
      <c r="B64" s="296">
        <v>2026</v>
      </c>
      <c r="C64" s="285">
        <v>20130285656</v>
      </c>
      <c r="D64" s="297" t="s">
        <v>196</v>
      </c>
      <c r="E64" s="298" t="s">
        <v>194</v>
      </c>
      <c r="F64" s="298" t="s">
        <v>896</v>
      </c>
      <c r="G64" s="298" t="s">
        <v>8</v>
      </c>
      <c r="H64" s="93" cm="1">
        <f t="array" ref="H6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64" s="298" t="str">
        <f t="shared" si="8"/>
        <v>III</v>
      </c>
      <c r="J64" s="296" t="s">
        <v>42</v>
      </c>
      <c r="K64" s="296" t="s">
        <v>6</v>
      </c>
      <c r="L64" s="296"/>
      <c r="M64" s="298"/>
      <c r="N64" s="298"/>
      <c r="O64" s="298"/>
      <c r="P64" s="298"/>
      <c r="Q64" s="298" t="s">
        <v>6</v>
      </c>
      <c r="R64" s="298" t="s">
        <v>5</v>
      </c>
      <c r="S64" s="298"/>
      <c r="T64" s="298"/>
      <c r="U64" s="298" t="s">
        <v>8</v>
      </c>
      <c r="V64" s="298"/>
      <c r="W64" s="298"/>
      <c r="X64" s="298"/>
      <c r="Y64" s="298"/>
      <c r="Z64" s="296">
        <f t="array" ref="Z64">SUM(IF(K64:Y64="A",1,0), IF(K64:Y64="B",2,0), IF(K64:Y64="C",3,0), IF(K64:Y64="D",4,0), IF(K64:Y64="E",5,0), IF(K64:Y64="S",6,0), IF(K64:Y64="F",7,0))</f>
        <v>21</v>
      </c>
      <c r="AA64" s="289">
        <f>_xlfn.XLOOKUP(F6Results_2026[[#This Row],[Full_Name]],tblF42023[FULL_NAME],tblF42023[POINTS],"",0,1)</f>
        <v>7</v>
      </c>
      <c r="AB64" s="289" t="str">
        <f>_xlfn.XLOOKUP(F6Results_2026[[#This Row],[Full_Name]],tblF42023[FULL_NAME],tblF42023[DIVISION],"",0,1)</f>
        <v>I</v>
      </c>
      <c r="AC64" s="289">
        <f>_xlfn.XLOOKUP(F6Results_2026[[#This Row],[Full_Name]],tblF42023[FULL_NAME],tblF42023[POINTS],"",0,1)</f>
        <v>7</v>
      </c>
      <c r="AD64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6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64" s="299">
        <f>_xlfn.XLOOKUP(F6Results_2026[[#This Row],[Full_Name]],tblF22021[FULL_NAME],tblF22021[POINTS],"",0,1)</f>
        <v>7</v>
      </c>
      <c r="AG64" s="299" t="str">
        <f>_xlfn.XLOOKUP(F6Results_2026[[#This Row],[Full_Name]],tblF42023[FULL_NAME],tblF42023[DIVISION],"",0,1)</f>
        <v>I</v>
      </c>
      <c r="AH64" s="300">
        <f>_xlfn.XLOOKUP(F6Results_2026[[#This Row],[Full_Name]],tblF42023[FULL_NAME],tblF42023[TOTAL A''S],"",0,1)</f>
        <v>8</v>
      </c>
      <c r="AI64" s="259"/>
    </row>
    <row r="65" spans="1:35" x14ac:dyDescent="0.3">
      <c r="A65" s="284" t="s">
        <v>146</v>
      </c>
      <c r="B65" s="296">
        <v>2026</v>
      </c>
      <c r="C65" s="285">
        <v>20130285659</v>
      </c>
      <c r="D65" s="297" t="s">
        <v>147</v>
      </c>
      <c r="E65" s="298" t="s">
        <v>139</v>
      </c>
      <c r="F65" s="298" t="s">
        <v>895</v>
      </c>
      <c r="G65" s="298" t="s">
        <v>8</v>
      </c>
      <c r="H65" s="93" cm="1">
        <f t="array" ref="H6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65" s="298" t="str">
        <f t="shared" si="8"/>
        <v>III</v>
      </c>
      <c r="J65" s="296" t="s">
        <v>42</v>
      </c>
      <c r="K65" s="296" t="s">
        <v>5</v>
      </c>
      <c r="L65" s="296"/>
      <c r="M65" s="298"/>
      <c r="N65" s="298" t="s">
        <v>3</v>
      </c>
      <c r="O65" s="298"/>
      <c r="P65" s="298"/>
      <c r="Q65" s="298"/>
      <c r="R65" s="298"/>
      <c r="S65" s="298"/>
      <c r="T65" s="298"/>
      <c r="U65" s="298" t="s">
        <v>8</v>
      </c>
      <c r="V65" s="298"/>
      <c r="W65" s="298" t="s">
        <v>5</v>
      </c>
      <c r="X65" s="298"/>
      <c r="Y65" s="298"/>
      <c r="Z65" s="296">
        <f t="array" ref="Z65">SUM(IF(K65:Y65="A",1,0), IF(K65:Y65="B",2,0), IF(K65:Y65="C",3,0), IF(K65:Y65="D",4,0), IF(K65:Y65="E",5,0), IF(K65:Y65="S",6,0), IF(K65:Y65="F",7,0))</f>
        <v>17</v>
      </c>
      <c r="AA65" s="289">
        <f>_xlfn.XLOOKUP(F6Results_2026[[#This Row],[Full_Name]],tblF42023[FULL_NAME],tblF42023[POINTS],"",0,1)</f>
        <v>11</v>
      </c>
      <c r="AB65" s="289" t="str">
        <f>_xlfn.XLOOKUP(F6Results_2026[[#This Row],[Full_Name]],tblF42023[FULL_NAME],tblF42023[DIVISION],"",0,1)</f>
        <v>I</v>
      </c>
      <c r="AC65" s="289">
        <f>_xlfn.XLOOKUP(F6Results_2026[[#This Row],[Full_Name]],tblF42023[FULL_NAME],tblF42023[POINTS],"",0,1)</f>
        <v>11</v>
      </c>
      <c r="AD65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6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65" s="299">
        <f>_xlfn.XLOOKUP(F6Results_2026[[#This Row],[Full_Name]],tblF22021[FULL_NAME],tblF22021[POINTS],"",0,1)</f>
        <v>7</v>
      </c>
      <c r="AG65" s="299" t="str">
        <f>_xlfn.XLOOKUP(F6Results_2026[[#This Row],[Full_Name]],tblF42023[FULL_NAME],tblF42023[DIVISION],"",0,1)</f>
        <v>I</v>
      </c>
      <c r="AH65" s="300">
        <f>_xlfn.XLOOKUP(F6Results_2026[[#This Row],[Full_Name]],tblF42023[FULL_NAME],tblF42023[TOTAL A''S],"",0,1)</f>
        <v>3</v>
      </c>
      <c r="AI65" s="259"/>
    </row>
    <row r="66" spans="1:35" x14ac:dyDescent="0.3">
      <c r="A66" s="284" t="s">
        <v>245</v>
      </c>
      <c r="B66" s="296">
        <v>2026</v>
      </c>
      <c r="C66" s="285">
        <v>20130285660</v>
      </c>
      <c r="D66" s="297" t="s">
        <v>246</v>
      </c>
      <c r="E66" s="296" t="s">
        <v>240</v>
      </c>
      <c r="F66" s="296" t="s">
        <v>896</v>
      </c>
      <c r="G66" s="296" t="s">
        <v>8</v>
      </c>
      <c r="H66" s="93" cm="1">
        <f t="array" ref="H6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66" s="298" t="str">
        <f t="shared" si="8"/>
        <v>III</v>
      </c>
      <c r="J66" s="296" t="s">
        <v>42</v>
      </c>
      <c r="K66" s="298" t="s">
        <v>7</v>
      </c>
      <c r="L66" s="298" t="s">
        <v>7</v>
      </c>
      <c r="M66" s="296"/>
      <c r="N66" s="296"/>
      <c r="O66" s="296"/>
      <c r="P66" s="296"/>
      <c r="Q66" s="296" t="s">
        <v>6</v>
      </c>
      <c r="R66" s="296" t="s">
        <v>5</v>
      </c>
      <c r="S66" s="296" t="s">
        <v>5</v>
      </c>
      <c r="T66" s="296"/>
      <c r="U66" s="296"/>
      <c r="V66" s="296"/>
      <c r="W66" s="296"/>
      <c r="X66" s="296"/>
      <c r="Y66" s="296"/>
      <c r="Z66" s="296">
        <f t="array" ref="Z66">SUM(IF(K66:Y66="A",1,0), IF(K66:Y66="B",2,0), IF(K66:Y66="C",3,0), IF(K66:Y66="D",4,0), IF(K66:Y66="E",5,0), IF(K66:Y66="S",6,0), IF(K66:Y66="F",7,0))</f>
        <v>25</v>
      </c>
      <c r="AA66" s="289">
        <f>_xlfn.XLOOKUP(F6Results_2026[[#This Row],[Full_Name]],tblF42023[FULL_NAME],tblF42023[POINTS],"",0,1)</f>
        <v>7</v>
      </c>
      <c r="AB66" s="289" t="str">
        <f>_xlfn.XLOOKUP(F6Results_2026[[#This Row],[Full_Name]],tblF42023[FULL_NAME],tblF42023[DIVISION],"",0,1)</f>
        <v>I</v>
      </c>
      <c r="AC66" s="289">
        <f>_xlfn.XLOOKUP(F6Results_2026[[#This Row],[Full_Name]],tblF42023[FULL_NAME],tblF42023[POINTS],"",0,1)</f>
        <v>7</v>
      </c>
      <c r="AD66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66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66" s="299">
        <f>_xlfn.XLOOKUP(F6Results_2026[[#This Row],[Full_Name]],tblF22021[FULL_NAME],tblF22021[POINTS],"",0,1)</f>
        <v>7</v>
      </c>
      <c r="AG66" s="299" t="str">
        <f>_xlfn.XLOOKUP(F6Results_2026[[#This Row],[Full_Name]],tblF42023[FULL_NAME],tblF42023[DIVISION],"",0,1)</f>
        <v>I</v>
      </c>
      <c r="AH66" s="300">
        <f>_xlfn.XLOOKUP(F6Results_2026[[#This Row],[Full_Name]],tblF42023[FULL_NAME],tblF42023[TOTAL A''S],"",0,1)</f>
        <v>7</v>
      </c>
      <c r="AI66" s="259"/>
    </row>
    <row r="67" spans="1:35" x14ac:dyDescent="0.3">
      <c r="A67" s="284" t="s">
        <v>48</v>
      </c>
      <c r="B67" s="296">
        <v>2026</v>
      </c>
      <c r="C67" s="285">
        <v>20130285662</v>
      </c>
      <c r="D67" s="297" t="s">
        <v>49</v>
      </c>
      <c r="E67" s="298" t="s">
        <v>45</v>
      </c>
      <c r="F67" s="298" t="s">
        <v>41</v>
      </c>
      <c r="G67" s="298" t="s">
        <v>8</v>
      </c>
      <c r="H67" s="93" cm="1">
        <f t="array" ref="H6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67" s="298" t="str">
        <f t="shared" si="8"/>
        <v>I</v>
      </c>
      <c r="J67" s="296" t="s">
        <v>42</v>
      </c>
      <c r="K67" s="296" t="s">
        <v>6</v>
      </c>
      <c r="L67" s="296"/>
      <c r="M67" s="298" t="s">
        <v>4</v>
      </c>
      <c r="N67" s="296" t="s">
        <v>4</v>
      </c>
      <c r="O67" s="298"/>
      <c r="P67" s="298" t="s">
        <v>4</v>
      </c>
      <c r="Q67" s="298"/>
      <c r="R67" s="298"/>
      <c r="S67" s="298"/>
      <c r="T67" s="298"/>
      <c r="U67" s="298"/>
      <c r="V67" s="298"/>
      <c r="W67" s="298"/>
      <c r="X67" s="298"/>
      <c r="Y67" s="298"/>
      <c r="Z67" s="296">
        <f t="array" ref="Z67">SUM(IF(K67:Y67="A",1,0), IF(K67:Y67="B",2,0), IF(K67:Y67="C",3,0), IF(K67:Y67="D",4,0), IF(K67:Y67="E",5,0), IF(K67:Y67="S",6,0), IF(K67:Y67="F",7,0))</f>
        <v>14</v>
      </c>
      <c r="AA67" s="289">
        <f>_xlfn.XLOOKUP(F6Results_2026[[#This Row],[Full_Name]],tblF42023[FULL_NAME],tblF42023[POINTS],"",0,1)</f>
        <v>14</v>
      </c>
      <c r="AB67" s="289" t="str">
        <f>_xlfn.XLOOKUP(F6Results_2026[[#This Row],[Full_Name]],tblF42023[FULL_NAME],tblF42023[DIVISION],"",0,1)</f>
        <v>I</v>
      </c>
      <c r="AC67" s="289">
        <f>_xlfn.XLOOKUP(F6Results_2026[[#This Row],[Full_Name]],tblF42023[FULL_NAME],tblF42023[POINTS],"",0,1)</f>
        <v>14</v>
      </c>
      <c r="AD67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67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67" s="299">
        <f>_xlfn.XLOOKUP(F6Results_2026[[#This Row],[Full_Name]],tblF22021[FULL_NAME],tblF22021[POINTS],"",0,1)</f>
        <v>8</v>
      </c>
      <c r="AG67" s="299" t="str">
        <f>_xlfn.XLOOKUP(F6Results_2026[[#This Row],[Full_Name]],tblF42023[FULL_NAME],tblF42023[DIVISION],"",0,1)</f>
        <v>I</v>
      </c>
      <c r="AH67" s="300">
        <f>_xlfn.XLOOKUP(F6Results_2026[[#This Row],[Full_Name]],tblF42023[FULL_NAME],tblF42023[TOTAL A''S],"",0,1)</f>
        <v>1</v>
      </c>
      <c r="AI67" s="259"/>
    </row>
    <row r="68" spans="1:35" x14ac:dyDescent="0.3">
      <c r="A68" s="284" t="s">
        <v>148</v>
      </c>
      <c r="B68" s="296">
        <v>2026</v>
      </c>
      <c r="C68" s="285">
        <v>20130285663</v>
      </c>
      <c r="D68" s="297" t="s">
        <v>149</v>
      </c>
      <c r="E68" s="296" t="s">
        <v>139</v>
      </c>
      <c r="F68" s="296" t="s">
        <v>895</v>
      </c>
      <c r="G68" s="296" t="s">
        <v>8</v>
      </c>
      <c r="H68" s="93" cm="1">
        <f t="array" ref="H6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68" s="298" t="str">
        <f t="shared" si="8"/>
        <v>III</v>
      </c>
      <c r="J68" s="296" t="s">
        <v>42</v>
      </c>
      <c r="K68" s="298" t="s">
        <v>7</v>
      </c>
      <c r="L68" s="298"/>
      <c r="M68" s="296"/>
      <c r="N68" s="296" t="s">
        <v>3</v>
      </c>
      <c r="O68" s="296"/>
      <c r="P68" s="296"/>
      <c r="Q68" s="296"/>
      <c r="R68" s="296"/>
      <c r="S68" s="296"/>
      <c r="T68" s="296"/>
      <c r="U68" s="296" t="s">
        <v>8</v>
      </c>
      <c r="V68" s="296"/>
      <c r="W68" s="296" t="s">
        <v>5</v>
      </c>
      <c r="X68" s="296"/>
      <c r="Y68" s="296"/>
      <c r="Z68" s="296">
        <f t="array" ref="Z68">SUM(IF(K68:Y68="A",1,0), IF(K68:Y68="B",2,0), IF(K68:Y68="C",3,0), IF(K68:Y68="D",4,0), IF(K68:Y68="E",5,0), IF(K68:Y68="S",6,0), IF(K68:Y68="F",7,0))</f>
        <v>19</v>
      </c>
      <c r="AA68" s="289">
        <f>_xlfn.XLOOKUP(F6Results_2026[[#This Row],[Full_Name]],tblF42023[FULL_NAME],tblF42023[POINTS],"",0,1)</f>
        <v>12</v>
      </c>
      <c r="AB68" s="289" t="str">
        <f>_xlfn.XLOOKUP(F6Results_2026[[#This Row],[Full_Name]],tblF42023[FULL_NAME],tblF42023[DIVISION],"",0,1)</f>
        <v>I</v>
      </c>
      <c r="AC68" s="289">
        <f>_xlfn.XLOOKUP(F6Results_2026[[#This Row],[Full_Name]],tblF42023[FULL_NAME],tblF42023[POINTS],"",0,1)</f>
        <v>12</v>
      </c>
      <c r="AD68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68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68" s="299">
        <f>_xlfn.XLOOKUP(F6Results_2026[[#This Row],[Full_Name]],tblF22021[FULL_NAME],tblF22021[POINTS],"",0,1)</f>
        <v>8</v>
      </c>
      <c r="AG68" s="299" t="str">
        <f>_xlfn.XLOOKUP(F6Results_2026[[#This Row],[Full_Name]],tblF42023[FULL_NAME],tblF42023[DIVISION],"",0,1)</f>
        <v>I</v>
      </c>
      <c r="AH68" s="300">
        <f>_xlfn.XLOOKUP(F6Results_2026[[#This Row],[Full_Name]],tblF42023[FULL_NAME],tblF42023[TOTAL A''S],"",0,1)</f>
        <v>2</v>
      </c>
      <c r="AI68" s="259"/>
    </row>
    <row r="69" spans="1:35" x14ac:dyDescent="0.3">
      <c r="A69" s="284" t="s">
        <v>50</v>
      </c>
      <c r="B69" s="296">
        <v>2026</v>
      </c>
      <c r="C69" s="285">
        <v>20130285668</v>
      </c>
      <c r="D69" s="297" t="s">
        <v>51</v>
      </c>
      <c r="E69" s="296" t="s">
        <v>45</v>
      </c>
      <c r="F69" s="296" t="s">
        <v>41</v>
      </c>
      <c r="G69" s="296" t="s">
        <v>8</v>
      </c>
      <c r="H69" s="93" cm="1">
        <f t="array" ref="H6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69" s="298" t="str">
        <f t="shared" si="8"/>
        <v>II</v>
      </c>
      <c r="J69" s="296" t="s">
        <v>42</v>
      </c>
      <c r="K69" s="298" t="s">
        <v>6</v>
      </c>
      <c r="L69" s="298"/>
      <c r="M69" s="296" t="s">
        <v>5</v>
      </c>
      <c r="N69" s="296" t="s">
        <v>5</v>
      </c>
      <c r="O69" s="296"/>
      <c r="P69" s="296" t="s">
        <v>5</v>
      </c>
      <c r="Q69" s="296"/>
      <c r="R69" s="296"/>
      <c r="S69" s="296"/>
      <c r="T69" s="296"/>
      <c r="U69" s="296"/>
      <c r="V69" s="296"/>
      <c r="W69" s="296"/>
      <c r="X69" s="296"/>
      <c r="Y69" s="296"/>
      <c r="Z69" s="296">
        <f t="array" ref="Z69">SUM(IF(K69:Y69="A",1,0), IF(K69:Y69="B",2,0), IF(K69:Y69="C",3,0), IF(K69:Y69="D",4,0), IF(K69:Y69="E",5,0), IF(K69:Y69="S",6,0), IF(K69:Y69="F",7,0))</f>
        <v>17</v>
      </c>
      <c r="AA69" s="289">
        <f>_xlfn.XLOOKUP(F6Results_2026[[#This Row],[Full_Name]],tblF42023[FULL_NAME],tblF42023[POINTS],"",0,1)</f>
        <v>16</v>
      </c>
      <c r="AB69" s="289" t="str">
        <f>_xlfn.XLOOKUP(F6Results_2026[[#This Row],[Full_Name]],tblF42023[FULL_NAME],tblF42023[DIVISION],"",0,1)</f>
        <v>I</v>
      </c>
      <c r="AC69" s="289">
        <f>_xlfn.XLOOKUP(F6Results_2026[[#This Row],[Full_Name]],tblF42023[FULL_NAME],tblF42023[POINTS],"",0,1)</f>
        <v>16</v>
      </c>
      <c r="AD69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69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69" s="299">
        <f>_xlfn.XLOOKUP(F6Results_2026[[#This Row],[Full_Name]],tblF22021[FULL_NAME],tblF22021[POINTS],"",0,1)</f>
        <v>9</v>
      </c>
      <c r="AG69" s="299" t="str">
        <f>_xlfn.XLOOKUP(F6Results_2026[[#This Row],[Full_Name]],tblF42023[FULL_NAME],tblF42023[DIVISION],"",0,1)</f>
        <v>I</v>
      </c>
      <c r="AH69" s="300">
        <f>_xlfn.XLOOKUP(F6Results_2026[[#This Row],[Full_Name]],tblF42023[FULL_NAME],tblF42023[TOTAL A''S],"",0,1)</f>
        <v>0</v>
      </c>
      <c r="AI69" s="259"/>
    </row>
    <row r="70" spans="1:35" x14ac:dyDescent="0.3">
      <c r="A70" s="284" t="s">
        <v>52</v>
      </c>
      <c r="B70" s="296">
        <v>2026</v>
      </c>
      <c r="C70" s="285">
        <v>20130285669</v>
      </c>
      <c r="D70" s="297" t="s">
        <v>53</v>
      </c>
      <c r="E70" s="298" t="s">
        <v>45</v>
      </c>
      <c r="F70" s="298" t="s">
        <v>41</v>
      </c>
      <c r="G70" s="298" t="s">
        <v>8</v>
      </c>
      <c r="H70" s="93" cm="1">
        <f t="array" ref="H7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70" s="298" t="str">
        <f t="shared" si="8"/>
        <v>II</v>
      </c>
      <c r="J70" s="296" t="s">
        <v>42</v>
      </c>
      <c r="K70" s="296" t="s">
        <v>6</v>
      </c>
      <c r="L70" s="296"/>
      <c r="M70" s="298" t="s">
        <v>4</v>
      </c>
      <c r="N70" s="296" t="s">
        <v>5</v>
      </c>
      <c r="O70" s="298"/>
      <c r="P70" s="298" t="s">
        <v>4</v>
      </c>
      <c r="Q70" s="298"/>
      <c r="R70" s="298"/>
      <c r="S70" s="298"/>
      <c r="T70" s="298"/>
      <c r="U70" s="298"/>
      <c r="V70" s="298"/>
      <c r="W70" s="298"/>
      <c r="X70" s="298"/>
      <c r="Y70" s="298"/>
      <c r="Z70" s="296">
        <f t="array" ref="Z70">SUM(IF(K70:Y70="A",1,0), IF(K70:Y70="B",2,0), IF(K70:Y70="C",3,0), IF(K70:Y70="D",4,0), IF(K70:Y70="E",5,0), IF(K70:Y70="S",6,0), IF(K70:Y70="F",7,0))</f>
        <v>15</v>
      </c>
      <c r="AA70" s="289">
        <f>_xlfn.XLOOKUP(F6Results_2026[[#This Row],[Full_Name]],tblF42023[FULL_NAME],tblF42023[POINTS],"",0,1)</f>
        <v>10</v>
      </c>
      <c r="AB70" s="289" t="str">
        <f>_xlfn.XLOOKUP(F6Results_2026[[#This Row],[Full_Name]],tblF42023[FULL_NAME],tblF42023[DIVISION],"",0,1)</f>
        <v>I</v>
      </c>
      <c r="AC70" s="289">
        <f>_xlfn.XLOOKUP(F6Results_2026[[#This Row],[Full_Name]],tblF42023[FULL_NAME],tblF42023[POINTS],"",0,1)</f>
        <v>10</v>
      </c>
      <c r="AD70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70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70" s="299">
        <f>_xlfn.XLOOKUP(F6Results_2026[[#This Row],[Full_Name]],tblF22021[FULL_NAME],tblF22021[POINTS],"",0,1)</f>
        <v>7</v>
      </c>
      <c r="AG70" s="299" t="str">
        <f>_xlfn.XLOOKUP(F6Results_2026[[#This Row],[Full_Name]],tblF42023[FULL_NAME],tblF42023[DIVISION],"",0,1)</f>
        <v>I</v>
      </c>
      <c r="AH70" s="300">
        <f>_xlfn.XLOOKUP(F6Results_2026[[#This Row],[Full_Name]],tblF42023[FULL_NAME],tblF42023[TOTAL A''S],"",0,1)</f>
        <v>4</v>
      </c>
      <c r="AI70" s="259"/>
    </row>
    <row r="71" spans="1:35" x14ac:dyDescent="0.3">
      <c r="A71" s="284" t="s">
        <v>54</v>
      </c>
      <c r="B71" s="296">
        <v>2026</v>
      </c>
      <c r="C71" s="285">
        <v>20130285670</v>
      </c>
      <c r="D71" s="297" t="s">
        <v>55</v>
      </c>
      <c r="E71" s="296" t="s">
        <v>45</v>
      </c>
      <c r="F71" s="296" t="s">
        <v>41</v>
      </c>
      <c r="G71" s="296" t="s">
        <v>8</v>
      </c>
      <c r="H71" s="93" cm="1">
        <f t="array" ref="H7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71" s="298" t="str">
        <f t="shared" si="8"/>
        <v>II</v>
      </c>
      <c r="J71" s="296" t="s">
        <v>42</v>
      </c>
      <c r="K71" s="298" t="s">
        <v>6</v>
      </c>
      <c r="L71" s="298"/>
      <c r="M71" s="296" t="s">
        <v>5</v>
      </c>
      <c r="N71" s="296" t="s">
        <v>5</v>
      </c>
      <c r="O71" s="296"/>
      <c r="P71" s="296" t="s">
        <v>4</v>
      </c>
      <c r="Q71" s="296"/>
      <c r="R71" s="296"/>
      <c r="S71" s="296"/>
      <c r="T71" s="296"/>
      <c r="U71" s="296"/>
      <c r="V71" s="296"/>
      <c r="W71" s="296"/>
      <c r="X71" s="296"/>
      <c r="Y71" s="296"/>
      <c r="Z71" s="296">
        <f t="array" ref="Z71">SUM(IF(K71:Y71="A",1,0), IF(K71:Y71="B",2,0), IF(K71:Y71="C",3,0), IF(K71:Y71="D",4,0), IF(K71:Y71="E",5,0), IF(K71:Y71="S",6,0), IF(K71:Y71="F",7,0))</f>
        <v>16</v>
      </c>
      <c r="AA71" s="289">
        <f>_xlfn.XLOOKUP(F6Results_2026[[#This Row],[Full_Name]],tblF42023[FULL_NAME],tblF42023[POINTS],"",0,1)</f>
        <v>15</v>
      </c>
      <c r="AB71" s="289" t="str">
        <f>_xlfn.XLOOKUP(F6Results_2026[[#This Row],[Full_Name]],tblF42023[FULL_NAME],tblF42023[DIVISION],"",0,1)</f>
        <v>I</v>
      </c>
      <c r="AC71" s="289">
        <f>_xlfn.XLOOKUP(F6Results_2026[[#This Row],[Full_Name]],tblF42023[FULL_NAME],tblF42023[POINTS],"",0,1)</f>
        <v>15</v>
      </c>
      <c r="AD71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71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71" s="299">
        <f>_xlfn.XLOOKUP(F6Results_2026[[#This Row],[Full_Name]],tblF22021[FULL_NAME],tblF22021[POINTS],"",0,1)</f>
        <v>10</v>
      </c>
      <c r="AG71" s="299" t="str">
        <f>_xlfn.XLOOKUP(F6Results_2026[[#This Row],[Full_Name]],tblF42023[FULL_NAME],tblF42023[DIVISION],"",0,1)</f>
        <v>I</v>
      </c>
      <c r="AH71" s="300">
        <f>_xlfn.XLOOKUP(F6Results_2026[[#This Row],[Full_Name]],tblF42023[FULL_NAME],tblF42023[TOTAL A''S],"",0,1)</f>
        <v>1</v>
      </c>
      <c r="AI71" s="259"/>
    </row>
    <row r="72" spans="1:35" x14ac:dyDescent="0.3">
      <c r="A72" s="284" t="s">
        <v>150</v>
      </c>
      <c r="B72" s="296">
        <v>2026</v>
      </c>
      <c r="C72" s="285">
        <v>20130285671</v>
      </c>
      <c r="D72" s="297" t="s">
        <v>151</v>
      </c>
      <c r="E72" s="298" t="s">
        <v>139</v>
      </c>
      <c r="F72" s="298" t="s">
        <v>895</v>
      </c>
      <c r="G72" s="298" t="s">
        <v>8</v>
      </c>
      <c r="H72" s="93" cm="1">
        <f t="array" ref="H7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72" s="298" t="str">
        <f t="shared" si="8"/>
        <v>I</v>
      </c>
      <c r="J72" s="296" t="s">
        <v>42</v>
      </c>
      <c r="K72" s="296" t="s">
        <v>6</v>
      </c>
      <c r="L72" s="296"/>
      <c r="M72" s="298"/>
      <c r="N72" s="298" t="s">
        <v>2</v>
      </c>
      <c r="O72" s="298"/>
      <c r="P72" s="298"/>
      <c r="Q72" s="298"/>
      <c r="R72" s="298"/>
      <c r="S72" s="298"/>
      <c r="T72" s="298"/>
      <c r="U72" s="298" t="s">
        <v>5</v>
      </c>
      <c r="V72" s="298"/>
      <c r="W72" s="298" t="s">
        <v>4</v>
      </c>
      <c r="X72" s="298"/>
      <c r="Y72" s="298"/>
      <c r="Z72" s="296">
        <f t="array" ref="Z72">SUM(IF(K72:Y72="A",1,0), IF(K72:Y72="B",2,0), IF(K72:Y72="C",3,0), IF(K72:Y72="D",4,0), IF(K72:Y72="E",5,0), IF(K72:Y72="S",6,0), IF(K72:Y72="F",7,0))</f>
        <v>13</v>
      </c>
      <c r="AA72" s="289" t="str">
        <f>_xlfn.XLOOKUP(F6Results_2026[[#This Row],[Full_Name]],tblF42023[FULL_NAME],tblF42023[POINTS],"",0,1)</f>
        <v/>
      </c>
      <c r="AB72" s="289" t="str">
        <f>_xlfn.XLOOKUP(F6Results_2026[[#This Row],[Full_Name]],tblF42023[FULL_NAME],tblF42023[DIVISION],"",0,1)</f>
        <v/>
      </c>
      <c r="AC72" s="289" t="str">
        <f>_xlfn.XLOOKUP(F6Results_2026[[#This Row],[Full_Name]],tblF42023[FULL_NAME],tblF42023[POINTS],"",0,1)</f>
        <v/>
      </c>
      <c r="AD7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7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72" s="299">
        <f>_xlfn.XLOOKUP(F6Results_2026[[#This Row],[Full_Name]],tblF22021[FULL_NAME],tblF22021[POINTS],"",0,1)</f>
        <v>7</v>
      </c>
      <c r="AG72" s="299" t="str">
        <f>_xlfn.XLOOKUP(F6Results_2026[[#This Row],[Full_Name]],tblF42023[FULL_NAME],tblF42023[DIVISION],"",0,1)</f>
        <v/>
      </c>
      <c r="AH72" s="300" t="str">
        <f>_xlfn.XLOOKUP(F6Results_2026[[#This Row],[Full_Name]],tblF42023[FULL_NAME],tblF42023[TOTAL A''S],"",0,1)</f>
        <v/>
      </c>
      <c r="AI72" s="259"/>
    </row>
    <row r="73" spans="1:35" x14ac:dyDescent="0.3">
      <c r="A73" s="284" t="s">
        <v>152</v>
      </c>
      <c r="B73" s="296">
        <v>2026</v>
      </c>
      <c r="C73" s="285">
        <v>20130285672</v>
      </c>
      <c r="D73" s="297" t="s">
        <v>153</v>
      </c>
      <c r="E73" s="296" t="s">
        <v>139</v>
      </c>
      <c r="F73" s="296" t="s">
        <v>895</v>
      </c>
      <c r="G73" s="296" t="s">
        <v>8</v>
      </c>
      <c r="H73" s="93" cm="1">
        <f t="array" ref="H7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73" s="298" t="str">
        <f t="shared" si="8"/>
        <v>II</v>
      </c>
      <c r="J73" s="296" t="s">
        <v>42</v>
      </c>
      <c r="K73" s="298" t="s">
        <v>6</v>
      </c>
      <c r="L73" s="298"/>
      <c r="M73" s="296"/>
      <c r="N73" s="296" t="s">
        <v>4</v>
      </c>
      <c r="O73" s="296"/>
      <c r="P73" s="296"/>
      <c r="Q73" s="296"/>
      <c r="R73" s="296"/>
      <c r="S73" s="296"/>
      <c r="T73" s="296"/>
      <c r="U73" s="296" t="s">
        <v>5</v>
      </c>
      <c r="V73" s="296"/>
      <c r="W73" s="296" t="s">
        <v>5</v>
      </c>
      <c r="X73" s="296"/>
      <c r="Y73" s="296"/>
      <c r="Z73" s="296">
        <f t="array" ref="Z73">SUM(IF(K73:Y73="A",1,0), IF(K73:Y73="B",2,0), IF(K73:Y73="C",3,0), IF(K73:Y73="D",4,0), IF(K73:Y73="E",5,0), IF(K73:Y73="S",6,0), IF(K73:Y73="F",7,0))</f>
        <v>16</v>
      </c>
      <c r="AA73" s="289">
        <f>_xlfn.XLOOKUP(F6Results_2026[[#This Row],[Full_Name]],tblF42023[FULL_NAME],tblF42023[POINTS],"",0,1)</f>
        <v>7</v>
      </c>
      <c r="AB73" s="289" t="str">
        <f>_xlfn.XLOOKUP(F6Results_2026[[#This Row],[Full_Name]],tblF42023[FULL_NAME],tblF42023[DIVISION],"",0,1)</f>
        <v>I</v>
      </c>
      <c r="AC73" s="289">
        <f>_xlfn.XLOOKUP(F6Results_2026[[#This Row],[Full_Name]],tblF42023[FULL_NAME],tblF42023[POINTS],"",0,1)</f>
        <v>7</v>
      </c>
      <c r="AD73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73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73" s="299">
        <f>_xlfn.XLOOKUP(F6Results_2026[[#This Row],[Full_Name]],tblF22021[FULL_NAME],tblF22021[POINTS],"",0,1)</f>
        <v>7</v>
      </c>
      <c r="AG73" s="299" t="str">
        <f>_xlfn.XLOOKUP(F6Results_2026[[#This Row],[Full_Name]],tblF42023[FULL_NAME],tblF42023[DIVISION],"",0,1)</f>
        <v>I</v>
      </c>
      <c r="AH73" s="300">
        <f>_xlfn.XLOOKUP(F6Results_2026[[#This Row],[Full_Name]],tblF42023[FULL_NAME],tblF42023[TOTAL A''S],"",0,1)</f>
        <v>7</v>
      </c>
      <c r="AI73" s="259"/>
    </row>
    <row r="74" spans="1:35" x14ac:dyDescent="0.3">
      <c r="A74" s="284" t="s">
        <v>311</v>
      </c>
      <c r="B74" s="296">
        <v>2026</v>
      </c>
      <c r="C74" s="285">
        <v>20130285674</v>
      </c>
      <c r="D74" s="297" t="s">
        <v>312</v>
      </c>
      <c r="E74" s="296" t="s">
        <v>304</v>
      </c>
      <c r="F74" s="296" t="s">
        <v>895</v>
      </c>
      <c r="G74" s="296" t="s">
        <v>8</v>
      </c>
      <c r="H74" s="93" cm="1">
        <f t="array" ref="H7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74" s="298" t="str">
        <f t="shared" ref="I74:I105" si="9">VLOOKUP(H74,$AO$11:$AP$17,2,TRUE)</f>
        <v>O</v>
      </c>
      <c r="J74" s="296" t="s">
        <v>42</v>
      </c>
      <c r="K74" s="298" t="s">
        <v>6</v>
      </c>
      <c r="L74" s="298" t="s">
        <v>4</v>
      </c>
      <c r="M74" s="296"/>
      <c r="N74" s="296"/>
      <c r="O74" s="296"/>
      <c r="P74" s="296"/>
      <c r="Q74" s="296"/>
      <c r="R74" s="296"/>
      <c r="S74" s="298"/>
      <c r="T74" s="296"/>
      <c r="U74" s="296"/>
      <c r="V74" s="296"/>
      <c r="W74" s="296" t="s">
        <v>8</v>
      </c>
      <c r="X74" s="296" t="s">
        <v>8</v>
      </c>
      <c r="Y74" s="296" t="s">
        <v>8</v>
      </c>
      <c r="Z74" s="296">
        <f t="array" ref="Z74">SUM(IF(K74:Y74="A",1,0), IF(K74:Y74="B",2,0), IF(K74:Y74="C",3,0), IF(K74:Y74="D",4,0), IF(K74:Y74="E",5,0), IF(K74:Y74="S",6,0), IF(K74:Y74="F",7,0))</f>
        <v>29</v>
      </c>
      <c r="AA74" s="289">
        <f>_xlfn.XLOOKUP(F6Results_2026[[#This Row],[Full_Name]],tblF42023[FULL_NAME],tblF42023[POINTS],"",0,1)</f>
        <v>7</v>
      </c>
      <c r="AB74" s="289" t="str">
        <f>_xlfn.XLOOKUP(F6Results_2026[[#This Row],[Full_Name]],tblF42023[FULL_NAME],tblF42023[DIVISION],"",0,1)</f>
        <v>I</v>
      </c>
      <c r="AC74" s="289">
        <f>_xlfn.XLOOKUP(F6Results_2026[[#This Row],[Full_Name]],tblF42023[FULL_NAME],tblF42023[POINTS],"",0,1)</f>
        <v>7</v>
      </c>
      <c r="AD74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74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74" s="299">
        <f>_xlfn.XLOOKUP(F6Results_2026[[#This Row],[Full_Name]],tblF22021[FULL_NAME],tblF22021[POINTS],"",0,1)</f>
        <v>7</v>
      </c>
      <c r="AG74" s="299" t="str">
        <f>_xlfn.XLOOKUP(F6Results_2026[[#This Row],[Full_Name]],tblF42023[FULL_NAME],tblF42023[DIVISION],"",0,1)</f>
        <v>I</v>
      </c>
      <c r="AH74" s="300">
        <f>_xlfn.XLOOKUP(F6Results_2026[[#This Row],[Full_Name]],tblF42023[FULL_NAME],tblF42023[TOTAL A''S],"",0,1)</f>
        <v>10</v>
      </c>
      <c r="AI74" s="259"/>
    </row>
    <row r="75" spans="1:35" x14ac:dyDescent="0.3">
      <c r="A75" s="284" t="s">
        <v>56</v>
      </c>
      <c r="B75" s="296">
        <v>2026</v>
      </c>
      <c r="C75" s="285">
        <v>20130285676</v>
      </c>
      <c r="D75" s="297" t="s">
        <v>57</v>
      </c>
      <c r="E75" s="298" t="s">
        <v>45</v>
      </c>
      <c r="F75" s="298" t="s">
        <v>41</v>
      </c>
      <c r="G75" s="298" t="s">
        <v>8</v>
      </c>
      <c r="H75" s="93" cm="1">
        <f t="array" ref="H7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75" s="298" t="str">
        <f t="shared" si="9"/>
        <v>II</v>
      </c>
      <c r="J75" s="296" t="s">
        <v>42</v>
      </c>
      <c r="K75" s="296" t="s">
        <v>8</v>
      </c>
      <c r="L75" s="296"/>
      <c r="M75" s="298" t="s">
        <v>5</v>
      </c>
      <c r="N75" s="296" t="s">
        <v>5</v>
      </c>
      <c r="O75" s="298"/>
      <c r="P75" s="298" t="s">
        <v>5</v>
      </c>
      <c r="Q75" s="298"/>
      <c r="R75" s="298"/>
      <c r="S75" s="298"/>
      <c r="T75" s="298"/>
      <c r="U75" s="298"/>
      <c r="V75" s="298"/>
      <c r="W75" s="298"/>
      <c r="X75" s="298"/>
      <c r="Y75" s="298"/>
      <c r="Z75" s="296">
        <f t="array" ref="Z75">SUM(IF(K75:Y75="A",1,0), IF(K75:Y75="B",2,0), IF(K75:Y75="C",3,0), IF(K75:Y75="D",4,0), IF(K75:Y75="E",5,0), IF(K75:Y75="S",6,0), IF(K75:Y75="F",7,0))</f>
        <v>19</v>
      </c>
      <c r="AA75" s="289">
        <f>_xlfn.XLOOKUP(F6Results_2026[[#This Row],[Full_Name]],tblF42023[FULL_NAME],tblF42023[POINTS],"",0,1)</f>
        <v>13</v>
      </c>
      <c r="AB75" s="289" t="str">
        <f>_xlfn.XLOOKUP(F6Results_2026[[#This Row],[Full_Name]],tblF42023[FULL_NAME],tblF42023[DIVISION],"",0,1)</f>
        <v>I</v>
      </c>
      <c r="AC75" s="289">
        <f>_xlfn.XLOOKUP(F6Results_2026[[#This Row],[Full_Name]],tblF42023[FULL_NAME],tblF42023[POINTS],"",0,1)</f>
        <v>13</v>
      </c>
      <c r="AD7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7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75" s="299">
        <f>_xlfn.XLOOKUP(F6Results_2026[[#This Row],[Full_Name]],tblF22021[FULL_NAME],tblF22021[POINTS],"",0,1)</f>
        <v>11</v>
      </c>
      <c r="AG75" s="299" t="str">
        <f>_xlfn.XLOOKUP(F6Results_2026[[#This Row],[Full_Name]],tblF42023[FULL_NAME],tblF42023[DIVISION],"",0,1)</f>
        <v>I</v>
      </c>
      <c r="AH75" s="300">
        <f>_xlfn.XLOOKUP(F6Results_2026[[#This Row],[Full_Name]],tblF42023[FULL_NAME],tblF42023[TOTAL A''S],"",0,1)</f>
        <v>1</v>
      </c>
      <c r="AI75" s="259"/>
    </row>
    <row r="76" spans="1:35" x14ac:dyDescent="0.3">
      <c r="A76" s="301" t="s">
        <v>977</v>
      </c>
      <c r="B76" s="299">
        <v>2026</v>
      </c>
      <c r="C76" s="299">
        <v>20130285680</v>
      </c>
      <c r="D76" s="297" t="s">
        <v>336</v>
      </c>
      <c r="E76" s="299" t="s">
        <v>978</v>
      </c>
      <c r="F76" s="299" t="s">
        <v>896</v>
      </c>
      <c r="G76" s="299" t="s">
        <v>8</v>
      </c>
      <c r="H76" s="93" cm="1">
        <f t="array" ref="H7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76" s="289" t="str">
        <f t="shared" si="9"/>
        <v>II</v>
      </c>
      <c r="J76" s="296" t="s">
        <v>42</v>
      </c>
      <c r="K76" s="289" t="s">
        <v>6</v>
      </c>
      <c r="L76" s="289"/>
      <c r="M76" s="299"/>
      <c r="N76" s="299"/>
      <c r="O76" s="299"/>
      <c r="P76" s="299"/>
      <c r="Q76" s="299" t="s">
        <v>6</v>
      </c>
      <c r="R76" s="299"/>
      <c r="S76" s="299"/>
      <c r="T76" s="299"/>
      <c r="U76" s="299" t="s">
        <v>4</v>
      </c>
      <c r="V76" s="299" t="s">
        <v>4</v>
      </c>
      <c r="W76" s="299"/>
      <c r="X76" s="299"/>
      <c r="Y76" s="299"/>
      <c r="Z76" s="299"/>
      <c r="AA76" s="302">
        <f>_xlfn.XLOOKUP(F6Results_2026[[#This Row],[Full_Name]],tblF42023[FULL_NAME],tblF42023[POINTS],"",0,1)</f>
        <v>10</v>
      </c>
      <c r="AB76" s="302" t="str">
        <f>_xlfn.XLOOKUP(F6Results_2026[[#This Row],[Full_Name]],tblF42023[FULL_NAME],tblF42023[DIVISION],"",0,1)</f>
        <v>I</v>
      </c>
      <c r="AC76" s="302">
        <f>_xlfn.XLOOKUP(F6Results_2026[[#This Row],[Full_Name]],tblF42023[FULL_NAME],tblF42023[POINTS],"",0,1)</f>
        <v>10</v>
      </c>
      <c r="AD76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76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76" s="304">
        <f>_xlfn.XLOOKUP(F6Results_2026[[#This Row],[Full_Name]],tblF22021[FULL_NAME],tblF22021[POINTS],"",0,1)</f>
        <v>7</v>
      </c>
      <c r="AG76" s="304" t="str">
        <f>_xlfn.XLOOKUP(F6Results_2026[[#This Row],[Full_Name]],tblF42023[FULL_NAME],tblF42023[DIVISION],"",0,1)</f>
        <v>I</v>
      </c>
      <c r="AH76" s="305">
        <f>_xlfn.XLOOKUP(F6Results_2026[[#This Row],[Full_Name]],tblF42023[FULL_NAME],tblF42023[TOTAL A''S],"",0,1)</f>
        <v>4</v>
      </c>
      <c r="AI76" s="259"/>
    </row>
    <row r="77" spans="1:35" x14ac:dyDescent="0.3">
      <c r="A77" s="284" t="s">
        <v>58</v>
      </c>
      <c r="B77" s="296">
        <v>2026</v>
      </c>
      <c r="C77" s="285">
        <v>20130285681</v>
      </c>
      <c r="D77" s="297" t="s">
        <v>59</v>
      </c>
      <c r="E77" s="296" t="s">
        <v>45</v>
      </c>
      <c r="F77" s="296" t="s">
        <v>41</v>
      </c>
      <c r="G77" s="296" t="s">
        <v>8</v>
      </c>
      <c r="H77" s="93" cm="1">
        <f t="array" ref="H7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77" s="298" t="str">
        <f t="shared" si="9"/>
        <v>II</v>
      </c>
      <c r="J77" s="296" t="s">
        <v>42</v>
      </c>
      <c r="K77" s="298" t="s">
        <v>5</v>
      </c>
      <c r="L77" s="298"/>
      <c r="M77" s="296" t="s">
        <v>4</v>
      </c>
      <c r="N77" s="296" t="s">
        <v>4</v>
      </c>
      <c r="O77" s="296"/>
      <c r="P77" s="296" t="s">
        <v>5</v>
      </c>
      <c r="Q77" s="296"/>
      <c r="R77" s="296"/>
      <c r="S77" s="296"/>
      <c r="T77" s="296"/>
      <c r="U77" s="296"/>
      <c r="V77" s="296"/>
      <c r="W77" s="296"/>
      <c r="X77" s="296"/>
      <c r="Y77" s="296"/>
      <c r="Z77" s="296">
        <f t="array" ref="Z77">SUM(IF(K77:Y77="A",1,0), IF(K77:Y77="B",2,0), IF(K77:Y77="C",3,0), IF(K77:Y77="D",4,0), IF(K77:Y77="E",5,0), IF(K77:Y77="S",6,0), IF(K77:Y77="F",7,0))</f>
        <v>14</v>
      </c>
      <c r="AA77" s="289">
        <f>_xlfn.XLOOKUP(F6Results_2026[[#This Row],[Full_Name]],tblF42023[FULL_NAME],tblF42023[POINTS],"",0,1)</f>
        <v>13</v>
      </c>
      <c r="AB77" s="289" t="str">
        <f>_xlfn.XLOOKUP(F6Results_2026[[#This Row],[Full_Name]],tblF42023[FULL_NAME],tblF42023[DIVISION],"",0,1)</f>
        <v>I</v>
      </c>
      <c r="AC77" s="289">
        <f>_xlfn.XLOOKUP(F6Results_2026[[#This Row],[Full_Name]],tblF42023[FULL_NAME],tblF42023[POINTS],"",0,1)</f>
        <v>13</v>
      </c>
      <c r="AD77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7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77" s="299">
        <f>_xlfn.XLOOKUP(F6Results_2026[[#This Row],[Full_Name]],tblF22021[FULL_NAME],tblF22021[POINTS],"",0,1)</f>
        <v>9</v>
      </c>
      <c r="AG77" s="299" t="str">
        <f>_xlfn.XLOOKUP(F6Results_2026[[#This Row],[Full_Name]],tblF42023[FULL_NAME],tblF42023[DIVISION],"",0,1)</f>
        <v>I</v>
      </c>
      <c r="AH77" s="300">
        <f>_xlfn.XLOOKUP(F6Results_2026[[#This Row],[Full_Name]],tblF42023[FULL_NAME],tblF42023[TOTAL A''S],"",0,1)</f>
        <v>2</v>
      </c>
      <c r="AI77" s="259"/>
    </row>
    <row r="78" spans="1:35" x14ac:dyDescent="0.3">
      <c r="A78" s="284" t="s">
        <v>112</v>
      </c>
      <c r="B78" s="296">
        <v>2026</v>
      </c>
      <c r="C78" s="285">
        <v>20130285682</v>
      </c>
      <c r="D78" s="297" t="s">
        <v>113</v>
      </c>
      <c r="E78" s="296" t="s">
        <v>40</v>
      </c>
      <c r="F78" s="296" t="s">
        <v>41</v>
      </c>
      <c r="G78" s="296" t="s">
        <v>8</v>
      </c>
      <c r="H78" s="93" cm="1">
        <f t="array" ref="H7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78" s="298" t="str">
        <f t="shared" si="9"/>
        <v>I</v>
      </c>
      <c r="J78" s="296" t="s">
        <v>42</v>
      </c>
      <c r="K78" s="298" t="s">
        <v>6</v>
      </c>
      <c r="L78" s="298"/>
      <c r="M78" s="296" t="s">
        <v>5</v>
      </c>
      <c r="N78" s="296" t="s">
        <v>5</v>
      </c>
      <c r="O78" s="296" t="s">
        <v>2</v>
      </c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>
        <f t="array" ref="Z78">SUM(IF(K78:Y78="A",1,0), IF(K78:Y78="B",2,0), IF(K78:Y78="C",3,0), IF(K78:Y78="D",4,0), IF(K78:Y78="E",5,0), IF(K78:Y78="S",6,0), IF(K78:Y78="F",7,0))</f>
        <v>14</v>
      </c>
      <c r="AA78" s="289">
        <f>_xlfn.XLOOKUP(F6Results_2026[[#This Row],[Full_Name]],tblF42023[FULL_NAME],tblF42023[POINTS],"",0,1)</f>
        <v>11</v>
      </c>
      <c r="AB78" s="289" t="str">
        <f>_xlfn.XLOOKUP(F6Results_2026[[#This Row],[Full_Name]],tblF42023[FULL_NAME],tblF42023[DIVISION],"",0,1)</f>
        <v>I</v>
      </c>
      <c r="AC78" s="289">
        <f>_xlfn.XLOOKUP(F6Results_2026[[#This Row],[Full_Name]],tblF42023[FULL_NAME],tblF42023[POINTS],"",0,1)</f>
        <v>11</v>
      </c>
      <c r="AD78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7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78" s="299">
        <f>_xlfn.XLOOKUP(F6Results_2026[[#This Row],[Full_Name]],tblF22021[FULL_NAME],tblF22021[POINTS],"",0,1)</f>
        <v>8</v>
      </c>
      <c r="AG78" s="299" t="str">
        <f>_xlfn.XLOOKUP(F6Results_2026[[#This Row],[Full_Name]],tblF42023[FULL_NAME],tblF42023[DIVISION],"",0,1)</f>
        <v>I</v>
      </c>
      <c r="AH78" s="300">
        <f>_xlfn.XLOOKUP(F6Results_2026[[#This Row],[Full_Name]],tblF42023[FULL_NAME],tblF42023[TOTAL A''S],"",0,1)</f>
        <v>3</v>
      </c>
      <c r="AI78" s="259"/>
    </row>
    <row r="79" spans="1:35" x14ac:dyDescent="0.3">
      <c r="A79" s="284" t="s">
        <v>60</v>
      </c>
      <c r="B79" s="296">
        <v>2026</v>
      </c>
      <c r="C79" s="285">
        <v>20130285683</v>
      </c>
      <c r="D79" s="297" t="s">
        <v>61</v>
      </c>
      <c r="E79" s="298" t="s">
        <v>45</v>
      </c>
      <c r="F79" s="298" t="s">
        <v>41</v>
      </c>
      <c r="G79" s="298" t="s">
        <v>8</v>
      </c>
      <c r="H79" s="93" cm="1">
        <f t="array" ref="H7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79" s="298" t="str">
        <f t="shared" si="9"/>
        <v>I</v>
      </c>
      <c r="J79" s="296" t="s">
        <v>42</v>
      </c>
      <c r="K79" s="296" t="s">
        <v>5</v>
      </c>
      <c r="L79" s="296"/>
      <c r="M79" s="298" t="s">
        <v>4</v>
      </c>
      <c r="N79" s="296" t="s">
        <v>4</v>
      </c>
      <c r="O79" s="298"/>
      <c r="P79" s="298" t="s">
        <v>3</v>
      </c>
      <c r="Q79" s="298"/>
      <c r="R79" s="298"/>
      <c r="S79" s="298"/>
      <c r="T79" s="298"/>
      <c r="U79" s="298"/>
      <c r="V79" s="298"/>
      <c r="W79" s="298"/>
      <c r="X79" s="298"/>
      <c r="Y79" s="298"/>
      <c r="Z79" s="296">
        <f t="array" ref="Z79">SUM(IF(K79:Y79="A",1,0), IF(K79:Y79="B",2,0), IF(K79:Y79="C",3,0), IF(K79:Y79="D",4,0), IF(K79:Y79="E",5,0), IF(K79:Y79="S",6,0), IF(K79:Y79="F",7,0))</f>
        <v>12</v>
      </c>
      <c r="AA79" s="289">
        <f>_xlfn.XLOOKUP(F6Results_2026[[#This Row],[Full_Name]],tblF42023[FULL_NAME],tblF42023[POINTS],"",0,1)</f>
        <v>7</v>
      </c>
      <c r="AB79" s="289" t="str">
        <f>_xlfn.XLOOKUP(F6Results_2026[[#This Row],[Full_Name]],tblF42023[FULL_NAME],tblF42023[DIVISION],"",0,1)</f>
        <v>I</v>
      </c>
      <c r="AC79" s="289">
        <f>_xlfn.XLOOKUP(F6Results_2026[[#This Row],[Full_Name]],tblF42023[FULL_NAME],tblF42023[POINTS],"",0,1)</f>
        <v>7</v>
      </c>
      <c r="AD79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79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79" s="299">
        <f>_xlfn.XLOOKUP(F6Results_2026[[#This Row],[Full_Name]],tblF22021[FULL_NAME],tblF22021[POINTS],"",0,1)</f>
        <v>7</v>
      </c>
      <c r="AG79" s="299" t="str">
        <f>_xlfn.XLOOKUP(F6Results_2026[[#This Row],[Full_Name]],tblF42023[FULL_NAME],tblF42023[DIVISION],"",0,1)</f>
        <v>I</v>
      </c>
      <c r="AH79" s="300">
        <f>_xlfn.XLOOKUP(F6Results_2026[[#This Row],[Full_Name]],tblF42023[FULL_NAME],tblF42023[TOTAL A''S],"",0,1)</f>
        <v>7</v>
      </c>
      <c r="AI79" s="259"/>
    </row>
    <row r="80" spans="1:35" x14ac:dyDescent="0.3">
      <c r="A80" s="284" t="s">
        <v>62</v>
      </c>
      <c r="B80" s="296">
        <v>2026</v>
      </c>
      <c r="C80" s="285">
        <v>20130285686</v>
      </c>
      <c r="D80" s="297" t="s">
        <v>63</v>
      </c>
      <c r="E80" s="296" t="s">
        <v>45</v>
      </c>
      <c r="F80" s="296" t="s">
        <v>41</v>
      </c>
      <c r="G80" s="296" t="s">
        <v>8</v>
      </c>
      <c r="H80" s="93" cm="1">
        <f t="array" ref="H8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80" s="298" t="str">
        <f t="shared" si="9"/>
        <v>II</v>
      </c>
      <c r="J80" s="296" t="s">
        <v>42</v>
      </c>
      <c r="K80" s="298" t="s">
        <v>8</v>
      </c>
      <c r="L80" s="298"/>
      <c r="M80" s="296" t="s">
        <v>4</v>
      </c>
      <c r="N80" s="296" t="s">
        <v>5</v>
      </c>
      <c r="O80" s="296"/>
      <c r="P80" s="296" t="s">
        <v>5</v>
      </c>
      <c r="Q80" s="296"/>
      <c r="R80" s="296"/>
      <c r="S80" s="296"/>
      <c r="T80" s="296"/>
      <c r="U80" s="296"/>
      <c r="V80" s="296"/>
      <c r="W80" s="296"/>
      <c r="X80" s="296"/>
      <c r="Y80" s="296"/>
      <c r="Z80" s="296">
        <f t="array" ref="Z80">SUM(IF(K80:Y80="A",1,0), IF(K80:Y80="B",2,0), IF(K80:Y80="C",3,0), IF(K80:Y80="D",4,0), IF(K80:Y80="E",5,0), IF(K80:Y80="S",6,0), IF(K80:Y80="F",7,0))</f>
        <v>18</v>
      </c>
      <c r="AA80" s="289">
        <f>_xlfn.XLOOKUP(F6Results_2026[[#This Row],[Full_Name]],tblF42023[FULL_NAME],tblF42023[POINTS],"",0,1)</f>
        <v>18</v>
      </c>
      <c r="AB80" s="289" t="str">
        <f>_xlfn.XLOOKUP(F6Results_2026[[#This Row],[Full_Name]],tblF42023[FULL_NAME],tblF42023[DIVISION],"",0,1)</f>
        <v>II</v>
      </c>
      <c r="AC80" s="289">
        <f>_xlfn.XLOOKUP(F6Results_2026[[#This Row],[Full_Name]],tblF42023[FULL_NAME],tblF42023[POINTS],"",0,1)</f>
        <v>18</v>
      </c>
      <c r="AD80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80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80" s="299" t="str">
        <f>_xlfn.XLOOKUP(F6Results_2026[[#This Row],[Full_Name]],tblF22021[FULL_NAME],tblF22021[POINTS],"",0,1)</f>
        <v/>
      </c>
      <c r="AG80" s="299" t="str">
        <f>_xlfn.XLOOKUP(F6Results_2026[[#This Row],[Full_Name]],tblF42023[FULL_NAME],tblF42023[DIVISION],"",0,1)</f>
        <v>II</v>
      </c>
      <c r="AH80" s="300">
        <f>_xlfn.XLOOKUP(F6Results_2026[[#This Row],[Full_Name]],tblF42023[FULL_NAME],tblF42023[TOTAL A''S],"",0,1)</f>
        <v>0</v>
      </c>
      <c r="AI80" s="259"/>
    </row>
    <row r="81" spans="1:35" x14ac:dyDescent="0.3">
      <c r="A81" s="284" t="s">
        <v>258</v>
      </c>
      <c r="B81" s="296">
        <v>2026</v>
      </c>
      <c r="C81" s="285">
        <v>20130285687</v>
      </c>
      <c r="D81" s="297" t="s">
        <v>259</v>
      </c>
      <c r="E81" s="296" t="s">
        <v>240</v>
      </c>
      <c r="F81" s="296" t="s">
        <v>896</v>
      </c>
      <c r="G81" s="296" t="s">
        <v>8</v>
      </c>
      <c r="H81" s="93" cm="1">
        <f t="array" ref="H8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81" s="298" t="str">
        <f t="shared" si="9"/>
        <v>III</v>
      </c>
      <c r="J81" s="296" t="s">
        <v>42</v>
      </c>
      <c r="K81" s="298" t="s">
        <v>6</v>
      </c>
      <c r="L81" s="298" t="s">
        <v>8</v>
      </c>
      <c r="M81" s="296"/>
      <c r="N81" s="296"/>
      <c r="O81" s="296"/>
      <c r="P81" s="296"/>
      <c r="Q81" s="296" t="s">
        <v>8</v>
      </c>
      <c r="R81" s="296" t="s">
        <v>6</v>
      </c>
      <c r="S81" s="296" t="s">
        <v>5</v>
      </c>
      <c r="T81" s="296"/>
      <c r="U81" s="296"/>
      <c r="V81" s="296"/>
      <c r="W81" s="296"/>
      <c r="X81" s="296"/>
      <c r="Y81" s="296"/>
      <c r="Z81" s="296">
        <f t="array" ref="Z81">SUM(IF(K81:Y81="A",1,0), IF(K81:Y81="B",2,0), IF(K81:Y81="C",3,0), IF(K81:Y81="D",4,0), IF(K81:Y81="E",5,0), IF(K81:Y81="S",6,0), IF(K81:Y81="F",7,0))</f>
        <v>28</v>
      </c>
      <c r="AA81" s="289">
        <f>_xlfn.XLOOKUP(F6Results_2026[[#This Row],[Full_Name]],tblF42023[FULL_NAME],tblF42023[POINTS],"",0,1)</f>
        <v>10</v>
      </c>
      <c r="AB81" s="289" t="str">
        <f>_xlfn.XLOOKUP(F6Results_2026[[#This Row],[Full_Name]],tblF42023[FULL_NAME],tblF42023[DIVISION],"",0,1)</f>
        <v>I</v>
      </c>
      <c r="AC81" s="289">
        <f>_xlfn.XLOOKUP(F6Results_2026[[#This Row],[Full_Name]],tblF42023[FULL_NAME],tblF42023[POINTS],"",0,1)</f>
        <v>10</v>
      </c>
      <c r="AD81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8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1" s="299">
        <f>_xlfn.XLOOKUP(F6Results_2026[[#This Row],[Full_Name]],tblF22021[FULL_NAME],tblF22021[POINTS],"",0,1)</f>
        <v>7</v>
      </c>
      <c r="AG81" s="299" t="str">
        <f>_xlfn.XLOOKUP(F6Results_2026[[#This Row],[Full_Name]],tblF42023[FULL_NAME],tblF42023[DIVISION],"",0,1)</f>
        <v>I</v>
      </c>
      <c r="AH81" s="300">
        <f>_xlfn.XLOOKUP(F6Results_2026[[#This Row],[Full_Name]],tblF42023[FULL_NAME],tblF42023[TOTAL A''S],"",0,1)</f>
        <v>4</v>
      </c>
      <c r="AI81" s="259"/>
    </row>
    <row r="82" spans="1:35" x14ac:dyDescent="0.3">
      <c r="A82" s="284" t="s">
        <v>260</v>
      </c>
      <c r="B82" s="296">
        <v>2026</v>
      </c>
      <c r="C82" s="285">
        <v>20130285688</v>
      </c>
      <c r="D82" s="297" t="s">
        <v>261</v>
      </c>
      <c r="E82" s="298" t="s">
        <v>240</v>
      </c>
      <c r="F82" s="298" t="s">
        <v>896</v>
      </c>
      <c r="G82" s="298" t="s">
        <v>8</v>
      </c>
      <c r="H82" s="93" cm="1">
        <f t="array" ref="H8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82" s="298" t="str">
        <f t="shared" si="9"/>
        <v>III</v>
      </c>
      <c r="J82" s="296" t="s">
        <v>42</v>
      </c>
      <c r="K82" s="296" t="s">
        <v>7</v>
      </c>
      <c r="L82" s="296" t="s">
        <v>5</v>
      </c>
      <c r="M82" s="298"/>
      <c r="N82" s="298"/>
      <c r="O82" s="298"/>
      <c r="P82" s="298"/>
      <c r="Q82" s="298" t="s">
        <v>5</v>
      </c>
      <c r="R82" s="298" t="s">
        <v>5</v>
      </c>
      <c r="S82" s="298" t="s">
        <v>8</v>
      </c>
      <c r="T82" s="298"/>
      <c r="U82" s="298"/>
      <c r="V82" s="298"/>
      <c r="W82" s="298"/>
      <c r="X82" s="298"/>
      <c r="Y82" s="298"/>
      <c r="Z82" s="296">
        <f t="array" ref="Z82">SUM(IF(K82:Y82="A",1,0), IF(K82:Y82="B",2,0), IF(K82:Y82="C",3,0), IF(K82:Y82="D",4,0), IF(K82:Y82="E",5,0), IF(K82:Y82="S",6,0), IF(K82:Y82="F",7,0))</f>
        <v>25</v>
      </c>
      <c r="AA82" s="289">
        <f>_xlfn.XLOOKUP(F6Results_2026[[#This Row],[Full_Name]],tblF42023[FULL_NAME],tblF42023[POINTS],"",0,1)</f>
        <v>8</v>
      </c>
      <c r="AB82" s="289" t="str">
        <f>_xlfn.XLOOKUP(F6Results_2026[[#This Row],[Full_Name]],tblF42023[FULL_NAME],tblF42023[DIVISION],"",0,1)</f>
        <v>I</v>
      </c>
      <c r="AC82" s="289">
        <f>_xlfn.XLOOKUP(F6Results_2026[[#This Row],[Full_Name]],tblF42023[FULL_NAME],tblF42023[POINTS],"",0,1)</f>
        <v>8</v>
      </c>
      <c r="AD82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82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2" s="299">
        <f>_xlfn.XLOOKUP(F6Results_2026[[#This Row],[Full_Name]],tblF22021[FULL_NAME],tblF22021[POINTS],"",0,1)</f>
        <v>7</v>
      </c>
      <c r="AG82" s="299" t="str">
        <f>_xlfn.XLOOKUP(F6Results_2026[[#This Row],[Full_Name]],tblF42023[FULL_NAME],tblF42023[DIVISION],"",0,1)</f>
        <v>I</v>
      </c>
      <c r="AH82" s="300">
        <f>_xlfn.XLOOKUP(F6Results_2026[[#This Row],[Full_Name]],tblF42023[FULL_NAME],tblF42023[TOTAL A''S],"",0,1)</f>
        <v>6</v>
      </c>
      <c r="AI82" s="259"/>
    </row>
    <row r="83" spans="1:35" x14ac:dyDescent="0.3">
      <c r="A83" s="284" t="s">
        <v>154</v>
      </c>
      <c r="B83" s="296">
        <v>2026</v>
      </c>
      <c r="C83" s="285">
        <v>20130285693</v>
      </c>
      <c r="D83" s="297" t="s">
        <v>155</v>
      </c>
      <c r="E83" s="298" t="s">
        <v>139</v>
      </c>
      <c r="F83" s="298" t="s">
        <v>895</v>
      </c>
      <c r="G83" s="298" t="s">
        <v>8</v>
      </c>
      <c r="H83" s="93" cm="1">
        <f t="array" ref="H8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83" s="298" t="str">
        <f t="shared" si="9"/>
        <v>II</v>
      </c>
      <c r="J83" s="296" t="s">
        <v>42</v>
      </c>
      <c r="K83" s="296" t="s">
        <v>5</v>
      </c>
      <c r="L83" s="296"/>
      <c r="M83" s="298"/>
      <c r="N83" s="298" t="s">
        <v>3</v>
      </c>
      <c r="O83" s="298"/>
      <c r="P83" s="298"/>
      <c r="Q83" s="298"/>
      <c r="R83" s="298"/>
      <c r="S83" s="298"/>
      <c r="T83" s="298"/>
      <c r="U83" s="298" t="s">
        <v>4</v>
      </c>
      <c r="V83" s="298"/>
      <c r="W83" s="298" t="s">
        <v>8</v>
      </c>
      <c r="X83" s="298"/>
      <c r="Y83" s="298"/>
      <c r="Z83" s="296">
        <f t="array" ref="Z83">SUM(IF(K83:Y83="A",1,0), IF(K83:Y83="B",2,0), IF(K83:Y83="C",3,0), IF(K83:Y83="D",4,0), IF(K83:Y83="E",5,0), IF(K83:Y83="S",6,0), IF(K83:Y83="F",7,0))</f>
        <v>16</v>
      </c>
      <c r="AA83" s="289">
        <f>_xlfn.XLOOKUP(F6Results_2026[[#This Row],[Full_Name]],tblF42023[FULL_NAME],tblF42023[POINTS],"",0,1)</f>
        <v>8</v>
      </c>
      <c r="AB83" s="289" t="str">
        <f>_xlfn.XLOOKUP(F6Results_2026[[#This Row],[Full_Name]],tblF42023[FULL_NAME],tblF42023[DIVISION],"",0,1)</f>
        <v>I</v>
      </c>
      <c r="AC83" s="289">
        <f>_xlfn.XLOOKUP(F6Results_2026[[#This Row],[Full_Name]],tblF42023[FULL_NAME],tblF42023[POINTS],"",0,1)</f>
        <v>8</v>
      </c>
      <c r="AD83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83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3" s="299">
        <f>_xlfn.XLOOKUP(F6Results_2026[[#This Row],[Full_Name]],tblF22021[FULL_NAME],tblF22021[POINTS],"",0,1)</f>
        <v>7</v>
      </c>
      <c r="AG83" s="299" t="str">
        <f>_xlfn.XLOOKUP(F6Results_2026[[#This Row],[Full_Name]],tblF42023[FULL_NAME],tblF42023[DIVISION],"",0,1)</f>
        <v>I</v>
      </c>
      <c r="AH83" s="300">
        <f>_xlfn.XLOOKUP(F6Results_2026[[#This Row],[Full_Name]],tblF42023[FULL_NAME],tblF42023[TOTAL A''S],"",0,1)</f>
        <v>6</v>
      </c>
      <c r="AI83" s="259"/>
    </row>
    <row r="84" spans="1:35" x14ac:dyDescent="0.3">
      <c r="A84" s="284" t="s">
        <v>262</v>
      </c>
      <c r="B84" s="296">
        <v>2026</v>
      </c>
      <c r="C84" s="285">
        <v>20130285694</v>
      </c>
      <c r="D84" s="297" t="s">
        <v>263</v>
      </c>
      <c r="E84" s="296" t="s">
        <v>240</v>
      </c>
      <c r="F84" s="296" t="s">
        <v>896</v>
      </c>
      <c r="G84" s="296" t="s">
        <v>8</v>
      </c>
      <c r="H84" s="93" cm="1">
        <f t="array" ref="H8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84" s="298" t="str">
        <f t="shared" si="9"/>
        <v>II</v>
      </c>
      <c r="J84" s="296" t="s">
        <v>42</v>
      </c>
      <c r="K84" s="298" t="s">
        <v>5</v>
      </c>
      <c r="L84" s="298" t="s">
        <v>8</v>
      </c>
      <c r="M84" s="296"/>
      <c r="N84" s="296"/>
      <c r="O84" s="296"/>
      <c r="P84" s="296"/>
      <c r="Q84" s="296" t="s">
        <v>5</v>
      </c>
      <c r="R84" s="296" t="s">
        <v>4</v>
      </c>
      <c r="S84" s="296" t="s">
        <v>4</v>
      </c>
      <c r="T84" s="296"/>
      <c r="U84" s="296"/>
      <c r="V84" s="296"/>
      <c r="W84" s="296"/>
      <c r="X84" s="296"/>
      <c r="Y84" s="296"/>
      <c r="Z84" s="296">
        <f t="array" ref="Z84">SUM(IF(K84:Y84="A",1,0), IF(K84:Y84="B",2,0), IF(K84:Y84="C",3,0), IF(K84:Y84="D",4,0), IF(K84:Y84="E",5,0), IF(K84:Y84="S",6,0), IF(K84:Y84="F",7,0))</f>
        <v>21</v>
      </c>
      <c r="AA84" s="289">
        <f>_xlfn.XLOOKUP(F6Results_2026[[#This Row],[Full_Name]],tblF42023[FULL_NAME],tblF42023[POINTS],"",0,1)</f>
        <v>8</v>
      </c>
      <c r="AB84" s="289" t="str">
        <f>_xlfn.XLOOKUP(F6Results_2026[[#This Row],[Full_Name]],tblF42023[FULL_NAME],tblF42023[DIVISION],"",0,1)</f>
        <v>I</v>
      </c>
      <c r="AC84" s="289">
        <f>_xlfn.XLOOKUP(F6Results_2026[[#This Row],[Full_Name]],tblF42023[FULL_NAME],tblF42023[POINTS],"",0,1)</f>
        <v>8</v>
      </c>
      <c r="AD84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8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4" s="299">
        <f>_xlfn.XLOOKUP(F6Results_2026[[#This Row],[Full_Name]],tblF22021[FULL_NAME],tblF22021[POINTS],"",0,1)</f>
        <v>7</v>
      </c>
      <c r="AG84" s="299" t="str">
        <f>_xlfn.XLOOKUP(F6Results_2026[[#This Row],[Full_Name]],tblF42023[FULL_NAME],tblF42023[DIVISION],"",0,1)</f>
        <v>I</v>
      </c>
      <c r="AH84" s="300">
        <f>_xlfn.XLOOKUP(F6Results_2026[[#This Row],[Full_Name]],tblF42023[FULL_NAME],tblF42023[TOTAL A''S],"",0,1)</f>
        <v>6</v>
      </c>
      <c r="AI84" s="259"/>
    </row>
    <row r="85" spans="1:35" x14ac:dyDescent="0.3">
      <c r="A85" s="284" t="s">
        <v>66</v>
      </c>
      <c r="B85" s="296">
        <v>2026</v>
      </c>
      <c r="C85" s="285">
        <v>20130285695</v>
      </c>
      <c r="D85" s="297" t="s">
        <v>67</v>
      </c>
      <c r="E85" s="296" t="s">
        <v>45</v>
      </c>
      <c r="F85" s="296" t="s">
        <v>41</v>
      </c>
      <c r="G85" s="296" t="s">
        <v>8</v>
      </c>
      <c r="H85" s="93" cm="1">
        <f t="array" ref="H8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85" s="298" t="str">
        <f t="shared" si="9"/>
        <v>II</v>
      </c>
      <c r="J85" s="296" t="s">
        <v>42</v>
      </c>
      <c r="K85" s="298" t="s">
        <v>6</v>
      </c>
      <c r="L85" s="298"/>
      <c r="M85" s="298" t="s">
        <v>5</v>
      </c>
      <c r="N85" s="296" t="s">
        <v>4</v>
      </c>
      <c r="O85" s="296"/>
      <c r="P85" s="298" t="s">
        <v>5</v>
      </c>
      <c r="Q85" s="296"/>
      <c r="R85" s="296"/>
      <c r="S85" s="296"/>
      <c r="T85" s="296"/>
      <c r="U85" s="296"/>
      <c r="V85" s="296"/>
      <c r="W85" s="296"/>
      <c r="X85" s="296"/>
      <c r="Y85" s="296"/>
      <c r="Z85" s="296">
        <f t="array" ref="Z85">SUM(IF(K85:Y85="A",1,0), IF(K85:Y85="B",2,0), IF(K85:Y85="C",3,0), IF(K85:Y85="D",4,0), IF(K85:Y85="E",5,0), IF(K85:Y85="S",6,0), IF(K85:Y85="F",7,0))</f>
        <v>16</v>
      </c>
      <c r="AA85" s="289">
        <f>_xlfn.XLOOKUP(F6Results_2026[[#This Row],[Full_Name]],tblF42023[FULL_NAME],tblF42023[POINTS],"",0,1)</f>
        <v>10</v>
      </c>
      <c r="AB85" s="289" t="str">
        <f>_xlfn.XLOOKUP(F6Results_2026[[#This Row],[Full_Name]],tblF42023[FULL_NAME],tblF42023[DIVISION],"",0,1)</f>
        <v>I</v>
      </c>
      <c r="AC85" s="289">
        <f>_xlfn.XLOOKUP(F6Results_2026[[#This Row],[Full_Name]],tblF42023[FULL_NAME],tblF42023[POINTS],"",0,1)</f>
        <v>10</v>
      </c>
      <c r="AD8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8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5" s="299">
        <f>_xlfn.XLOOKUP(F6Results_2026[[#This Row],[Full_Name]],tblF22021[FULL_NAME],tblF22021[POINTS],"",0,1)</f>
        <v>7</v>
      </c>
      <c r="AG85" s="299" t="str">
        <f>_xlfn.XLOOKUP(F6Results_2026[[#This Row],[Full_Name]],tblF42023[FULL_NAME],tblF42023[DIVISION],"",0,1)</f>
        <v>I</v>
      </c>
      <c r="AH85" s="300">
        <f>_xlfn.XLOOKUP(F6Results_2026[[#This Row],[Full_Name]],tblF42023[FULL_NAME],tblF42023[TOTAL A''S],"",0,1)</f>
        <v>4</v>
      </c>
      <c r="AI85" s="259"/>
    </row>
    <row r="86" spans="1:35" x14ac:dyDescent="0.3">
      <c r="A86" s="284" t="s">
        <v>264</v>
      </c>
      <c r="B86" s="296">
        <v>2026</v>
      </c>
      <c r="C86" s="285">
        <v>20130285696</v>
      </c>
      <c r="D86" s="297" t="s">
        <v>265</v>
      </c>
      <c r="E86" s="298" t="s">
        <v>240</v>
      </c>
      <c r="F86" s="298" t="s">
        <v>896</v>
      </c>
      <c r="G86" s="298" t="s">
        <v>8</v>
      </c>
      <c r="H86" s="93" cm="1">
        <f t="array" ref="H8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86" s="298" t="str">
        <f t="shared" si="9"/>
        <v>III</v>
      </c>
      <c r="J86" s="296" t="s">
        <v>42</v>
      </c>
      <c r="K86" s="296" t="s">
        <v>6</v>
      </c>
      <c r="L86" s="296" t="s">
        <v>8</v>
      </c>
      <c r="M86" s="298"/>
      <c r="N86" s="298"/>
      <c r="O86" s="298"/>
      <c r="P86" s="298"/>
      <c r="Q86" s="298" t="s">
        <v>6</v>
      </c>
      <c r="R86" s="298" t="s">
        <v>5</v>
      </c>
      <c r="S86" s="298" t="s">
        <v>8</v>
      </c>
      <c r="T86" s="298"/>
      <c r="U86" s="298"/>
      <c r="V86" s="298"/>
      <c r="W86" s="298"/>
      <c r="X86" s="298"/>
      <c r="Y86" s="298"/>
      <c r="Z86" s="296">
        <f t="array" ref="Z86">SUM(IF(K86:Y86="A",1,0), IF(K86:Y86="B",2,0), IF(K86:Y86="C",3,0), IF(K86:Y86="D",4,0), IF(K86:Y86="E",5,0), IF(K86:Y86="S",6,0), IF(K86:Y86="F",7,0))</f>
        <v>28</v>
      </c>
      <c r="AA86" s="289">
        <f>_xlfn.XLOOKUP(F6Results_2026[[#This Row],[Full_Name]],tblF42023[FULL_NAME],tblF42023[POINTS],"",0,1)</f>
        <v>7</v>
      </c>
      <c r="AB86" s="289" t="str">
        <f>_xlfn.XLOOKUP(F6Results_2026[[#This Row],[Full_Name]],tblF42023[FULL_NAME],tblF42023[DIVISION],"",0,1)</f>
        <v>I</v>
      </c>
      <c r="AC86" s="289">
        <f>_xlfn.XLOOKUP(F6Results_2026[[#This Row],[Full_Name]],tblF42023[FULL_NAME],tblF42023[POINTS],"",0,1)</f>
        <v>7</v>
      </c>
      <c r="AD86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86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6" s="299">
        <f>_xlfn.XLOOKUP(F6Results_2026[[#This Row],[Full_Name]],tblF22021[FULL_NAME],tblF22021[POINTS],"",0,1)</f>
        <v>7</v>
      </c>
      <c r="AG86" s="299" t="str">
        <f>_xlfn.XLOOKUP(F6Results_2026[[#This Row],[Full_Name]],tblF42023[FULL_NAME],tblF42023[DIVISION],"",0,1)</f>
        <v>I</v>
      </c>
      <c r="AH86" s="300">
        <f>_xlfn.XLOOKUP(F6Results_2026[[#This Row],[Full_Name]],tblF42023[FULL_NAME],tblF42023[TOTAL A''S],"",0,1)</f>
        <v>8</v>
      </c>
      <c r="AI86" s="259"/>
    </row>
    <row r="87" spans="1:35" x14ac:dyDescent="0.3">
      <c r="A87" s="284" t="s">
        <v>156</v>
      </c>
      <c r="B87" s="296">
        <v>2026</v>
      </c>
      <c r="C87" s="285">
        <v>20130285697</v>
      </c>
      <c r="D87" s="297" t="s">
        <v>157</v>
      </c>
      <c r="E87" s="296" t="s">
        <v>139</v>
      </c>
      <c r="F87" s="296" t="s">
        <v>895</v>
      </c>
      <c r="G87" s="296" t="s">
        <v>8</v>
      </c>
      <c r="H87" s="93" cm="1">
        <f t="array" ref="H8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87" s="298" t="str">
        <f t="shared" si="9"/>
        <v>III</v>
      </c>
      <c r="J87" s="296" t="s">
        <v>42</v>
      </c>
      <c r="K87" s="298" t="s">
        <v>5</v>
      </c>
      <c r="L87" s="298"/>
      <c r="M87" s="296"/>
      <c r="N87" s="296" t="s">
        <v>4</v>
      </c>
      <c r="O87" s="296"/>
      <c r="P87" s="296"/>
      <c r="Q87" s="296"/>
      <c r="R87" s="296"/>
      <c r="S87" s="296"/>
      <c r="T87" s="296"/>
      <c r="U87" s="296" t="s">
        <v>5</v>
      </c>
      <c r="V87" s="296"/>
      <c r="W87" s="296" t="s">
        <v>8</v>
      </c>
      <c r="X87" s="296"/>
      <c r="Y87" s="296"/>
      <c r="Z87" s="296">
        <f t="array" ref="Z87">SUM(IF(K87:Y87="A",1,0), IF(K87:Y87="B",2,0), IF(K87:Y87="C",3,0), IF(K87:Y87="D",4,0), IF(K87:Y87="E",5,0), IF(K87:Y87="S",6,0), IF(K87:Y87="F",7,0))</f>
        <v>18</v>
      </c>
      <c r="AA87" s="289">
        <f>_xlfn.XLOOKUP(F6Results_2026[[#This Row],[Full_Name]],tblF42023[FULL_NAME],tblF42023[POINTS],"",0,1)</f>
        <v>7</v>
      </c>
      <c r="AB87" s="289" t="str">
        <f>_xlfn.XLOOKUP(F6Results_2026[[#This Row],[Full_Name]],tblF42023[FULL_NAME],tblF42023[DIVISION],"",0,1)</f>
        <v>I</v>
      </c>
      <c r="AC87" s="289">
        <f>_xlfn.XLOOKUP(F6Results_2026[[#This Row],[Full_Name]],tblF42023[FULL_NAME],tblF42023[POINTS],"",0,1)</f>
        <v>7</v>
      </c>
      <c r="AD87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8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7" s="299">
        <f>_xlfn.XLOOKUP(F6Results_2026[[#This Row],[Full_Name]],tblF22021[FULL_NAME],tblF22021[POINTS],"",0,1)</f>
        <v>7</v>
      </c>
      <c r="AG87" s="299" t="str">
        <f>_xlfn.XLOOKUP(F6Results_2026[[#This Row],[Full_Name]],tblF42023[FULL_NAME],tblF42023[DIVISION],"",0,1)</f>
        <v>I</v>
      </c>
      <c r="AH87" s="300">
        <f>_xlfn.XLOOKUP(F6Results_2026[[#This Row],[Full_Name]],tblF42023[FULL_NAME],tblF42023[TOTAL A''S],"",0,1)</f>
        <v>7</v>
      </c>
      <c r="AI87" s="259"/>
    </row>
    <row r="88" spans="1:35" x14ac:dyDescent="0.3">
      <c r="A88" s="284" t="s">
        <v>212</v>
      </c>
      <c r="B88" s="296">
        <v>2026</v>
      </c>
      <c r="C88" s="285">
        <v>20130285698</v>
      </c>
      <c r="D88" s="297" t="s">
        <v>213</v>
      </c>
      <c r="E88" s="296" t="s">
        <v>194</v>
      </c>
      <c r="F88" s="296" t="s">
        <v>896</v>
      </c>
      <c r="G88" s="296" t="s">
        <v>8</v>
      </c>
      <c r="H88" s="93" cm="1">
        <f t="array" ref="H8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88" s="298" t="str">
        <f t="shared" si="9"/>
        <v>III</v>
      </c>
      <c r="J88" s="296" t="s">
        <v>42</v>
      </c>
      <c r="K88" s="298" t="s">
        <v>7</v>
      </c>
      <c r="L88" s="298"/>
      <c r="M88" s="296"/>
      <c r="N88" s="296"/>
      <c r="O88" s="296"/>
      <c r="P88" s="296"/>
      <c r="Q88" s="296" t="s">
        <v>6</v>
      </c>
      <c r="R88" s="296" t="s">
        <v>4</v>
      </c>
      <c r="S88" s="296"/>
      <c r="T88" s="296"/>
      <c r="U88" s="296" t="s">
        <v>6</v>
      </c>
      <c r="V88" s="296"/>
      <c r="W88" s="296"/>
      <c r="X88" s="296"/>
      <c r="Y88" s="296"/>
      <c r="Z88" s="296">
        <f t="array" ref="Z88">SUM(IF(K88:Y88="A",1,0), IF(K88:Y88="B",2,0), IF(K88:Y88="C",3,0), IF(K88:Y88="D",4,0), IF(K88:Y88="E",5,0), IF(K88:Y88="S",6,0), IF(K88:Y88="F",7,0))</f>
        <v>19</v>
      </c>
      <c r="AA88" s="289">
        <f>_xlfn.XLOOKUP(F6Results_2026[[#This Row],[Full_Name]],tblF42023[FULL_NAME],tblF42023[POINTS],"",0,1)</f>
        <v>9</v>
      </c>
      <c r="AB88" s="289" t="str">
        <f>_xlfn.XLOOKUP(F6Results_2026[[#This Row],[Full_Name]],tblF42023[FULL_NAME],tblF42023[DIVISION],"",0,1)</f>
        <v>I</v>
      </c>
      <c r="AC88" s="289">
        <f>_xlfn.XLOOKUP(F6Results_2026[[#This Row],[Full_Name]],tblF42023[FULL_NAME],tblF42023[POINTS],"",0,1)</f>
        <v>9</v>
      </c>
      <c r="AD88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88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88" s="299">
        <f>_xlfn.XLOOKUP(F6Results_2026[[#This Row],[Full_Name]],tblF22021[FULL_NAME],tblF22021[POINTS],"",0,1)</f>
        <v>7</v>
      </c>
      <c r="AG88" s="299" t="str">
        <f>_xlfn.XLOOKUP(F6Results_2026[[#This Row],[Full_Name]],tblF42023[FULL_NAME],tblF42023[DIVISION],"",0,1)</f>
        <v>I</v>
      </c>
      <c r="AH88" s="300">
        <f>_xlfn.XLOOKUP(F6Results_2026[[#This Row],[Full_Name]],tblF42023[FULL_NAME],tblF42023[TOTAL A''S],"",0,1)</f>
        <v>5</v>
      </c>
      <c r="AI88" s="259"/>
    </row>
    <row r="89" spans="1:35" x14ac:dyDescent="0.3">
      <c r="A89" s="284" t="s">
        <v>68</v>
      </c>
      <c r="B89" s="296">
        <v>2026</v>
      </c>
      <c r="C89" s="285">
        <v>20130285699</v>
      </c>
      <c r="D89" s="297" t="s">
        <v>69</v>
      </c>
      <c r="E89" s="298" t="s">
        <v>45</v>
      </c>
      <c r="F89" s="298" t="s">
        <v>41</v>
      </c>
      <c r="G89" s="298" t="s">
        <v>8</v>
      </c>
      <c r="H89" s="93" cm="1">
        <f t="array" ref="H8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89" s="298" t="str">
        <f t="shared" si="9"/>
        <v>I</v>
      </c>
      <c r="J89" s="296" t="s">
        <v>42</v>
      </c>
      <c r="K89" s="298" t="s">
        <v>5</v>
      </c>
      <c r="L89" s="298"/>
      <c r="M89" s="298" t="s">
        <v>5</v>
      </c>
      <c r="N89" s="296" t="s">
        <v>4</v>
      </c>
      <c r="O89" s="298"/>
      <c r="P89" s="298" t="s">
        <v>3</v>
      </c>
      <c r="Q89" s="298"/>
      <c r="R89" s="298"/>
      <c r="S89" s="298"/>
      <c r="T89" s="298"/>
      <c r="U89" s="298"/>
      <c r="V89" s="298"/>
      <c r="W89" s="298"/>
      <c r="X89" s="298"/>
      <c r="Y89" s="298"/>
      <c r="Z89" s="296">
        <f t="array" ref="Z89">SUM(IF(K89:Y89="A",1,0), IF(K89:Y89="B",2,0), IF(K89:Y89="C",3,0), IF(K89:Y89="D",4,0), IF(K89:Y89="E",5,0), IF(K89:Y89="S",6,0), IF(K89:Y89="F",7,0))</f>
        <v>13</v>
      </c>
      <c r="AA89" s="289">
        <f>_xlfn.XLOOKUP(F6Results_2026[[#This Row],[Full_Name]],tblF42023[FULL_NAME],tblF42023[POINTS],"",0,1)</f>
        <v>7</v>
      </c>
      <c r="AB89" s="289" t="str">
        <f>_xlfn.XLOOKUP(F6Results_2026[[#This Row],[Full_Name]],tblF42023[FULL_NAME],tblF42023[DIVISION],"",0,1)</f>
        <v>I</v>
      </c>
      <c r="AC89" s="289">
        <f>_xlfn.XLOOKUP(F6Results_2026[[#This Row],[Full_Name]],tblF42023[FULL_NAME],tblF42023[POINTS],"",0,1)</f>
        <v>7</v>
      </c>
      <c r="AD89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89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89" s="299">
        <f>_xlfn.XLOOKUP(F6Results_2026[[#This Row],[Full_Name]],tblF22021[FULL_NAME],tblF22021[POINTS],"",0,1)</f>
        <v>8</v>
      </c>
      <c r="AG89" s="299" t="str">
        <f>_xlfn.XLOOKUP(F6Results_2026[[#This Row],[Full_Name]],tblF42023[FULL_NAME],tblF42023[DIVISION],"",0,1)</f>
        <v>I</v>
      </c>
      <c r="AH89" s="300">
        <f>_xlfn.XLOOKUP(F6Results_2026[[#This Row],[Full_Name]],tblF42023[FULL_NAME],tblF42023[TOTAL A''S],"",0,1)</f>
        <v>7</v>
      </c>
      <c r="AI89" s="259"/>
    </row>
    <row r="90" spans="1:35" x14ac:dyDescent="0.3">
      <c r="A90" s="284" t="s">
        <v>70</v>
      </c>
      <c r="B90" s="296">
        <v>2026</v>
      </c>
      <c r="C90" s="285">
        <v>20130285701</v>
      </c>
      <c r="D90" s="297" t="s">
        <v>71</v>
      </c>
      <c r="E90" s="296" t="s">
        <v>45</v>
      </c>
      <c r="F90" s="296" t="s">
        <v>41</v>
      </c>
      <c r="G90" s="296" t="s">
        <v>8</v>
      </c>
      <c r="H90" s="93" cm="1">
        <f t="array" ref="H9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90" s="298" t="str">
        <f t="shared" si="9"/>
        <v>II</v>
      </c>
      <c r="J90" s="296" t="s">
        <v>42</v>
      </c>
      <c r="K90" s="298" t="s">
        <v>6</v>
      </c>
      <c r="L90" s="298"/>
      <c r="M90" s="298" t="s">
        <v>5</v>
      </c>
      <c r="N90" s="296" t="s">
        <v>5</v>
      </c>
      <c r="O90" s="296"/>
      <c r="P90" s="298" t="s">
        <v>3</v>
      </c>
      <c r="Q90" s="296"/>
      <c r="R90" s="296"/>
      <c r="S90" s="296"/>
      <c r="T90" s="296"/>
      <c r="U90" s="296"/>
      <c r="V90" s="296"/>
      <c r="W90" s="296"/>
      <c r="X90" s="296"/>
      <c r="Y90" s="296"/>
      <c r="Z90" s="296">
        <f t="array" ref="Z90">SUM(IF(K90:Y90="A",1,0), IF(K90:Y90="B",2,0), IF(K90:Y90="C",3,0), IF(K90:Y90="D",4,0), IF(K90:Y90="E",5,0), IF(K90:Y90="S",6,0), IF(K90:Y90="F",7,0))</f>
        <v>15</v>
      </c>
      <c r="AA90" s="289">
        <f>_xlfn.XLOOKUP(F6Results_2026[[#This Row],[Full_Name]],tblF42023[FULL_NAME],tblF42023[POINTS],"",0,1)</f>
        <v>10</v>
      </c>
      <c r="AB90" s="289" t="str">
        <f>_xlfn.XLOOKUP(F6Results_2026[[#This Row],[Full_Name]],tblF42023[FULL_NAME],tblF42023[DIVISION],"",0,1)</f>
        <v>I</v>
      </c>
      <c r="AC90" s="289">
        <f>_xlfn.XLOOKUP(F6Results_2026[[#This Row],[Full_Name]],tblF42023[FULL_NAME],tblF42023[POINTS],"",0,1)</f>
        <v>10</v>
      </c>
      <c r="AD90" s="299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90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90" s="299">
        <f>_xlfn.XLOOKUP(F6Results_2026[[#This Row],[Full_Name]],tblF22021[FULL_NAME],tblF22021[POINTS],"",0,1)</f>
        <v>7</v>
      </c>
      <c r="AG90" s="299" t="str">
        <f>_xlfn.XLOOKUP(F6Results_2026[[#This Row],[Full_Name]],tblF42023[FULL_NAME],tblF42023[DIVISION],"",0,1)</f>
        <v>I</v>
      </c>
      <c r="AH90" s="300">
        <f>_xlfn.XLOOKUP(F6Results_2026[[#This Row],[Full_Name]],tblF42023[FULL_NAME],tblF42023[TOTAL A''S],"",0,1)</f>
        <v>4</v>
      </c>
      <c r="AI90" s="259"/>
    </row>
    <row r="91" spans="1:35" x14ac:dyDescent="0.3">
      <c r="A91" s="284" t="s">
        <v>121</v>
      </c>
      <c r="B91" s="296">
        <v>2026</v>
      </c>
      <c r="C91" s="285">
        <v>20130285703</v>
      </c>
      <c r="D91" s="297" t="s">
        <v>122</v>
      </c>
      <c r="E91" s="298" t="s">
        <v>40</v>
      </c>
      <c r="F91" s="298" t="s">
        <v>41</v>
      </c>
      <c r="G91" s="298" t="s">
        <v>8</v>
      </c>
      <c r="H91" s="93" cm="1">
        <f t="array" ref="H9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91" s="298" t="str">
        <f t="shared" si="9"/>
        <v>I</v>
      </c>
      <c r="J91" s="296" t="s">
        <v>42</v>
      </c>
      <c r="K91" s="296" t="s">
        <v>6</v>
      </c>
      <c r="L91" s="296"/>
      <c r="M91" s="296" t="s">
        <v>5</v>
      </c>
      <c r="N91" s="298" t="s">
        <v>4</v>
      </c>
      <c r="O91" s="298" t="s">
        <v>2</v>
      </c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6">
        <f t="array" ref="Z91">SUM(IF(K91:Y91="A",1,0), IF(K91:Y91="B",2,0), IF(K91:Y91="C",3,0), IF(K91:Y91="D",4,0), IF(K91:Y91="E",5,0), IF(K91:Y91="S",6,0), IF(K91:Y91="F",7,0))</f>
        <v>13</v>
      </c>
      <c r="AA91" s="289">
        <f>_xlfn.XLOOKUP(F6Results_2026[[#This Row],[Full_Name]],tblF42023[FULL_NAME],tblF42023[POINTS],"",0,1)</f>
        <v>15</v>
      </c>
      <c r="AB91" s="289" t="str">
        <f>_xlfn.XLOOKUP(F6Results_2026[[#This Row],[Full_Name]],tblF42023[FULL_NAME],tblF42023[DIVISION],"",0,1)</f>
        <v>I</v>
      </c>
      <c r="AC91" s="289">
        <f>_xlfn.XLOOKUP(F6Results_2026[[#This Row],[Full_Name]],tblF42023[FULL_NAME],tblF42023[POINTS],"",0,1)</f>
        <v>15</v>
      </c>
      <c r="AD91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91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91" s="299">
        <f>_xlfn.XLOOKUP(F6Results_2026[[#This Row],[Full_Name]],tblF22021[FULL_NAME],tblF22021[POINTS],"",0,1)</f>
        <v>10</v>
      </c>
      <c r="AG91" s="299" t="str">
        <f>_xlfn.XLOOKUP(F6Results_2026[[#This Row],[Full_Name]],tblF42023[FULL_NAME],tblF42023[DIVISION],"",0,1)</f>
        <v>I</v>
      </c>
      <c r="AH91" s="300">
        <f>_xlfn.XLOOKUP(F6Results_2026[[#This Row],[Full_Name]],tblF42023[FULL_NAME],tblF42023[TOTAL A''S],"",0,1)</f>
        <v>1</v>
      </c>
      <c r="AI91" s="259"/>
    </row>
    <row r="92" spans="1:35" x14ac:dyDescent="0.3">
      <c r="A92" s="284" t="s">
        <v>72</v>
      </c>
      <c r="B92" s="296">
        <v>2026</v>
      </c>
      <c r="C92" s="285">
        <v>20130285705</v>
      </c>
      <c r="D92" s="297" t="s">
        <v>73</v>
      </c>
      <c r="E92" s="298" t="s">
        <v>45</v>
      </c>
      <c r="F92" s="298" t="s">
        <v>41</v>
      </c>
      <c r="G92" s="298" t="s">
        <v>8</v>
      </c>
      <c r="H92" s="93" cm="1">
        <f t="array" ref="H9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92" s="298" t="str">
        <f t="shared" si="9"/>
        <v>II</v>
      </c>
      <c r="J92" s="296" t="s">
        <v>42</v>
      </c>
      <c r="K92" s="298" t="s">
        <v>8</v>
      </c>
      <c r="L92" s="298"/>
      <c r="M92" s="298" t="s">
        <v>5</v>
      </c>
      <c r="N92" s="296" t="s">
        <v>4</v>
      </c>
      <c r="O92" s="298"/>
      <c r="P92" s="298" t="s">
        <v>4</v>
      </c>
      <c r="Q92" s="298"/>
      <c r="R92" s="298"/>
      <c r="S92" s="298"/>
      <c r="T92" s="298"/>
      <c r="U92" s="298"/>
      <c r="V92" s="298"/>
      <c r="W92" s="298"/>
      <c r="X92" s="298"/>
      <c r="Y92" s="298"/>
      <c r="Z92" s="296">
        <f t="array" ref="Z92">SUM(IF(K92:Y92="A",1,0), IF(K92:Y92="B",2,0), IF(K92:Y92="C",3,0), IF(K92:Y92="D",4,0), IF(K92:Y92="E",5,0), IF(K92:Y92="S",6,0), IF(K92:Y92="F",7,0))</f>
        <v>17</v>
      </c>
      <c r="AA92" s="289">
        <f>_xlfn.XLOOKUP(F6Results_2026[[#This Row],[Full_Name]],tblF42023[FULL_NAME],tblF42023[POINTS],"",0,1)</f>
        <v>14</v>
      </c>
      <c r="AB92" s="289" t="str">
        <f>_xlfn.XLOOKUP(F6Results_2026[[#This Row],[Full_Name]],tblF42023[FULL_NAME],tblF42023[DIVISION],"",0,1)</f>
        <v>I</v>
      </c>
      <c r="AC92" s="289">
        <f>_xlfn.XLOOKUP(F6Results_2026[[#This Row],[Full_Name]],tblF42023[FULL_NAME],tblF42023[POINTS],"",0,1)</f>
        <v>14</v>
      </c>
      <c r="AD92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92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92" s="299">
        <f>_xlfn.XLOOKUP(F6Results_2026[[#This Row],[Full_Name]],tblF22021[FULL_NAME],tblF22021[POINTS],"",0,1)</f>
        <v>7</v>
      </c>
      <c r="AG92" s="299" t="str">
        <f>_xlfn.XLOOKUP(F6Results_2026[[#This Row],[Full_Name]],tblF42023[FULL_NAME],tblF42023[DIVISION],"",0,1)</f>
        <v>I</v>
      </c>
      <c r="AH92" s="300">
        <f>_xlfn.XLOOKUP(F6Results_2026[[#This Row],[Full_Name]],tblF42023[FULL_NAME],tblF42023[TOTAL A''S],"",0,1)</f>
        <v>1</v>
      </c>
      <c r="AI92" s="259"/>
    </row>
    <row r="93" spans="1:35" x14ac:dyDescent="0.3">
      <c r="A93" s="284" t="s">
        <v>74</v>
      </c>
      <c r="B93" s="296">
        <v>2026</v>
      </c>
      <c r="C93" s="285">
        <v>20130285706</v>
      </c>
      <c r="D93" s="297" t="s">
        <v>75</v>
      </c>
      <c r="E93" s="296" t="s">
        <v>45</v>
      </c>
      <c r="F93" s="296" t="s">
        <v>41</v>
      </c>
      <c r="G93" s="296" t="s">
        <v>8</v>
      </c>
      <c r="H93" s="93" cm="1">
        <f t="array" ref="H9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93" s="298" t="str">
        <f t="shared" si="9"/>
        <v>III</v>
      </c>
      <c r="J93" s="296" t="s">
        <v>42</v>
      </c>
      <c r="K93" s="298" t="s">
        <v>6</v>
      </c>
      <c r="L93" s="298"/>
      <c r="M93" s="298" t="s">
        <v>5</v>
      </c>
      <c r="N93" s="296" t="s">
        <v>6</v>
      </c>
      <c r="O93" s="296"/>
      <c r="P93" s="296" t="s">
        <v>5</v>
      </c>
      <c r="Q93" s="296"/>
      <c r="R93" s="296"/>
      <c r="S93" s="296"/>
      <c r="T93" s="296"/>
      <c r="U93" s="296"/>
      <c r="V93" s="296"/>
      <c r="W93" s="296"/>
      <c r="X93" s="296"/>
      <c r="Y93" s="296"/>
      <c r="Z93" s="296">
        <f t="array" ref="Z93">SUM(IF(K93:Y93="A",1,0), IF(K93:Y93="B",2,0), IF(K93:Y93="C",3,0), IF(K93:Y93="D",4,0), IF(K93:Y93="E",5,0), IF(K93:Y93="S",6,0), IF(K93:Y93="F",7,0))</f>
        <v>18</v>
      </c>
      <c r="AA93" s="289">
        <f>_xlfn.XLOOKUP(F6Results_2026[[#This Row],[Full_Name]],tblF42023[FULL_NAME],tblF42023[POINTS],"",0,1)</f>
        <v>16</v>
      </c>
      <c r="AB93" s="289" t="str">
        <f>_xlfn.XLOOKUP(F6Results_2026[[#This Row],[Full_Name]],tblF42023[FULL_NAME],tblF42023[DIVISION],"",0,1)</f>
        <v>I</v>
      </c>
      <c r="AC93" s="289">
        <f>_xlfn.XLOOKUP(F6Results_2026[[#This Row],[Full_Name]],tblF42023[FULL_NAME],tblF42023[POINTS],"",0,1)</f>
        <v>16</v>
      </c>
      <c r="AD93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93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93" s="299">
        <f>_xlfn.XLOOKUP(F6Results_2026[[#This Row],[Full_Name]],tblF22021[FULL_NAME],tblF22021[POINTS],"",0,1)</f>
        <v>9</v>
      </c>
      <c r="AG93" s="299" t="str">
        <f>_xlfn.XLOOKUP(F6Results_2026[[#This Row],[Full_Name]],tblF42023[FULL_NAME],tblF42023[DIVISION],"",0,1)</f>
        <v>I</v>
      </c>
      <c r="AH93" s="300">
        <f>_xlfn.XLOOKUP(F6Results_2026[[#This Row],[Full_Name]],tblF42023[FULL_NAME],tblF42023[TOTAL A''S],"",0,1)</f>
        <v>0</v>
      </c>
      <c r="AI93" s="259"/>
    </row>
    <row r="94" spans="1:35" x14ac:dyDescent="0.3">
      <c r="A94" s="284" t="s">
        <v>268</v>
      </c>
      <c r="B94" s="296">
        <v>2026</v>
      </c>
      <c r="C94" s="285">
        <v>20130285707</v>
      </c>
      <c r="D94" s="297" t="s">
        <v>269</v>
      </c>
      <c r="E94" s="298" t="s">
        <v>240</v>
      </c>
      <c r="F94" s="298" t="s">
        <v>896</v>
      </c>
      <c r="G94" s="298" t="s">
        <v>8</v>
      </c>
      <c r="H94" s="93" cm="1">
        <f t="array" ref="H9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94" s="298" t="str">
        <f t="shared" si="9"/>
        <v>III</v>
      </c>
      <c r="J94" s="296" t="s">
        <v>42</v>
      </c>
      <c r="K94" s="296" t="s">
        <v>6</v>
      </c>
      <c r="L94" s="296" t="s">
        <v>7</v>
      </c>
      <c r="M94" s="298"/>
      <c r="N94" s="298"/>
      <c r="O94" s="298"/>
      <c r="P94" s="298"/>
      <c r="Q94" s="298" t="s">
        <v>6</v>
      </c>
      <c r="R94" s="298" t="s">
        <v>5</v>
      </c>
      <c r="S94" s="298" t="s">
        <v>8</v>
      </c>
      <c r="T94" s="298"/>
      <c r="U94" s="298"/>
      <c r="V94" s="298"/>
      <c r="W94" s="298"/>
      <c r="X94" s="298"/>
      <c r="Y94" s="298"/>
      <c r="Z94" s="296">
        <f t="array" ref="Z94">SUM(IF(K94:Y94="A",1,0), IF(K94:Y94="B",2,0), IF(K94:Y94="C",3,0), IF(K94:Y94="D",4,0), IF(K94:Y94="E",5,0), IF(K94:Y94="S",6,0), IF(K94:Y94="F",7,0))</f>
        <v>27</v>
      </c>
      <c r="AA94" s="289">
        <f>_xlfn.XLOOKUP(F6Results_2026[[#This Row],[Full_Name]],tblF42023[FULL_NAME],tblF42023[POINTS],"",0,1)</f>
        <v>7</v>
      </c>
      <c r="AB94" s="289" t="str">
        <f>_xlfn.XLOOKUP(F6Results_2026[[#This Row],[Full_Name]],tblF42023[FULL_NAME],tblF42023[DIVISION],"",0,1)</f>
        <v>I</v>
      </c>
      <c r="AC94" s="289">
        <f>_xlfn.XLOOKUP(F6Results_2026[[#This Row],[Full_Name]],tblF42023[FULL_NAME],tblF42023[POINTS],"",0,1)</f>
        <v>7</v>
      </c>
      <c r="AD94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9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94" s="299">
        <f>_xlfn.XLOOKUP(F6Results_2026[[#This Row],[Full_Name]],tblF22021[FULL_NAME],tblF22021[POINTS],"",0,1)</f>
        <v>7</v>
      </c>
      <c r="AG94" s="299" t="str">
        <f>_xlfn.XLOOKUP(F6Results_2026[[#This Row],[Full_Name]],tblF42023[FULL_NAME],tblF42023[DIVISION],"",0,1)</f>
        <v>I</v>
      </c>
      <c r="AH94" s="300">
        <f>_xlfn.XLOOKUP(F6Results_2026[[#This Row],[Full_Name]],tblF42023[FULL_NAME],tblF42023[TOTAL A''S],"",0,1)</f>
        <v>8</v>
      </c>
      <c r="AI94" s="259"/>
    </row>
    <row r="95" spans="1:35" x14ac:dyDescent="0.3">
      <c r="A95" s="284" t="s">
        <v>270</v>
      </c>
      <c r="B95" s="296">
        <v>2026</v>
      </c>
      <c r="C95" s="285">
        <v>20130285709</v>
      </c>
      <c r="D95" s="297" t="s">
        <v>271</v>
      </c>
      <c r="E95" s="296" t="s">
        <v>240</v>
      </c>
      <c r="F95" s="296" t="s">
        <v>896</v>
      </c>
      <c r="G95" s="296" t="s">
        <v>8</v>
      </c>
      <c r="H95" s="93" cm="1">
        <f t="array" ref="H9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95" s="298" t="str">
        <f t="shared" si="9"/>
        <v>III</v>
      </c>
      <c r="J95" s="296" t="s">
        <v>42</v>
      </c>
      <c r="K95" s="298" t="s">
        <v>5</v>
      </c>
      <c r="L95" s="298" t="s">
        <v>4</v>
      </c>
      <c r="M95" s="296"/>
      <c r="N95" s="296"/>
      <c r="O95" s="296"/>
      <c r="P95" s="296"/>
      <c r="Q95" s="296" t="s">
        <v>5</v>
      </c>
      <c r="R95" s="296" t="s">
        <v>5</v>
      </c>
      <c r="S95" s="296" t="s">
        <v>8</v>
      </c>
      <c r="T95" s="296"/>
      <c r="U95" s="296"/>
      <c r="V95" s="296"/>
      <c r="W95" s="296"/>
      <c r="X95" s="296"/>
      <c r="Y95" s="296"/>
      <c r="Z95" s="296">
        <f t="array" ref="Z95">SUM(IF(K95:Y95="A",1,0), IF(K95:Y95="B",2,0), IF(K95:Y95="C",3,0), IF(K95:Y95="D",4,0), IF(K95:Y95="E",5,0), IF(K95:Y95="S",6,0), IF(K95:Y95="F",7,0))</f>
        <v>22</v>
      </c>
      <c r="AA95" s="289">
        <f>_xlfn.XLOOKUP(F6Results_2026[[#This Row],[Full_Name]],tblF42023[FULL_NAME],tblF42023[POINTS],"",0,1)</f>
        <v>7</v>
      </c>
      <c r="AB95" s="289" t="str">
        <f>_xlfn.XLOOKUP(F6Results_2026[[#This Row],[Full_Name]],tblF42023[FULL_NAME],tblF42023[DIVISION],"",0,1)</f>
        <v>I</v>
      </c>
      <c r="AC95" s="289">
        <f>_xlfn.XLOOKUP(F6Results_2026[[#This Row],[Full_Name]],tblF42023[FULL_NAME],tblF42023[POINTS],"",0,1)</f>
        <v>7</v>
      </c>
      <c r="AD9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9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95" s="299">
        <f>_xlfn.XLOOKUP(F6Results_2026[[#This Row],[Full_Name]],tblF22021[FULL_NAME],tblF22021[POINTS],"",0,1)</f>
        <v>7</v>
      </c>
      <c r="AG95" s="299" t="str">
        <f>_xlfn.XLOOKUP(F6Results_2026[[#This Row],[Full_Name]],tblF42023[FULL_NAME],tblF42023[DIVISION],"",0,1)</f>
        <v>I</v>
      </c>
      <c r="AH95" s="300">
        <f>_xlfn.XLOOKUP(F6Results_2026[[#This Row],[Full_Name]],tblF42023[FULL_NAME],tblF42023[TOTAL A''S],"",0,1)</f>
        <v>9</v>
      </c>
      <c r="AI95" s="259"/>
    </row>
    <row r="96" spans="1:35" x14ac:dyDescent="0.3">
      <c r="A96" s="284" t="s">
        <v>76</v>
      </c>
      <c r="B96" s="296">
        <v>2026</v>
      </c>
      <c r="C96" s="285">
        <v>20130285710</v>
      </c>
      <c r="D96" s="297" t="s">
        <v>77</v>
      </c>
      <c r="E96" s="298" t="s">
        <v>45</v>
      </c>
      <c r="F96" s="298" t="s">
        <v>41</v>
      </c>
      <c r="G96" s="298" t="s">
        <v>8</v>
      </c>
      <c r="H96" s="93" cm="1">
        <f t="array" ref="H9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96" s="298" t="str">
        <f t="shared" si="9"/>
        <v>II</v>
      </c>
      <c r="J96" s="296" t="s">
        <v>42</v>
      </c>
      <c r="K96" s="296" t="s">
        <v>6</v>
      </c>
      <c r="L96" s="296"/>
      <c r="M96" s="298" t="s">
        <v>5</v>
      </c>
      <c r="N96" s="296" t="s">
        <v>5</v>
      </c>
      <c r="O96" s="298"/>
      <c r="P96" s="298" t="s">
        <v>5</v>
      </c>
      <c r="Q96" s="298"/>
      <c r="R96" s="298"/>
      <c r="S96" s="298"/>
      <c r="T96" s="298"/>
      <c r="U96" s="298"/>
      <c r="V96" s="298"/>
      <c r="W96" s="298"/>
      <c r="X96" s="298"/>
      <c r="Y96" s="298"/>
      <c r="Z96" s="296">
        <f t="array" ref="Z96">SUM(IF(K96:Y96="A",1,0), IF(K96:Y96="B",2,0), IF(K96:Y96="C",3,0), IF(K96:Y96="D",4,0), IF(K96:Y96="E",5,0), IF(K96:Y96="S",6,0), IF(K96:Y96="F",7,0))</f>
        <v>17</v>
      </c>
      <c r="AA96" s="289">
        <f>_xlfn.XLOOKUP(F6Results_2026[[#This Row],[Full_Name]],tblF42023[FULL_NAME],tblF42023[POINTS],"",0,1)</f>
        <v>14</v>
      </c>
      <c r="AB96" s="289" t="str">
        <f>_xlfn.XLOOKUP(F6Results_2026[[#This Row],[Full_Name]],tblF42023[FULL_NAME],tblF42023[DIVISION],"",0,1)</f>
        <v>I</v>
      </c>
      <c r="AC96" s="289">
        <f>_xlfn.XLOOKUP(F6Results_2026[[#This Row],[Full_Name]],tblF42023[FULL_NAME],tblF42023[POINTS],"",0,1)</f>
        <v>14</v>
      </c>
      <c r="AD96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96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96" s="299">
        <f>_xlfn.XLOOKUP(F6Results_2026[[#This Row],[Full_Name]],tblF22021[FULL_NAME],tblF22021[POINTS],"",0,1)</f>
        <v>9</v>
      </c>
      <c r="AG96" s="299" t="str">
        <f>_xlfn.XLOOKUP(F6Results_2026[[#This Row],[Full_Name]],tblF42023[FULL_NAME],tblF42023[DIVISION],"",0,1)</f>
        <v>I</v>
      </c>
      <c r="AH96" s="300">
        <f>_xlfn.XLOOKUP(F6Results_2026[[#This Row],[Full_Name]],tblF42023[FULL_NAME],tblF42023[TOTAL A''S],"",0,1)</f>
        <v>2</v>
      </c>
      <c r="AI96" s="259"/>
    </row>
    <row r="97" spans="1:35" x14ac:dyDescent="0.3">
      <c r="A97" s="284" t="s">
        <v>158</v>
      </c>
      <c r="B97" s="296">
        <v>2026</v>
      </c>
      <c r="C97" s="285">
        <v>20130285711</v>
      </c>
      <c r="D97" s="297" t="s">
        <v>159</v>
      </c>
      <c r="E97" s="298" t="s">
        <v>139</v>
      </c>
      <c r="F97" s="298" t="s">
        <v>895</v>
      </c>
      <c r="G97" s="298" t="s">
        <v>8</v>
      </c>
      <c r="H97" s="93" cm="1">
        <f t="array" ref="H9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97" s="298" t="str">
        <f t="shared" si="9"/>
        <v>III</v>
      </c>
      <c r="J97" s="296" t="s">
        <v>42</v>
      </c>
      <c r="K97" s="296" t="s">
        <v>6</v>
      </c>
      <c r="L97" s="296"/>
      <c r="M97" s="298"/>
      <c r="N97" s="298" t="s">
        <v>4</v>
      </c>
      <c r="O97" s="298"/>
      <c r="P97" s="298"/>
      <c r="Q97" s="298"/>
      <c r="R97" s="298"/>
      <c r="S97" s="298"/>
      <c r="T97" s="298"/>
      <c r="U97" s="298" t="s">
        <v>8</v>
      </c>
      <c r="V97" s="298"/>
      <c r="W97" s="298" t="s">
        <v>4</v>
      </c>
      <c r="X97" s="298"/>
      <c r="Y97" s="298"/>
      <c r="Z97" s="296">
        <f t="array" ref="Z97">SUM(IF(K97:Y97="A",1,0), IF(K97:Y97="B",2,0), IF(K97:Y97="C",3,0), IF(K97:Y97="D",4,0), IF(K97:Y97="E",5,0), IF(K97:Y97="S",6,0), IF(K97:Y97="F",7,0))</f>
        <v>18</v>
      </c>
      <c r="AA97" s="289">
        <f>_xlfn.XLOOKUP(F6Results_2026[[#This Row],[Full_Name]],tblF42023[FULL_NAME],tblF42023[POINTS],"",0,1)</f>
        <v>7</v>
      </c>
      <c r="AB97" s="289" t="str">
        <f>_xlfn.XLOOKUP(F6Results_2026[[#This Row],[Full_Name]],tblF42023[FULL_NAME],tblF42023[DIVISION],"",0,1)</f>
        <v>I</v>
      </c>
      <c r="AC97" s="289">
        <f>_xlfn.XLOOKUP(F6Results_2026[[#This Row],[Full_Name]],tblF42023[FULL_NAME],tblF42023[POINTS],"",0,1)</f>
        <v>7</v>
      </c>
      <c r="AD97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9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97" s="299">
        <f>_xlfn.XLOOKUP(F6Results_2026[[#This Row],[Full_Name]],tblF22021[FULL_NAME],tblF22021[POINTS],"",0,1)</f>
        <v>7</v>
      </c>
      <c r="AG97" s="299" t="str">
        <f>_xlfn.XLOOKUP(F6Results_2026[[#This Row],[Full_Name]],tblF42023[FULL_NAME],tblF42023[DIVISION],"",0,1)</f>
        <v>I</v>
      </c>
      <c r="AH97" s="300">
        <f>_xlfn.XLOOKUP(F6Results_2026[[#This Row],[Full_Name]],tblF42023[FULL_NAME],tblF42023[TOTAL A''S],"",0,1)</f>
        <v>8</v>
      </c>
      <c r="AI97" s="259"/>
    </row>
    <row r="98" spans="1:35" x14ac:dyDescent="0.3">
      <c r="A98" s="284" t="s">
        <v>160</v>
      </c>
      <c r="B98" s="296">
        <v>2026</v>
      </c>
      <c r="C98" s="285">
        <v>20130285713</v>
      </c>
      <c r="D98" s="297" t="s">
        <v>161</v>
      </c>
      <c r="E98" s="296" t="s">
        <v>139</v>
      </c>
      <c r="F98" s="296" t="s">
        <v>895</v>
      </c>
      <c r="G98" s="296" t="s">
        <v>8</v>
      </c>
      <c r="H98" s="93" cm="1">
        <f t="array" ref="H9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98" s="298" t="str">
        <f t="shared" si="9"/>
        <v>III</v>
      </c>
      <c r="J98" s="296" t="s">
        <v>42</v>
      </c>
      <c r="K98" s="298" t="s">
        <v>6</v>
      </c>
      <c r="L98" s="298"/>
      <c r="M98" s="296"/>
      <c r="N98" s="296" t="s">
        <v>4</v>
      </c>
      <c r="O98" s="296"/>
      <c r="P98" s="296"/>
      <c r="Q98" s="296"/>
      <c r="R98" s="296"/>
      <c r="S98" s="296"/>
      <c r="T98" s="296"/>
      <c r="U98" s="298" t="s">
        <v>6</v>
      </c>
      <c r="V98" s="296"/>
      <c r="W98" s="296" t="s">
        <v>8</v>
      </c>
      <c r="X98" s="296"/>
      <c r="Y98" s="296"/>
      <c r="Z98" s="296">
        <f t="array" ref="Z98">SUM(IF(K98:Y98="A",1,0), IF(K98:Y98="B",2,0), IF(K98:Y98="C",3,0), IF(K98:Y98="D",4,0), IF(K98:Y98="E",5,0), IF(K98:Y98="S",6,0), IF(K98:Y98="F",7,0))</f>
        <v>20</v>
      </c>
      <c r="AA98" s="289">
        <f>_xlfn.XLOOKUP(F6Results_2026[[#This Row],[Full_Name]],tblF42023[FULL_NAME],tblF42023[POINTS],"",0,1)</f>
        <v>7</v>
      </c>
      <c r="AB98" s="289" t="str">
        <f>_xlfn.XLOOKUP(F6Results_2026[[#This Row],[Full_Name]],tblF42023[FULL_NAME],tblF42023[DIVISION],"",0,1)</f>
        <v>I</v>
      </c>
      <c r="AC98" s="289">
        <f>_xlfn.XLOOKUP(F6Results_2026[[#This Row],[Full_Name]],tblF42023[FULL_NAME],tblF42023[POINTS],"",0,1)</f>
        <v>7</v>
      </c>
      <c r="AD98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9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98" s="299">
        <f>_xlfn.XLOOKUP(F6Results_2026[[#This Row],[Full_Name]],tblF22021[FULL_NAME],tblF22021[POINTS],"",0,1)</f>
        <v>7</v>
      </c>
      <c r="AG98" s="299" t="str">
        <f>_xlfn.XLOOKUP(F6Results_2026[[#This Row],[Full_Name]],tblF42023[FULL_NAME],tblF42023[DIVISION],"",0,1)</f>
        <v>I</v>
      </c>
      <c r="AH98" s="300">
        <f>_xlfn.XLOOKUP(F6Results_2026[[#This Row],[Full_Name]],tblF42023[FULL_NAME],tblF42023[TOTAL A''S],"",0,1)</f>
        <v>8</v>
      </c>
      <c r="AI98" s="259"/>
    </row>
    <row r="99" spans="1:35" x14ac:dyDescent="0.3">
      <c r="A99" s="284" t="s">
        <v>78</v>
      </c>
      <c r="B99" s="296">
        <v>2026</v>
      </c>
      <c r="C99" s="285">
        <v>20130285716</v>
      </c>
      <c r="D99" s="297" t="s">
        <v>79</v>
      </c>
      <c r="E99" s="296" t="s">
        <v>45</v>
      </c>
      <c r="F99" s="296" t="s">
        <v>41</v>
      </c>
      <c r="G99" s="296" t="s">
        <v>8</v>
      </c>
      <c r="H99" s="93" cm="1">
        <f t="array" ref="H9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99" s="298" t="str">
        <f t="shared" si="9"/>
        <v>II</v>
      </c>
      <c r="J99" s="296" t="s">
        <v>42</v>
      </c>
      <c r="K99" s="298" t="s">
        <v>6</v>
      </c>
      <c r="L99" s="298"/>
      <c r="M99" s="296" t="s">
        <v>5</v>
      </c>
      <c r="N99" s="296" t="s">
        <v>4</v>
      </c>
      <c r="O99" s="296"/>
      <c r="P99" s="296" t="s">
        <v>4</v>
      </c>
      <c r="Q99" s="296"/>
      <c r="R99" s="296"/>
      <c r="S99" s="296"/>
      <c r="T99" s="296"/>
      <c r="U99" s="296"/>
      <c r="V99" s="296"/>
      <c r="W99" s="296"/>
      <c r="X99" s="296"/>
      <c r="Y99" s="296"/>
      <c r="Z99" s="296">
        <f t="array" ref="Z99">SUM(IF(K99:Y99="A",1,0), IF(K99:Y99="B",2,0), IF(K99:Y99="C",3,0), IF(K99:Y99="D",4,0), IF(K99:Y99="E",5,0), IF(K99:Y99="S",6,0), IF(K99:Y99="F",7,0))</f>
        <v>15</v>
      </c>
      <c r="AA99" s="289">
        <f>_xlfn.XLOOKUP(F6Results_2026[[#This Row],[Full_Name]],tblF42023[FULL_NAME],tblF42023[POINTS],"",0,1)</f>
        <v>12</v>
      </c>
      <c r="AB99" s="289" t="str">
        <f>_xlfn.XLOOKUP(F6Results_2026[[#This Row],[Full_Name]],tblF42023[FULL_NAME],tblF42023[DIVISION],"",0,1)</f>
        <v>I</v>
      </c>
      <c r="AC99" s="289">
        <f>_xlfn.XLOOKUP(F6Results_2026[[#This Row],[Full_Name]],tblF42023[FULL_NAME],tblF42023[POINTS],"",0,1)</f>
        <v>12</v>
      </c>
      <c r="AD99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99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99" s="299">
        <f>_xlfn.XLOOKUP(F6Results_2026[[#This Row],[Full_Name]],tblF22021[FULL_NAME],tblF22021[POINTS],"",0,1)</f>
        <v>8</v>
      </c>
      <c r="AG99" s="299" t="str">
        <f>_xlfn.XLOOKUP(F6Results_2026[[#This Row],[Full_Name]],tblF42023[FULL_NAME],tblF42023[DIVISION],"",0,1)</f>
        <v>I</v>
      </c>
      <c r="AH99" s="300">
        <f>_xlfn.XLOOKUP(F6Results_2026[[#This Row],[Full_Name]],tblF42023[FULL_NAME],tblF42023[TOTAL A''S],"",0,1)</f>
        <v>2</v>
      </c>
      <c r="AI99" s="259"/>
    </row>
    <row r="100" spans="1:35" x14ac:dyDescent="0.3">
      <c r="A100" s="284" t="s">
        <v>80</v>
      </c>
      <c r="B100" s="296">
        <v>2026</v>
      </c>
      <c r="C100" s="285">
        <v>20130285718</v>
      </c>
      <c r="D100" s="297" t="s">
        <v>81</v>
      </c>
      <c r="E100" s="298" t="s">
        <v>45</v>
      </c>
      <c r="F100" s="298" t="s">
        <v>41</v>
      </c>
      <c r="G100" s="298" t="s">
        <v>8</v>
      </c>
      <c r="H100" s="93" t="str" cm="1">
        <f t="array" ref="H10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/>
      </c>
      <c r="I100" s="298" t="e">
        <f t="shared" si="9"/>
        <v>#N/A</v>
      </c>
      <c r="J100" s="296" t="s">
        <v>42</v>
      </c>
      <c r="K100" s="296" t="s">
        <v>776</v>
      </c>
      <c r="L100" s="296"/>
      <c r="M100" s="298" t="s">
        <v>776</v>
      </c>
      <c r="N100" s="296" t="s">
        <v>776</v>
      </c>
      <c r="O100" s="298"/>
      <c r="P100" s="298" t="s">
        <v>776</v>
      </c>
      <c r="Q100" s="298"/>
      <c r="R100" s="298"/>
      <c r="S100" s="298"/>
      <c r="T100" s="298"/>
      <c r="U100" s="298"/>
      <c r="V100" s="298"/>
      <c r="W100" s="298"/>
      <c r="X100" s="298"/>
      <c r="Y100" s="298"/>
      <c r="Z100" s="296">
        <f t="array" ref="Z100">SUM(IF(K100:Y100="A",1,0), IF(K100:Y100="B",2,0), IF(K100:Y100="C",3,0), IF(K100:Y100="D",4,0), IF(K100:Y100="E",5,0), IF(K100:Y100="S",6,0), IF(K100:Y100="F",7,0))</f>
        <v>0</v>
      </c>
      <c r="AA100" s="289">
        <f>_xlfn.XLOOKUP(F6Results_2026[[#This Row],[Full_Name]],tblF42023[FULL_NAME],tblF42023[POINTS],"",0,1)</f>
        <v>7</v>
      </c>
      <c r="AB100" s="289" t="str">
        <f>_xlfn.XLOOKUP(F6Results_2026[[#This Row],[Full_Name]],tblF42023[FULL_NAME],tblF42023[DIVISION],"",0,1)</f>
        <v>I</v>
      </c>
      <c r="AC100" s="289">
        <f>_xlfn.XLOOKUP(F6Results_2026[[#This Row],[Full_Name]],tblF42023[FULL_NAME],tblF42023[POINTS],"",0,1)</f>
        <v>7</v>
      </c>
      <c r="AD100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100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00" s="299">
        <f>_xlfn.XLOOKUP(F6Results_2026[[#This Row],[Full_Name]],tblF22021[FULL_NAME],tblF22021[POINTS],"",0,1)</f>
        <v>7</v>
      </c>
      <c r="AG100" s="299" t="str">
        <f>_xlfn.XLOOKUP(F6Results_2026[[#This Row],[Full_Name]],tblF42023[FULL_NAME],tblF42023[DIVISION],"",0,1)</f>
        <v>I</v>
      </c>
      <c r="AH100" s="300">
        <f>_xlfn.XLOOKUP(F6Results_2026[[#This Row],[Full_Name]],tblF42023[FULL_NAME],tblF42023[TOTAL A''S],"",0,1)</f>
        <v>8</v>
      </c>
      <c r="AI100" s="259"/>
    </row>
    <row r="101" spans="1:35" x14ac:dyDescent="0.3">
      <c r="A101" s="284" t="s">
        <v>272</v>
      </c>
      <c r="B101" s="296">
        <v>2026</v>
      </c>
      <c r="C101" s="285">
        <v>20130285719</v>
      </c>
      <c r="D101" s="297" t="s">
        <v>273</v>
      </c>
      <c r="E101" s="298" t="s">
        <v>240</v>
      </c>
      <c r="F101" s="298" t="s">
        <v>896</v>
      </c>
      <c r="G101" s="298" t="s">
        <v>8</v>
      </c>
      <c r="H101" s="93" cm="1">
        <f t="array" ref="H10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101" s="298" t="str">
        <f t="shared" si="9"/>
        <v>III</v>
      </c>
      <c r="J101" s="296" t="s">
        <v>42</v>
      </c>
      <c r="K101" s="296" t="s">
        <v>6</v>
      </c>
      <c r="L101" s="296" t="s">
        <v>8</v>
      </c>
      <c r="M101" s="298"/>
      <c r="N101" s="298"/>
      <c r="O101" s="298"/>
      <c r="P101" s="298"/>
      <c r="Q101" s="298" t="s">
        <v>5</v>
      </c>
      <c r="R101" s="298" t="s">
        <v>6</v>
      </c>
      <c r="S101" s="298" t="s">
        <v>8</v>
      </c>
      <c r="T101" s="298"/>
      <c r="U101" s="298"/>
      <c r="V101" s="298"/>
      <c r="W101" s="298"/>
      <c r="X101" s="298"/>
      <c r="Y101" s="298"/>
      <c r="Z101" s="296">
        <f t="array" ref="Z101">SUM(IF(K101:Y101="A",1,0), IF(K101:Y101="B",2,0), IF(K101:Y101="C",3,0), IF(K101:Y101="D",4,0), IF(K101:Y101="E",5,0), IF(K101:Y101="S",6,0), IF(K101:Y101="F",7,0))</f>
        <v>28</v>
      </c>
      <c r="AA101" s="289">
        <f>_xlfn.XLOOKUP(F6Results_2026[[#This Row],[Full_Name]],tblF42023[FULL_NAME],tblF42023[POINTS],"",0,1)</f>
        <v>10</v>
      </c>
      <c r="AB101" s="289" t="str">
        <f>_xlfn.XLOOKUP(F6Results_2026[[#This Row],[Full_Name]],tblF42023[FULL_NAME],tblF42023[DIVISION],"",0,1)</f>
        <v>I</v>
      </c>
      <c r="AC101" s="289">
        <f>_xlfn.XLOOKUP(F6Results_2026[[#This Row],[Full_Name]],tblF42023[FULL_NAME],tblF42023[POINTS],"",0,1)</f>
        <v>10</v>
      </c>
      <c r="AD101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0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01" s="299">
        <f>_xlfn.XLOOKUP(F6Results_2026[[#This Row],[Full_Name]],tblF22021[FULL_NAME],tblF22021[POINTS],"",0,1)</f>
        <v>7</v>
      </c>
      <c r="AG101" s="299" t="str">
        <f>_xlfn.XLOOKUP(F6Results_2026[[#This Row],[Full_Name]],tblF42023[FULL_NAME],tblF42023[DIVISION],"",0,1)</f>
        <v>I</v>
      </c>
      <c r="AH101" s="300">
        <f>_xlfn.XLOOKUP(F6Results_2026[[#This Row],[Full_Name]],tblF42023[FULL_NAME],tblF42023[TOTAL A''S],"",0,1)</f>
        <v>4</v>
      </c>
      <c r="AI101" s="259"/>
    </row>
    <row r="102" spans="1:35" x14ac:dyDescent="0.3">
      <c r="A102" s="284" t="s">
        <v>315</v>
      </c>
      <c r="B102" s="296">
        <v>2026</v>
      </c>
      <c r="C102" s="285">
        <v>20130285720</v>
      </c>
      <c r="D102" s="297" t="s">
        <v>316</v>
      </c>
      <c r="E102" s="296" t="s">
        <v>304</v>
      </c>
      <c r="F102" s="296" t="s">
        <v>895</v>
      </c>
      <c r="G102" s="296" t="s">
        <v>8</v>
      </c>
      <c r="H102" s="93" cm="1">
        <f t="array" ref="H10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102" s="298" t="str">
        <f t="shared" si="9"/>
        <v>III</v>
      </c>
      <c r="J102" s="296" t="s">
        <v>42</v>
      </c>
      <c r="K102" s="298" t="s">
        <v>5</v>
      </c>
      <c r="L102" s="298" t="s">
        <v>5</v>
      </c>
      <c r="M102" s="296"/>
      <c r="N102" s="296"/>
      <c r="O102" s="296"/>
      <c r="P102" s="296"/>
      <c r="Q102" s="296"/>
      <c r="R102" s="296"/>
      <c r="S102" s="298"/>
      <c r="T102" s="296"/>
      <c r="U102" s="296"/>
      <c r="V102" s="296"/>
      <c r="W102" s="296" t="s">
        <v>8</v>
      </c>
      <c r="X102" s="296" t="s">
        <v>8</v>
      </c>
      <c r="Y102" s="296" t="s">
        <v>4</v>
      </c>
      <c r="Z102" s="296">
        <f t="array" ref="Z102">SUM(IF(K102:Y102="A",1,0), IF(K102:Y102="B",2,0), IF(K102:Y102="C",3,0), IF(K102:Y102="D",4,0), IF(K102:Y102="E",5,0), IF(K102:Y102="S",6,0), IF(K102:Y102="F",7,0))</f>
        <v>25</v>
      </c>
      <c r="AA102" s="289">
        <f>_xlfn.XLOOKUP(F6Results_2026[[#This Row],[Full_Name]],tblF42023[FULL_NAME],tblF42023[POINTS],"",0,1)</f>
        <v>8</v>
      </c>
      <c r="AB102" s="289" t="str">
        <f>_xlfn.XLOOKUP(F6Results_2026[[#This Row],[Full_Name]],tblF42023[FULL_NAME],tblF42023[DIVISION],"",0,1)</f>
        <v>I</v>
      </c>
      <c r="AC102" s="289">
        <f>_xlfn.XLOOKUP(F6Results_2026[[#This Row],[Full_Name]],tblF42023[FULL_NAME],tblF42023[POINTS],"",0,1)</f>
        <v>8</v>
      </c>
      <c r="AD10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0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02" s="299">
        <f>_xlfn.XLOOKUP(F6Results_2026[[#This Row],[Full_Name]],tblF22021[FULL_NAME],tblF22021[POINTS],"",0,1)</f>
        <v>7</v>
      </c>
      <c r="AG102" s="299" t="str">
        <f>_xlfn.XLOOKUP(F6Results_2026[[#This Row],[Full_Name]],tblF42023[FULL_NAME],tblF42023[DIVISION],"",0,1)</f>
        <v>I</v>
      </c>
      <c r="AH102" s="300">
        <f>_xlfn.XLOOKUP(F6Results_2026[[#This Row],[Full_Name]],tblF42023[FULL_NAME],tblF42023[TOTAL A''S],"",0,1)</f>
        <v>6</v>
      </c>
      <c r="AI102" s="259"/>
    </row>
    <row r="103" spans="1:35" x14ac:dyDescent="0.3">
      <c r="A103" s="284" t="s">
        <v>162</v>
      </c>
      <c r="B103" s="296">
        <v>2026</v>
      </c>
      <c r="C103" s="285">
        <v>20130285723</v>
      </c>
      <c r="D103" s="297" t="s">
        <v>163</v>
      </c>
      <c r="E103" s="298" t="s">
        <v>139</v>
      </c>
      <c r="F103" s="298" t="s">
        <v>895</v>
      </c>
      <c r="G103" s="298" t="s">
        <v>8</v>
      </c>
      <c r="H103" s="93" cm="1">
        <f t="array" ref="H10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03" s="298" t="str">
        <f t="shared" si="9"/>
        <v>III</v>
      </c>
      <c r="J103" s="296" t="s">
        <v>42</v>
      </c>
      <c r="K103" s="296" t="s">
        <v>6</v>
      </c>
      <c r="L103" s="296"/>
      <c r="M103" s="298"/>
      <c r="N103" s="298" t="s">
        <v>3</v>
      </c>
      <c r="O103" s="298"/>
      <c r="P103" s="298"/>
      <c r="Q103" s="298"/>
      <c r="R103" s="298"/>
      <c r="S103" s="298"/>
      <c r="T103" s="298"/>
      <c r="U103" s="298" t="s">
        <v>7</v>
      </c>
      <c r="V103" s="298"/>
      <c r="W103" s="298" t="s">
        <v>8</v>
      </c>
      <c r="X103" s="298"/>
      <c r="Y103" s="298"/>
      <c r="Z103" s="296">
        <f t="array" ref="Z103">SUM(IF(K103:Y103="A",1,0), IF(K103:Y103="B",2,0), IF(K103:Y103="C",3,0), IF(K103:Y103="D",4,0), IF(K103:Y103="E",5,0), IF(K103:Y103="S",6,0), IF(K103:Y103="F",7,0))</f>
        <v>20</v>
      </c>
      <c r="AA103" s="289">
        <f>_xlfn.XLOOKUP(F6Results_2026[[#This Row],[Full_Name]],tblF42023[FULL_NAME],tblF42023[POINTS],"",0,1)</f>
        <v>9</v>
      </c>
      <c r="AB103" s="289" t="str">
        <f>_xlfn.XLOOKUP(F6Results_2026[[#This Row],[Full_Name]],tblF42023[FULL_NAME],tblF42023[DIVISION],"",0,1)</f>
        <v>I</v>
      </c>
      <c r="AC103" s="289">
        <f>_xlfn.XLOOKUP(F6Results_2026[[#This Row],[Full_Name]],tblF42023[FULL_NAME],tblF42023[POINTS],"",0,1)</f>
        <v>9</v>
      </c>
      <c r="AD103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03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03" s="299">
        <f>_xlfn.XLOOKUP(F6Results_2026[[#This Row],[Full_Name]],tblF22021[FULL_NAME],tblF22021[POINTS],"",0,1)</f>
        <v>7</v>
      </c>
      <c r="AG103" s="299" t="str">
        <f>_xlfn.XLOOKUP(F6Results_2026[[#This Row],[Full_Name]],tblF42023[FULL_NAME],tblF42023[DIVISION],"",0,1)</f>
        <v>I</v>
      </c>
      <c r="AH103" s="300">
        <f>_xlfn.XLOOKUP(F6Results_2026[[#This Row],[Full_Name]],tblF42023[FULL_NAME],tblF42023[TOTAL A''S],"",0,1)</f>
        <v>5</v>
      </c>
      <c r="AI103" s="259"/>
    </row>
    <row r="104" spans="1:35" x14ac:dyDescent="0.3">
      <c r="A104" s="284" t="s">
        <v>129</v>
      </c>
      <c r="B104" s="296">
        <v>2026</v>
      </c>
      <c r="C104" s="285">
        <v>20130285724</v>
      </c>
      <c r="D104" s="297" t="s">
        <v>130</v>
      </c>
      <c r="E104" s="296" t="s">
        <v>40</v>
      </c>
      <c r="F104" s="296" t="s">
        <v>41</v>
      </c>
      <c r="G104" s="296" t="s">
        <v>8</v>
      </c>
      <c r="H104" s="93" cm="1">
        <f t="array" ref="H10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04" s="298" t="str">
        <f t="shared" si="9"/>
        <v>I</v>
      </c>
      <c r="J104" s="296" t="s">
        <v>42</v>
      </c>
      <c r="K104" s="296" t="s">
        <v>7</v>
      </c>
      <c r="L104" s="296"/>
      <c r="M104" s="296" t="s">
        <v>5</v>
      </c>
      <c r="N104" s="296" t="s">
        <v>5</v>
      </c>
      <c r="O104" s="298" t="s">
        <v>2</v>
      </c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>
        <f t="array" ref="Z104">SUM(IF(K104:Y104="A",1,0), IF(K104:Y104="B",2,0), IF(K104:Y104="C",3,0), IF(K104:Y104="D",4,0), IF(K104:Y104="E",5,0), IF(K104:Y104="S",6,0), IF(K104:Y104="F",7,0))</f>
        <v>15</v>
      </c>
      <c r="AA104" s="289">
        <f>_xlfn.XLOOKUP(F6Results_2026[[#This Row],[Full_Name]],tblF42023[FULL_NAME],tblF42023[POINTS],"",0,1)</f>
        <v>16</v>
      </c>
      <c r="AB104" s="289" t="str">
        <f>_xlfn.XLOOKUP(F6Results_2026[[#This Row],[Full_Name]],tblF42023[FULL_NAME],tblF42023[DIVISION],"",0,1)</f>
        <v>I</v>
      </c>
      <c r="AC104" s="289">
        <f>_xlfn.XLOOKUP(F6Results_2026[[#This Row],[Full_Name]],tblF42023[FULL_NAME],tblF42023[POINTS],"",0,1)</f>
        <v>16</v>
      </c>
      <c r="AD104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04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04" s="299">
        <f>_xlfn.XLOOKUP(F6Results_2026[[#This Row],[Full_Name]],tblF22021[FULL_NAME],tblF22021[POINTS],"",0,1)</f>
        <v>10</v>
      </c>
      <c r="AG104" s="299" t="str">
        <f>_xlfn.XLOOKUP(F6Results_2026[[#This Row],[Full_Name]],tblF42023[FULL_NAME],tblF42023[DIVISION],"",0,1)</f>
        <v>I</v>
      </c>
      <c r="AH104" s="300">
        <f>_xlfn.XLOOKUP(F6Results_2026[[#This Row],[Full_Name]],tblF42023[FULL_NAME],tblF42023[TOTAL A''S],"",0,1)</f>
        <v>1</v>
      </c>
      <c r="AI104" s="259"/>
    </row>
    <row r="105" spans="1:35" x14ac:dyDescent="0.3">
      <c r="A105" s="284" t="s">
        <v>319</v>
      </c>
      <c r="B105" s="296">
        <v>2026</v>
      </c>
      <c r="C105" s="285">
        <v>20130299697</v>
      </c>
      <c r="D105" s="297" t="s">
        <v>320</v>
      </c>
      <c r="E105" s="296" t="s">
        <v>304</v>
      </c>
      <c r="F105" s="296" t="s">
        <v>895</v>
      </c>
      <c r="G105" s="296" t="s">
        <v>84</v>
      </c>
      <c r="H105" s="93" cm="1">
        <f t="array" ref="H10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05" s="298" t="str">
        <f t="shared" si="9"/>
        <v>III</v>
      </c>
      <c r="J105" s="296" t="s">
        <v>42</v>
      </c>
      <c r="K105" s="298" t="s">
        <v>7</v>
      </c>
      <c r="L105" s="298" t="s">
        <v>8</v>
      </c>
      <c r="M105" s="296"/>
      <c r="N105" s="296"/>
      <c r="O105" s="296"/>
      <c r="P105" s="296"/>
      <c r="Q105" s="296"/>
      <c r="R105" s="296"/>
      <c r="S105" s="298"/>
      <c r="T105" s="296"/>
      <c r="U105" s="296"/>
      <c r="V105" s="296"/>
      <c r="W105" s="296" t="s">
        <v>4</v>
      </c>
      <c r="X105" s="296" t="s">
        <v>8</v>
      </c>
      <c r="Y105" s="296" t="s">
        <v>5</v>
      </c>
      <c r="Z105" s="296">
        <f t="array" ref="Z105">SUM(IF(K105:Y105="A",1,0), IF(K105:Y105="B",2,0), IF(K105:Y105="C",3,0), IF(K105:Y105="D",4,0), IF(K105:Y105="E",5,0), IF(K105:Y105="S",6,0), IF(K105:Y105="F",7,0))</f>
        <v>27</v>
      </c>
      <c r="AA105" s="289">
        <f>_xlfn.XLOOKUP(F6Results_2026[[#This Row],[Full_Name]],tblF42023[FULL_NAME],tblF42023[POINTS],"",0,1)</f>
        <v>18</v>
      </c>
      <c r="AB105" s="289" t="str">
        <f>_xlfn.XLOOKUP(F6Results_2026[[#This Row],[Full_Name]],tblF42023[FULL_NAME],tblF42023[DIVISION],"",0,1)</f>
        <v>II</v>
      </c>
      <c r="AC105" s="289">
        <f>_xlfn.XLOOKUP(F6Results_2026[[#This Row],[Full_Name]],tblF42023[FULL_NAME],tblF42023[POINTS],"",0,1)</f>
        <v>18</v>
      </c>
      <c r="AD105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05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05" s="299">
        <f>_xlfn.XLOOKUP(F6Results_2026[[#This Row],[Full_Name]],tblF22021[FULL_NAME],tblF22021[POINTS],"",0,1)</f>
        <v>16</v>
      </c>
      <c r="AG105" s="299" t="str">
        <f>_xlfn.XLOOKUP(F6Results_2026[[#This Row],[Full_Name]],tblF42023[FULL_NAME],tblF42023[DIVISION],"",0,1)</f>
        <v>II</v>
      </c>
      <c r="AH105" s="300">
        <f>_xlfn.XLOOKUP(F6Results_2026[[#This Row],[Full_Name]],tblF42023[FULL_NAME],tblF42023[TOTAL A''S],"",0,1)</f>
        <v>0</v>
      </c>
      <c r="AI105" s="259"/>
    </row>
    <row r="106" spans="1:35" x14ac:dyDescent="0.3">
      <c r="A106" s="284" t="s">
        <v>97</v>
      </c>
      <c r="B106" s="296">
        <v>2026</v>
      </c>
      <c r="C106" s="285">
        <v>20130299732</v>
      </c>
      <c r="D106" s="297" t="s">
        <v>98</v>
      </c>
      <c r="E106" s="298" t="s">
        <v>40</v>
      </c>
      <c r="F106" s="298" t="s">
        <v>41</v>
      </c>
      <c r="G106" s="298" t="s">
        <v>8</v>
      </c>
      <c r="H106" s="93" cm="1">
        <f t="array" ref="H10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106" s="298" t="str">
        <f t="shared" ref="I106:I137" si="10">VLOOKUP(H106,$AO$11:$AP$17,2,TRUE)</f>
        <v>I</v>
      </c>
      <c r="J106" s="296" t="s">
        <v>42</v>
      </c>
      <c r="K106" s="298" t="s">
        <v>7</v>
      </c>
      <c r="L106" s="298"/>
      <c r="M106" s="298" t="s">
        <v>5</v>
      </c>
      <c r="N106" s="298" t="s">
        <v>4</v>
      </c>
      <c r="O106" s="298" t="s">
        <v>2</v>
      </c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6">
        <f t="array" ref="Z106">SUM(IF(K106:Y106="A",1,0), IF(K106:Y106="B",2,0), IF(K106:Y106="C",3,0), IF(K106:Y106="D",4,0), IF(K106:Y106="E",5,0), IF(K106:Y106="S",6,0), IF(K106:Y106="F",7,0))</f>
        <v>14</v>
      </c>
      <c r="AA106" s="289">
        <f>_xlfn.XLOOKUP(F6Results_2026[[#This Row],[Full_Name]],tblF42023[FULL_NAME],tblF42023[POINTS],"",0,1)</f>
        <v>17</v>
      </c>
      <c r="AB106" s="289" t="str">
        <f>_xlfn.XLOOKUP(F6Results_2026[[#This Row],[Full_Name]],tblF42023[FULL_NAME],tblF42023[DIVISION],"",0,1)</f>
        <v>I</v>
      </c>
      <c r="AC106" s="289">
        <f>_xlfn.XLOOKUP(F6Results_2026[[#This Row],[Full_Name]],tblF42023[FULL_NAME],tblF42023[POINTS],"",0,1)</f>
        <v>17</v>
      </c>
      <c r="AD106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06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06" s="299">
        <f>_xlfn.XLOOKUP(F6Results_2026[[#This Row],[Full_Name]],tblF22021[FULL_NAME],tblF22021[POINTS],"",0,1)</f>
        <v>12</v>
      </c>
      <c r="AG106" s="299" t="str">
        <f>_xlfn.XLOOKUP(F6Results_2026[[#This Row],[Full_Name]],tblF42023[FULL_NAME],tblF42023[DIVISION],"",0,1)</f>
        <v>I</v>
      </c>
      <c r="AH106" s="300">
        <f>_xlfn.XLOOKUP(F6Results_2026[[#This Row],[Full_Name]],tblF42023[FULL_NAME],tblF42023[TOTAL A''S],"",0,1)</f>
        <v>1</v>
      </c>
      <c r="AI106" s="259"/>
    </row>
    <row r="107" spans="1:35" x14ac:dyDescent="0.3">
      <c r="A107" s="284" t="s">
        <v>241</v>
      </c>
      <c r="B107" s="296">
        <v>2026</v>
      </c>
      <c r="C107" s="285">
        <v>20130299734</v>
      </c>
      <c r="D107" s="297" t="s">
        <v>242</v>
      </c>
      <c r="E107" s="298" t="s">
        <v>240</v>
      </c>
      <c r="F107" s="298" t="s">
        <v>896</v>
      </c>
      <c r="G107" s="298" t="s">
        <v>8</v>
      </c>
      <c r="H107" s="93" cm="1">
        <f t="array" ref="H10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07" s="298" t="str">
        <f t="shared" si="10"/>
        <v>III</v>
      </c>
      <c r="J107" s="296" t="s">
        <v>42</v>
      </c>
      <c r="K107" s="296" t="s">
        <v>7</v>
      </c>
      <c r="L107" s="296" t="s">
        <v>8</v>
      </c>
      <c r="M107" s="298"/>
      <c r="N107" s="298"/>
      <c r="O107" s="298"/>
      <c r="P107" s="298"/>
      <c r="Q107" s="298" t="s">
        <v>7</v>
      </c>
      <c r="R107" s="298" t="s">
        <v>5</v>
      </c>
      <c r="S107" s="298" t="s">
        <v>4</v>
      </c>
      <c r="T107" s="298"/>
      <c r="U107" s="298"/>
      <c r="V107" s="298"/>
      <c r="W107" s="298"/>
      <c r="X107" s="298"/>
      <c r="Y107" s="298"/>
      <c r="Z107" s="296">
        <f t="array" ref="Z107">SUM(IF(K107:Y107="A",1,0), IF(K107:Y107="B",2,0), IF(K107:Y107="C",3,0), IF(K107:Y107="D",4,0), IF(K107:Y107="E",5,0), IF(K107:Y107="S",6,0), IF(K107:Y107="F",7,0))</f>
        <v>26</v>
      </c>
      <c r="AA107" s="289">
        <f>_xlfn.XLOOKUP(F6Results_2026[[#This Row],[Full_Name]],tblF42023[FULL_NAME],tblF42023[POINTS],"",0,1)</f>
        <v>11</v>
      </c>
      <c r="AB107" s="289" t="str">
        <f>_xlfn.XLOOKUP(F6Results_2026[[#This Row],[Full_Name]],tblF42023[FULL_NAME],tblF42023[DIVISION],"",0,1)</f>
        <v>I</v>
      </c>
      <c r="AC107" s="289">
        <f>_xlfn.XLOOKUP(F6Results_2026[[#This Row],[Full_Name]],tblF42023[FULL_NAME],tblF42023[POINTS],"",0,1)</f>
        <v>11</v>
      </c>
      <c r="AD107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0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07" s="299">
        <f>_xlfn.XLOOKUP(F6Results_2026[[#This Row],[Full_Name]],tblF22021[FULL_NAME],tblF22021[POINTS],"",0,1)</f>
        <v>9</v>
      </c>
      <c r="AG107" s="299" t="str">
        <f>_xlfn.XLOOKUP(F6Results_2026[[#This Row],[Full_Name]],tblF42023[FULL_NAME],tblF42023[DIVISION],"",0,1)</f>
        <v>I</v>
      </c>
      <c r="AH107" s="300">
        <f>_xlfn.XLOOKUP(F6Results_2026[[#This Row],[Full_Name]],tblF42023[FULL_NAME],tblF42023[TOTAL A''S],"",0,1)</f>
        <v>3</v>
      </c>
      <c r="AI107" s="259"/>
    </row>
    <row r="108" spans="1:35" x14ac:dyDescent="0.3">
      <c r="A108" s="284" t="s">
        <v>252</v>
      </c>
      <c r="B108" s="296">
        <v>2026</v>
      </c>
      <c r="C108" s="285">
        <v>20130299739</v>
      </c>
      <c r="D108" s="297" t="s">
        <v>253</v>
      </c>
      <c r="E108" s="296" t="s">
        <v>240</v>
      </c>
      <c r="F108" s="296" t="s">
        <v>896</v>
      </c>
      <c r="G108" s="296" t="s">
        <v>8</v>
      </c>
      <c r="H108" s="93" cm="1">
        <f t="array" ref="H10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08" s="298" t="str">
        <f t="shared" si="10"/>
        <v>III</v>
      </c>
      <c r="J108" s="296" t="s">
        <v>42</v>
      </c>
      <c r="K108" s="298" t="s">
        <v>6</v>
      </c>
      <c r="L108" s="298" t="s">
        <v>8</v>
      </c>
      <c r="M108" s="296"/>
      <c r="N108" s="296"/>
      <c r="O108" s="296"/>
      <c r="P108" s="296"/>
      <c r="Q108" s="296" t="s">
        <v>7</v>
      </c>
      <c r="R108" s="296" t="s">
        <v>6</v>
      </c>
      <c r="S108" s="296" t="s">
        <v>4</v>
      </c>
      <c r="T108" s="296"/>
      <c r="U108" s="296"/>
      <c r="V108" s="296"/>
      <c r="W108" s="296"/>
      <c r="X108" s="296"/>
      <c r="Y108" s="296"/>
      <c r="Z108" s="296">
        <f t="array" ref="Z108">SUM(IF(K108:Y108="A",1,0), IF(K108:Y108="B",2,0), IF(K108:Y108="C",3,0), IF(K108:Y108="D",4,0), IF(K108:Y108="E",5,0), IF(K108:Y108="S",6,0), IF(K108:Y108="F",7,0))</f>
        <v>26</v>
      </c>
      <c r="AA108" s="289">
        <f>_xlfn.XLOOKUP(F6Results_2026[[#This Row],[Full_Name]],tblF42023[FULL_NAME],tblF42023[POINTS],"",0,1)</f>
        <v>9</v>
      </c>
      <c r="AB108" s="289" t="str">
        <f>_xlfn.XLOOKUP(F6Results_2026[[#This Row],[Full_Name]],tblF42023[FULL_NAME],tblF42023[DIVISION],"",0,1)</f>
        <v>I</v>
      </c>
      <c r="AC108" s="289">
        <f>_xlfn.XLOOKUP(F6Results_2026[[#This Row],[Full_Name]],tblF42023[FULL_NAME],tblF42023[POINTS],"",0,1)</f>
        <v>9</v>
      </c>
      <c r="AD108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0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08" s="299">
        <f>_xlfn.XLOOKUP(F6Results_2026[[#This Row],[Full_Name]],tblF22021[FULL_NAME],tblF22021[POINTS],"",0,1)</f>
        <v>9</v>
      </c>
      <c r="AG108" s="299" t="str">
        <f>_xlfn.XLOOKUP(F6Results_2026[[#This Row],[Full_Name]],tblF42023[FULL_NAME],tblF42023[DIVISION],"",0,1)</f>
        <v>I</v>
      </c>
      <c r="AH108" s="300">
        <f>_xlfn.XLOOKUP(F6Results_2026[[#This Row],[Full_Name]],tblF42023[FULL_NAME],tblF42023[TOTAL A''S],"",0,1)</f>
        <v>5</v>
      </c>
      <c r="AI108" s="259"/>
    </row>
    <row r="109" spans="1:35" x14ac:dyDescent="0.3">
      <c r="A109" s="284" t="s">
        <v>104</v>
      </c>
      <c r="B109" s="296">
        <v>2026</v>
      </c>
      <c r="C109" s="285">
        <v>20130299741</v>
      </c>
      <c r="D109" s="297" t="s">
        <v>105</v>
      </c>
      <c r="E109" s="296" t="s">
        <v>40</v>
      </c>
      <c r="F109" s="296" t="s">
        <v>41</v>
      </c>
      <c r="G109" s="296" t="s">
        <v>8</v>
      </c>
      <c r="H109" s="93" cm="1">
        <f t="array" ref="H10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109" s="298" t="str">
        <f t="shared" si="10"/>
        <v>I</v>
      </c>
      <c r="J109" s="296" t="s">
        <v>42</v>
      </c>
      <c r="K109" s="298" t="s">
        <v>8</v>
      </c>
      <c r="L109" s="298"/>
      <c r="M109" s="298" t="s">
        <v>5</v>
      </c>
      <c r="N109" s="296" t="s">
        <v>4</v>
      </c>
      <c r="O109" s="296" t="s">
        <v>2</v>
      </c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>
        <f t="array" ref="Z109">SUM(IF(K109:Y109="A",1,0), IF(K109:Y109="B",2,0), IF(K109:Y109="C",3,0), IF(K109:Y109="D",4,0), IF(K109:Y109="E",5,0), IF(K109:Y109="S",6,0), IF(K109:Y109="F",7,0))</f>
        <v>15</v>
      </c>
      <c r="AA109" s="289">
        <f>_xlfn.XLOOKUP(F6Results_2026[[#This Row],[Full_Name]],tblF42023[FULL_NAME],tblF42023[POINTS],"",0,1)</f>
        <v>16</v>
      </c>
      <c r="AB109" s="289" t="str">
        <f>_xlfn.XLOOKUP(F6Results_2026[[#This Row],[Full_Name]],tblF42023[FULL_NAME],tblF42023[DIVISION],"",0,1)</f>
        <v>I</v>
      </c>
      <c r="AC109" s="289">
        <f>_xlfn.XLOOKUP(F6Results_2026[[#This Row],[Full_Name]],tblF42023[FULL_NAME],tblF42023[POINTS],"",0,1)</f>
        <v>16</v>
      </c>
      <c r="AD109" s="299">
        <f>IFERROR(
   INDEX(tblF42023[[HKL]:[CBA]],
         MATCH(F6Results_2026[[#This Row],[Full_Name]], tblF42023[FULL_NAME], 0),
         MATCH(F6Results_2026[[#This Row],[Comb]], tblF42023[[#Headers],[HKL]:[CBA]], 0)
   ),
   ""
)</f>
        <v>9</v>
      </c>
      <c r="AE109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09" s="299">
        <f>_xlfn.XLOOKUP(F6Results_2026[[#This Row],[Full_Name]],tblF22021[FULL_NAME],tblF22021[POINTS],"",0,1)</f>
        <v>12</v>
      </c>
      <c r="AG109" s="299" t="str">
        <f>_xlfn.XLOOKUP(F6Results_2026[[#This Row],[Full_Name]],tblF42023[FULL_NAME],tblF42023[DIVISION],"",0,1)</f>
        <v>I</v>
      </c>
      <c r="AH109" s="300">
        <f>_xlfn.XLOOKUP(F6Results_2026[[#This Row],[Full_Name]],tblF42023[FULL_NAME],tblF42023[TOTAL A''S],"",0,1)</f>
        <v>1</v>
      </c>
      <c r="AI109" s="259"/>
    </row>
    <row r="110" spans="1:35" x14ac:dyDescent="0.3">
      <c r="A110" s="284" t="s">
        <v>119</v>
      </c>
      <c r="B110" s="296">
        <v>2026</v>
      </c>
      <c r="C110" s="285">
        <v>20130299758</v>
      </c>
      <c r="D110" s="297" t="s">
        <v>120</v>
      </c>
      <c r="E110" s="296" t="s">
        <v>40</v>
      </c>
      <c r="F110" s="296" t="s">
        <v>41</v>
      </c>
      <c r="G110" s="296" t="s">
        <v>8</v>
      </c>
      <c r="H110" s="93" cm="1">
        <f t="array" ref="H11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6</v>
      </c>
      <c r="I110" s="298" t="str">
        <f t="shared" si="10"/>
        <v>I</v>
      </c>
      <c r="J110" s="296" t="s">
        <v>42</v>
      </c>
      <c r="K110" s="296" t="s">
        <v>5</v>
      </c>
      <c r="L110" s="296"/>
      <c r="M110" s="296" t="s">
        <v>4</v>
      </c>
      <c r="N110" s="296" t="s">
        <v>3</v>
      </c>
      <c r="O110" s="296" t="s">
        <v>2</v>
      </c>
      <c r="P110" s="296"/>
      <c r="Q110" s="296"/>
      <c r="R110" s="296"/>
      <c r="S110" s="296"/>
      <c r="T110" s="296"/>
      <c r="U110" s="296"/>
      <c r="V110" s="296"/>
      <c r="W110" s="296"/>
      <c r="X110" s="296"/>
      <c r="Y110" s="296"/>
      <c r="Z110" s="296">
        <f t="array" ref="Z110">SUM(IF(K110:Y110="A",1,0), IF(K110:Y110="B",2,0), IF(K110:Y110="C",3,0), IF(K110:Y110="D",4,0), IF(K110:Y110="E",5,0), IF(K110:Y110="S",6,0), IF(K110:Y110="F",7,0))</f>
        <v>10</v>
      </c>
      <c r="AA110" s="289" t="str">
        <f>_xlfn.XLOOKUP(F6Results_2026[[#This Row],[Full_Name]],tblF42023[FULL_NAME],tblF42023[POINTS],"",0,1)</f>
        <v/>
      </c>
      <c r="AB110" s="289" t="str">
        <f>_xlfn.XLOOKUP(F6Results_2026[[#This Row],[Full_Name]],tblF42023[FULL_NAME],tblF42023[DIVISION],"",0,1)</f>
        <v/>
      </c>
      <c r="AC110" s="289" t="str">
        <f>_xlfn.XLOOKUP(F6Results_2026[[#This Row],[Full_Name]],tblF42023[FULL_NAME],tblF42023[POINTS],"",0,1)</f>
        <v/>
      </c>
      <c r="AD11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1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10" s="299">
        <f>_xlfn.XLOOKUP(F6Results_2026[[#This Row],[Full_Name]],tblF22021[FULL_NAME],tblF22021[POINTS],"",0,1)</f>
        <v>13</v>
      </c>
      <c r="AG110" s="299" t="str">
        <f>_xlfn.XLOOKUP(F6Results_2026[[#This Row],[Full_Name]],tblF42023[FULL_NAME],tblF42023[DIVISION],"",0,1)</f>
        <v/>
      </c>
      <c r="AH110" s="300" t="str">
        <f>_xlfn.XLOOKUP(F6Results_2026[[#This Row],[Full_Name]],tblF42023[FULL_NAME],tblF42023[TOTAL A''S],"",0,1)</f>
        <v/>
      </c>
      <c r="AI110" s="259"/>
    </row>
    <row r="111" spans="1:35" x14ac:dyDescent="0.3">
      <c r="A111" s="301" t="s">
        <v>969</v>
      </c>
      <c r="B111" s="299">
        <v>2026</v>
      </c>
      <c r="C111" s="299">
        <v>20130301324</v>
      </c>
      <c r="D111" s="297" t="s">
        <v>334</v>
      </c>
      <c r="E111" s="299" t="s">
        <v>289</v>
      </c>
      <c r="F111" s="299" t="s">
        <v>896</v>
      </c>
      <c r="G111" s="299" t="s">
        <v>84</v>
      </c>
      <c r="H111" s="93" cm="1">
        <f t="array" ref="H11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11" s="289" t="str">
        <f t="shared" si="10"/>
        <v>III</v>
      </c>
      <c r="J111" s="296" t="s">
        <v>42</v>
      </c>
      <c r="K111" s="289" t="s">
        <v>7</v>
      </c>
      <c r="L111" s="289" t="s">
        <v>7</v>
      </c>
      <c r="M111" s="299"/>
      <c r="N111" s="299"/>
      <c r="O111" s="299"/>
      <c r="P111" s="299"/>
      <c r="Q111" s="299"/>
      <c r="R111" s="299" t="s">
        <v>5</v>
      </c>
      <c r="S111" s="299" t="s">
        <v>8</v>
      </c>
      <c r="T111" s="299" t="s">
        <v>4</v>
      </c>
      <c r="U111" s="299"/>
      <c r="V111" s="299"/>
      <c r="W111" s="299"/>
      <c r="X111" s="299"/>
      <c r="Y111" s="299"/>
      <c r="Z111" s="299"/>
      <c r="AA111" s="302">
        <f>_xlfn.XLOOKUP(F6Results_2026[[#This Row],[Full_Name]],tblF42023[FULL_NAME],tblF42023[POINTS],"",0,1)</f>
        <v>11</v>
      </c>
      <c r="AB111" s="302" t="str">
        <f>_xlfn.XLOOKUP(F6Results_2026[[#This Row],[Full_Name]],tblF42023[FULL_NAME],tblF42023[DIVISION],"",0,1)</f>
        <v>I</v>
      </c>
      <c r="AC111" s="302">
        <f>_xlfn.XLOOKUP(F6Results_2026[[#This Row],[Full_Name]],tblF42023[FULL_NAME],tblF42023[POINTS],"",0,1)</f>
        <v>11</v>
      </c>
      <c r="AD111" s="303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11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11" s="304">
        <f>_xlfn.XLOOKUP(F6Results_2026[[#This Row],[Full_Name]],tblF22021[FULL_NAME],tblF22021[POINTS],"",0,1)</f>
        <v>7</v>
      </c>
      <c r="AG111" s="304" t="str">
        <f>_xlfn.XLOOKUP(F6Results_2026[[#This Row],[Full_Name]],tblF42023[FULL_NAME],tblF42023[DIVISION],"",0,1)</f>
        <v>I</v>
      </c>
      <c r="AH111" s="305">
        <f>_xlfn.XLOOKUP(F6Results_2026[[#This Row],[Full_Name]],tblF42023[FULL_NAME],tblF42023[TOTAL A''S],"",0,1)</f>
        <v>3</v>
      </c>
      <c r="AI111" s="259"/>
    </row>
    <row r="112" spans="1:35" x14ac:dyDescent="0.3">
      <c r="A112" s="301" t="s">
        <v>975</v>
      </c>
      <c r="B112" s="299">
        <v>2026</v>
      </c>
      <c r="C112" s="299">
        <v>20130301492</v>
      </c>
      <c r="D112" s="297" t="s">
        <v>976</v>
      </c>
      <c r="E112" s="299" t="s">
        <v>289</v>
      </c>
      <c r="F112" s="299" t="s">
        <v>896</v>
      </c>
      <c r="G112" s="299" t="s">
        <v>84</v>
      </c>
      <c r="H112" s="93" cm="1">
        <f t="array" ref="H11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18</v>
      </c>
      <c r="I112" s="289" t="str">
        <f t="shared" si="10"/>
        <v>IV</v>
      </c>
      <c r="J112" s="296" t="s">
        <v>94</v>
      </c>
      <c r="K112" s="289" t="s">
        <v>5</v>
      </c>
      <c r="L112" s="289" t="s">
        <v>6</v>
      </c>
      <c r="M112" s="299"/>
      <c r="N112" s="299"/>
      <c r="O112" s="299"/>
      <c r="P112" s="299"/>
      <c r="Q112" s="299"/>
      <c r="R112" s="299" t="s">
        <v>5</v>
      </c>
      <c r="S112" s="299" t="s">
        <v>8</v>
      </c>
      <c r="T112" s="299" t="s">
        <v>8</v>
      </c>
      <c r="U112" s="299"/>
      <c r="V112" s="299"/>
      <c r="W112" s="299"/>
      <c r="X112" s="299"/>
      <c r="Y112" s="299"/>
      <c r="Z112" s="299"/>
      <c r="AA112" s="302" t="str">
        <f>_xlfn.XLOOKUP(F6Results_2026[[#This Row],[Full_Name]],tblF42023[FULL_NAME],tblF42023[POINTS],"",0,1)</f>
        <v/>
      </c>
      <c r="AB112" s="302" t="str">
        <f>_xlfn.XLOOKUP(F6Results_2026[[#This Row],[Full_Name]],tblF42023[FULL_NAME],tblF42023[DIVISION],"",0,1)</f>
        <v/>
      </c>
      <c r="AC112" s="302" t="str">
        <f>_xlfn.XLOOKUP(F6Results_2026[[#This Row],[Full_Name]],tblF42023[FULL_NAME],tblF42023[POINTS],"",0,1)</f>
        <v/>
      </c>
      <c r="AD112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12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12" s="304" t="str">
        <f>_xlfn.XLOOKUP(F6Results_2026[[#This Row],[Full_Name]],tblF22021[FULL_NAME],tblF22021[POINTS],"",0,1)</f>
        <v/>
      </c>
      <c r="AG112" s="304" t="str">
        <f>_xlfn.XLOOKUP(F6Results_2026[[#This Row],[Full_Name]],tblF42023[FULL_NAME],tblF42023[DIVISION],"",0,1)</f>
        <v/>
      </c>
      <c r="AH112" s="305" t="str">
        <f>_xlfn.XLOOKUP(F6Results_2026[[#This Row],[Full_Name]],tblF42023[FULL_NAME],tblF42023[TOTAL A''S],"",0,1)</f>
        <v/>
      </c>
      <c r="AI112" s="259"/>
    </row>
    <row r="113" spans="1:35" x14ac:dyDescent="0.3">
      <c r="A113" s="284" t="s">
        <v>223</v>
      </c>
      <c r="B113" s="296">
        <v>2026</v>
      </c>
      <c r="C113" s="285">
        <v>20130301824</v>
      </c>
      <c r="D113" s="297" t="s">
        <v>224</v>
      </c>
      <c r="E113" s="298" t="s">
        <v>194</v>
      </c>
      <c r="F113" s="298" t="s">
        <v>896</v>
      </c>
      <c r="G113" s="298" t="s">
        <v>84</v>
      </c>
      <c r="H113" s="93" cm="1">
        <f t="array" ref="H11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113" s="298" t="str">
        <f t="shared" si="10"/>
        <v>O</v>
      </c>
      <c r="J113" s="296" t="s">
        <v>42</v>
      </c>
      <c r="K113" s="296" t="s">
        <v>6</v>
      </c>
      <c r="L113" s="296"/>
      <c r="M113" s="298"/>
      <c r="N113" s="298"/>
      <c r="O113" s="298"/>
      <c r="P113" s="298"/>
      <c r="Q113" s="298" t="s">
        <v>8</v>
      </c>
      <c r="R113" s="298" t="s">
        <v>8</v>
      </c>
      <c r="S113" s="298"/>
      <c r="T113" s="298"/>
      <c r="U113" s="298" t="s">
        <v>8</v>
      </c>
      <c r="V113" s="298"/>
      <c r="W113" s="298"/>
      <c r="X113" s="298"/>
      <c r="Y113" s="298"/>
      <c r="Z113" s="296">
        <f t="array" ref="Z113">SUM(IF(K113:Y113="A",1,0), IF(K113:Y113="B",2,0), IF(K113:Y113="C",3,0), IF(K113:Y113="D",4,0), IF(K113:Y113="E",5,0), IF(K113:Y113="S",6,0), IF(K113:Y113="F",7,0))</f>
        <v>26</v>
      </c>
      <c r="AA113" s="289" t="str">
        <f>_xlfn.XLOOKUP(F6Results_2026[[#This Row],[Full_Name]],tblF42023[FULL_NAME],tblF42023[POINTS],"",0,1)</f>
        <v/>
      </c>
      <c r="AB113" s="289" t="str">
        <f>_xlfn.XLOOKUP(F6Results_2026[[#This Row],[Full_Name]],tblF42023[FULL_NAME],tblF42023[DIVISION],"",0,1)</f>
        <v/>
      </c>
      <c r="AC113" s="289" t="str">
        <f>_xlfn.XLOOKUP(F6Results_2026[[#This Row],[Full_Name]],tblF42023[FULL_NAME],tblF42023[POINTS],"",0,1)</f>
        <v/>
      </c>
      <c r="AD11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1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13" s="299">
        <f>_xlfn.XLOOKUP(F6Results_2026[[#This Row],[Full_Name]],tblF22021[FULL_NAME],tblF22021[POINTS],"",0,1)</f>
        <v>7</v>
      </c>
      <c r="AG113" s="299" t="str">
        <f>_xlfn.XLOOKUP(F6Results_2026[[#This Row],[Full_Name]],tblF42023[FULL_NAME],tblF42023[DIVISION],"",0,1)</f>
        <v/>
      </c>
      <c r="AH113" s="300" t="str">
        <f>_xlfn.XLOOKUP(F6Results_2026[[#This Row],[Full_Name]],tblF42023[FULL_NAME],tblF42023[TOTAL A''S],"",0,1)</f>
        <v/>
      </c>
      <c r="AI113" s="259"/>
    </row>
    <row r="114" spans="1:35" x14ac:dyDescent="0.3">
      <c r="A114" s="284" t="s">
        <v>178</v>
      </c>
      <c r="B114" s="296">
        <v>2026</v>
      </c>
      <c r="C114" s="285">
        <v>20130301828</v>
      </c>
      <c r="D114" s="297" t="s">
        <v>179</v>
      </c>
      <c r="E114" s="298" t="s">
        <v>139</v>
      </c>
      <c r="F114" s="298" t="s">
        <v>895</v>
      </c>
      <c r="G114" s="298" t="s">
        <v>84</v>
      </c>
      <c r="H114" s="93" cm="1">
        <f t="array" ref="H11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14" s="298" t="str">
        <f t="shared" si="10"/>
        <v>III</v>
      </c>
      <c r="J114" s="296" t="s">
        <v>42</v>
      </c>
      <c r="K114" s="296" t="s">
        <v>5</v>
      </c>
      <c r="L114" s="296"/>
      <c r="M114" s="298"/>
      <c r="N114" s="298" t="s">
        <v>3</v>
      </c>
      <c r="O114" s="298"/>
      <c r="P114" s="298"/>
      <c r="Q114" s="298"/>
      <c r="R114" s="298"/>
      <c r="S114" s="298"/>
      <c r="T114" s="298"/>
      <c r="U114" s="298" t="s">
        <v>5</v>
      </c>
      <c r="V114" s="298"/>
      <c r="W114" s="298" t="s">
        <v>8</v>
      </c>
      <c r="X114" s="298"/>
      <c r="Y114" s="298"/>
      <c r="Z114" s="296">
        <f t="array" ref="Z114">SUM(IF(K114:Y114="A",1,0), IF(K114:Y114="B",2,0), IF(K114:Y114="C",3,0), IF(K114:Y114="D",4,0), IF(K114:Y114="E",5,0), IF(K114:Y114="S",6,0), IF(K114:Y114="F",7,0))</f>
        <v>17</v>
      </c>
      <c r="AA114" s="289">
        <f>_xlfn.XLOOKUP(F6Results_2026[[#This Row],[Full_Name]],tblF42023[FULL_NAME],tblF42023[POINTS],"",0,1)</f>
        <v>8</v>
      </c>
      <c r="AB114" s="289" t="str">
        <f>_xlfn.XLOOKUP(F6Results_2026[[#This Row],[Full_Name]],tblF42023[FULL_NAME],tblF42023[DIVISION],"",0,1)</f>
        <v>I</v>
      </c>
      <c r="AC114" s="289">
        <f>_xlfn.XLOOKUP(F6Results_2026[[#This Row],[Full_Name]],tblF42023[FULL_NAME],tblF42023[POINTS],"",0,1)</f>
        <v>8</v>
      </c>
      <c r="AD114" s="299">
        <f>IFERROR(
   INDEX(tblF42023[[HKL]:[CBA]],
         MATCH(F6Results_2026[[#This Row],[Full_Name]], tblF42023[FULL_NAME], 0),
         MATCH(F6Results_2026[[#This Row],[Comb]], tblF42023[[#Headers],[HKL]:[CBA]], 0)
   ),
   ""
)</f>
        <v>3</v>
      </c>
      <c r="AE11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14" s="299">
        <f>_xlfn.XLOOKUP(F6Results_2026[[#This Row],[Full_Name]],tblF22021[FULL_NAME],tblF22021[POINTS],"",0,1)</f>
        <v>7</v>
      </c>
      <c r="AG114" s="299" t="str">
        <f>_xlfn.XLOOKUP(F6Results_2026[[#This Row],[Full_Name]],tblF42023[FULL_NAME],tblF42023[DIVISION],"",0,1)</f>
        <v>I</v>
      </c>
      <c r="AH114" s="300">
        <f>_xlfn.XLOOKUP(F6Results_2026[[#This Row],[Full_Name]],tblF42023[FULL_NAME],tblF42023[TOTAL A''S],"",0,1)</f>
        <v>6</v>
      </c>
      <c r="AI114" s="259"/>
    </row>
    <row r="115" spans="1:35" x14ac:dyDescent="0.3">
      <c r="A115" s="284" t="s">
        <v>188</v>
      </c>
      <c r="B115" s="296">
        <v>2026</v>
      </c>
      <c r="C115" s="285">
        <v>20130301835</v>
      </c>
      <c r="D115" s="297" t="s">
        <v>189</v>
      </c>
      <c r="E115" s="296" t="s">
        <v>139</v>
      </c>
      <c r="F115" s="296" t="s">
        <v>895</v>
      </c>
      <c r="G115" s="296" t="s">
        <v>84</v>
      </c>
      <c r="H115" s="93" cm="1">
        <f t="array" ref="H11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115" s="298" t="str">
        <f t="shared" si="10"/>
        <v>II</v>
      </c>
      <c r="J115" s="296" t="s">
        <v>42</v>
      </c>
      <c r="K115" s="298" t="s">
        <v>7</v>
      </c>
      <c r="L115" s="298"/>
      <c r="M115" s="296"/>
      <c r="N115" s="296" t="s">
        <v>4</v>
      </c>
      <c r="O115" s="296"/>
      <c r="P115" s="296"/>
      <c r="Q115" s="296"/>
      <c r="R115" s="296"/>
      <c r="S115" s="296"/>
      <c r="T115" s="296"/>
      <c r="U115" s="296" t="s">
        <v>7</v>
      </c>
      <c r="V115" s="296"/>
      <c r="W115" s="296" t="s">
        <v>4</v>
      </c>
      <c r="X115" s="296"/>
      <c r="Y115" s="296"/>
      <c r="Z115" s="296">
        <f t="array" ref="Z115">SUM(IF(K115:Y115="A",1,0), IF(K115:Y115="B",2,0), IF(K115:Y115="C",3,0), IF(K115:Y115="D",4,0), IF(K115:Y115="E",5,0), IF(K115:Y115="S",6,0), IF(K115:Y115="F",7,0))</f>
        <v>18</v>
      </c>
      <c r="AA115" s="289">
        <f>_xlfn.XLOOKUP(F6Results_2026[[#This Row],[Full_Name]],tblF42023[FULL_NAME],tblF42023[POINTS],"",0,1)</f>
        <v>18</v>
      </c>
      <c r="AB115" s="289" t="str">
        <f>_xlfn.XLOOKUP(F6Results_2026[[#This Row],[Full_Name]],tblF42023[FULL_NAME],tblF42023[DIVISION],"",0,1)</f>
        <v>II</v>
      </c>
      <c r="AC115" s="289">
        <f>_xlfn.XLOOKUP(F6Results_2026[[#This Row],[Full_Name]],tblF42023[FULL_NAME],tblF42023[POINTS],"",0,1)</f>
        <v>18</v>
      </c>
      <c r="AD115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15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15" s="299">
        <f>_xlfn.XLOOKUP(F6Results_2026[[#This Row],[Full_Name]],tblF22021[FULL_NAME],tblF22021[POINTS],"",0,1)</f>
        <v>16</v>
      </c>
      <c r="AG115" s="299" t="str">
        <f>_xlfn.XLOOKUP(F6Results_2026[[#This Row],[Full_Name]],tblF42023[FULL_NAME],tblF42023[DIVISION],"",0,1)</f>
        <v>II</v>
      </c>
      <c r="AH115" s="300">
        <f>_xlfn.XLOOKUP(F6Results_2026[[#This Row],[Full_Name]],tblF42023[FULL_NAME],tblF42023[TOTAL A''S],"",0,1)</f>
        <v>0</v>
      </c>
      <c r="AI115" s="259"/>
    </row>
    <row r="116" spans="1:35" x14ac:dyDescent="0.3">
      <c r="A116" s="284" t="s">
        <v>247</v>
      </c>
      <c r="B116" s="296">
        <v>2026</v>
      </c>
      <c r="C116" s="285">
        <v>20130302112</v>
      </c>
      <c r="D116" s="297" t="s">
        <v>924</v>
      </c>
      <c r="E116" s="298" t="s">
        <v>240</v>
      </c>
      <c r="F116" s="298" t="s">
        <v>896</v>
      </c>
      <c r="G116" s="298" t="s">
        <v>8</v>
      </c>
      <c r="H116" s="93" cm="1">
        <f t="array" ref="H11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16" s="298" t="str">
        <f t="shared" si="10"/>
        <v>II</v>
      </c>
      <c r="J116" s="296" t="s">
        <v>94</v>
      </c>
      <c r="K116" s="296" t="s">
        <v>6</v>
      </c>
      <c r="L116" s="296" t="s">
        <v>7</v>
      </c>
      <c r="M116" s="298"/>
      <c r="N116" s="298"/>
      <c r="O116" s="298"/>
      <c r="P116" s="298"/>
      <c r="Q116" s="298" t="s">
        <v>5</v>
      </c>
      <c r="R116" s="298" t="s">
        <v>5</v>
      </c>
      <c r="S116" s="298" t="s">
        <v>4</v>
      </c>
      <c r="T116" s="298"/>
      <c r="U116" s="298"/>
      <c r="V116" s="298"/>
      <c r="W116" s="298"/>
      <c r="X116" s="298"/>
      <c r="Y116" s="298"/>
      <c r="Z116" s="296">
        <f t="array" ref="Z116">SUM(IF(K116:Y116="A",1,0), IF(K116:Y116="B",2,0), IF(K116:Y116="C",3,0), IF(K116:Y116="D",4,0), IF(K116:Y116="E",5,0), IF(K116:Y116="S",6,0), IF(K116:Y116="F",7,0))</f>
        <v>22</v>
      </c>
      <c r="AA116" s="289" t="str">
        <f>_xlfn.XLOOKUP(F6Results_2026[[#This Row],[Full_Name]],tblF42023[FULL_NAME],tblF42023[POINTS],"",0,1)</f>
        <v/>
      </c>
      <c r="AB116" s="289" t="str">
        <f>_xlfn.XLOOKUP(F6Results_2026[[#This Row],[Full_Name]],tblF42023[FULL_NAME],tblF42023[DIVISION],"",0,1)</f>
        <v/>
      </c>
      <c r="AC116" s="289" t="str">
        <f>_xlfn.XLOOKUP(F6Results_2026[[#This Row],[Full_Name]],tblF42023[FULL_NAME],tblF42023[POINTS],"",0,1)</f>
        <v/>
      </c>
      <c r="AD116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16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16" s="299" t="str">
        <f>_xlfn.XLOOKUP(F6Results_2026[[#This Row],[Full_Name]],tblF22021[FULL_NAME],tblF22021[POINTS],"",0,1)</f>
        <v/>
      </c>
      <c r="AG116" s="299" t="str">
        <f>_xlfn.XLOOKUP(F6Results_2026[[#This Row],[Full_Name]],tblF42023[FULL_NAME],tblF42023[DIVISION],"",0,1)</f>
        <v/>
      </c>
      <c r="AH116" s="300" t="str">
        <f>_xlfn.XLOOKUP(F6Results_2026[[#This Row],[Full_Name]],tblF42023[FULL_NAME],tblF42023[TOTAL A''S],"",0,1)</f>
        <v/>
      </c>
      <c r="AI116" s="259"/>
    </row>
    <row r="117" spans="1:35" x14ac:dyDescent="0.3">
      <c r="A117" s="284" t="s">
        <v>180</v>
      </c>
      <c r="B117" s="296">
        <v>2026</v>
      </c>
      <c r="C117" s="285">
        <v>20130302442</v>
      </c>
      <c r="D117" s="297" t="s">
        <v>181</v>
      </c>
      <c r="E117" s="296" t="s">
        <v>139</v>
      </c>
      <c r="F117" s="296" t="s">
        <v>895</v>
      </c>
      <c r="G117" s="296" t="s">
        <v>84</v>
      </c>
      <c r="H117" s="93" cm="1">
        <f t="array" ref="H11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17" s="298" t="str">
        <f t="shared" si="10"/>
        <v>III</v>
      </c>
      <c r="J117" s="296" t="s">
        <v>42</v>
      </c>
      <c r="K117" s="298" t="s">
        <v>7</v>
      </c>
      <c r="L117" s="298"/>
      <c r="M117" s="296"/>
      <c r="N117" s="296" t="s">
        <v>3</v>
      </c>
      <c r="O117" s="296"/>
      <c r="P117" s="296"/>
      <c r="Q117" s="296"/>
      <c r="R117" s="296"/>
      <c r="S117" s="296"/>
      <c r="T117" s="296"/>
      <c r="U117" s="296" t="s">
        <v>6</v>
      </c>
      <c r="V117" s="296"/>
      <c r="W117" s="296" t="s">
        <v>8</v>
      </c>
      <c r="X117" s="296"/>
      <c r="Y117" s="296"/>
      <c r="Z117" s="296">
        <f t="array" ref="Z117">SUM(IF(K117:Y117="A",1,0), IF(K117:Y117="B",2,0), IF(K117:Y117="C",3,0), IF(K117:Y117="D",4,0), IF(K117:Y117="E",5,0), IF(K117:Y117="S",6,0), IF(K117:Y117="F",7,0))</f>
        <v>20</v>
      </c>
      <c r="AA117" s="289">
        <f>_xlfn.XLOOKUP(F6Results_2026[[#This Row],[Full_Name]],tblF42023[FULL_NAME],tblF42023[POINTS],"",0,1)</f>
        <v>10</v>
      </c>
      <c r="AB117" s="289" t="str">
        <f>_xlfn.XLOOKUP(F6Results_2026[[#This Row],[Full_Name]],tblF42023[FULL_NAME],tblF42023[DIVISION],"",0,1)</f>
        <v>I</v>
      </c>
      <c r="AC117" s="289">
        <f>_xlfn.XLOOKUP(F6Results_2026[[#This Row],[Full_Name]],tblF42023[FULL_NAME],tblF42023[POINTS],"",0,1)</f>
        <v>10</v>
      </c>
      <c r="AD117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17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17" s="299">
        <f>_xlfn.XLOOKUP(F6Results_2026[[#This Row],[Full_Name]],tblF22021[FULL_NAME],tblF22021[POINTS],"",0,1)</f>
        <v>7</v>
      </c>
      <c r="AG117" s="299" t="str">
        <f>_xlfn.XLOOKUP(F6Results_2026[[#This Row],[Full_Name]],tblF42023[FULL_NAME],tblF42023[DIVISION],"",0,1)</f>
        <v>I</v>
      </c>
      <c r="AH117" s="300">
        <f>_xlfn.XLOOKUP(F6Results_2026[[#This Row],[Full_Name]],tblF42023[FULL_NAME],tblF42023[TOTAL A''S],"",0,1)</f>
        <v>4</v>
      </c>
      <c r="AI117" s="259"/>
    </row>
    <row r="118" spans="1:35" x14ac:dyDescent="0.3">
      <c r="A118" s="284" t="s">
        <v>298</v>
      </c>
      <c r="B118" s="296">
        <v>2026</v>
      </c>
      <c r="C118" s="285">
        <v>20130302636</v>
      </c>
      <c r="D118" s="297" t="s">
        <v>299</v>
      </c>
      <c r="E118" s="298" t="s">
        <v>240</v>
      </c>
      <c r="F118" s="298" t="s">
        <v>896</v>
      </c>
      <c r="G118" s="298" t="s">
        <v>84</v>
      </c>
      <c r="H118" s="93" cm="1">
        <f t="array" ref="H11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18" s="298" t="str">
        <f t="shared" si="10"/>
        <v>II</v>
      </c>
      <c r="J118" s="296" t="s">
        <v>42</v>
      </c>
      <c r="K118" s="296" t="s">
        <v>7</v>
      </c>
      <c r="L118" s="296" t="s">
        <v>8</v>
      </c>
      <c r="M118" s="298"/>
      <c r="N118" s="298"/>
      <c r="O118" s="298"/>
      <c r="P118" s="298"/>
      <c r="Q118" s="298" t="s">
        <v>6</v>
      </c>
      <c r="R118" s="298" t="s">
        <v>4</v>
      </c>
      <c r="S118" s="298" t="s">
        <v>4</v>
      </c>
      <c r="T118" s="298"/>
      <c r="U118" s="298"/>
      <c r="V118" s="298"/>
      <c r="W118" s="298"/>
      <c r="X118" s="298"/>
      <c r="Y118" s="298"/>
      <c r="Z118" s="296">
        <f t="array" ref="Z118">SUM(IF(K118:Y118="A",1,0), IF(K118:Y118="B",2,0), IF(K118:Y118="C",3,0), IF(K118:Y118="D",4,0), IF(K118:Y118="E",5,0), IF(K118:Y118="S",6,0), IF(K118:Y118="F",7,0))</f>
        <v>24</v>
      </c>
      <c r="AA118" s="289">
        <f>_xlfn.XLOOKUP(F6Results_2026[[#This Row],[Full_Name]],tblF42023[FULL_NAME],tblF42023[POINTS],"",0,1)</f>
        <v>12</v>
      </c>
      <c r="AB118" s="289" t="str">
        <f>_xlfn.XLOOKUP(F6Results_2026[[#This Row],[Full_Name]],tblF42023[FULL_NAME],tblF42023[DIVISION],"",0,1)</f>
        <v>I</v>
      </c>
      <c r="AC118" s="289">
        <f>_xlfn.XLOOKUP(F6Results_2026[[#This Row],[Full_Name]],tblF42023[FULL_NAME],tblF42023[POINTS],"",0,1)</f>
        <v>12</v>
      </c>
      <c r="AD118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1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18" s="299">
        <f>_xlfn.XLOOKUP(F6Results_2026[[#This Row],[Full_Name]],tblF22021[FULL_NAME],tblF22021[POINTS],"",0,1)</f>
        <v>7</v>
      </c>
      <c r="AG118" s="299" t="str">
        <f>_xlfn.XLOOKUP(F6Results_2026[[#This Row],[Full_Name]],tblF42023[FULL_NAME],tblF42023[DIVISION],"",0,1)</f>
        <v>I</v>
      </c>
      <c r="AH118" s="300">
        <f>_xlfn.XLOOKUP(F6Results_2026[[#This Row],[Full_Name]],tblF42023[FULL_NAME],tblF42023[TOTAL A''S],"",0,1)</f>
        <v>2</v>
      </c>
      <c r="AI118" s="259"/>
    </row>
    <row r="119" spans="1:35" x14ac:dyDescent="0.3">
      <c r="A119" s="284" t="s">
        <v>307</v>
      </c>
      <c r="B119" s="296">
        <v>2026</v>
      </c>
      <c r="C119" s="285">
        <v>20130302656</v>
      </c>
      <c r="D119" s="297" t="s">
        <v>308</v>
      </c>
      <c r="E119" s="296" t="s">
        <v>304</v>
      </c>
      <c r="F119" s="296" t="s">
        <v>895</v>
      </c>
      <c r="G119" s="296" t="s">
        <v>8</v>
      </c>
      <c r="H119" s="93" cm="1">
        <f t="array" ref="H11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18</v>
      </c>
      <c r="I119" s="298" t="str">
        <f t="shared" si="10"/>
        <v>IV</v>
      </c>
      <c r="J119" s="296" t="s">
        <v>42</v>
      </c>
      <c r="K119" s="298" t="s">
        <v>7</v>
      </c>
      <c r="L119" s="298" t="s">
        <v>2</v>
      </c>
      <c r="M119" s="296"/>
      <c r="N119" s="296"/>
      <c r="O119" s="296"/>
      <c r="P119" s="296"/>
      <c r="Q119" s="296"/>
      <c r="R119" s="296"/>
      <c r="S119" s="298"/>
      <c r="T119" s="296"/>
      <c r="U119" s="296"/>
      <c r="V119" s="296"/>
      <c r="W119" s="296" t="s">
        <v>8</v>
      </c>
      <c r="X119" s="296" t="s">
        <v>8</v>
      </c>
      <c r="Y119" s="296" t="s">
        <v>5</v>
      </c>
      <c r="Z119" s="296">
        <f t="array" ref="Z119">SUM(IF(K119:Y119="A",1,0), IF(K119:Y119="B",2,0), IF(K119:Y119="C",3,0), IF(K119:Y119="D",4,0), IF(K119:Y119="E",5,0), IF(K119:Y119="S",6,0), IF(K119:Y119="F",7,0))</f>
        <v>25</v>
      </c>
      <c r="AA119" s="289">
        <f>_xlfn.XLOOKUP(F6Results_2026[[#This Row],[Full_Name]],tblF42023[FULL_NAME],tblF42023[POINTS],"",0,1)</f>
        <v>13</v>
      </c>
      <c r="AB119" s="289" t="str">
        <f>_xlfn.XLOOKUP(F6Results_2026[[#This Row],[Full_Name]],tblF42023[FULL_NAME],tblF42023[DIVISION],"",0,1)</f>
        <v>I</v>
      </c>
      <c r="AC119" s="289">
        <f>_xlfn.XLOOKUP(F6Results_2026[[#This Row],[Full_Name]],tblF42023[FULL_NAME],tblF42023[POINTS],"",0,1)</f>
        <v>13</v>
      </c>
      <c r="AD119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19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19" s="299">
        <f>_xlfn.XLOOKUP(F6Results_2026[[#This Row],[Full_Name]],tblF22021[FULL_NAME],tblF22021[POINTS],"",0,1)</f>
        <v>7</v>
      </c>
      <c r="AG119" s="299" t="str">
        <f>_xlfn.XLOOKUP(F6Results_2026[[#This Row],[Full_Name]],tblF42023[FULL_NAME],tblF42023[DIVISION],"",0,1)</f>
        <v>I</v>
      </c>
      <c r="AH119" s="300">
        <f>_xlfn.XLOOKUP(F6Results_2026[[#This Row],[Full_Name]],tblF42023[FULL_NAME],tblF42023[TOTAL A''S],"",0,1)</f>
        <v>1</v>
      </c>
      <c r="AI119" s="259"/>
    </row>
    <row r="120" spans="1:35" x14ac:dyDescent="0.3">
      <c r="A120" s="301" t="s">
        <v>973</v>
      </c>
      <c r="B120" s="299">
        <v>2026</v>
      </c>
      <c r="C120" s="299">
        <v>20130304189</v>
      </c>
      <c r="D120" s="297" t="s">
        <v>974</v>
      </c>
      <c r="E120" s="299" t="s">
        <v>289</v>
      </c>
      <c r="F120" s="299" t="s">
        <v>896</v>
      </c>
      <c r="G120" s="299" t="s">
        <v>84</v>
      </c>
      <c r="H120" s="93" cm="1">
        <f t="array" ref="H12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20" s="289" t="str">
        <f t="shared" si="10"/>
        <v>II</v>
      </c>
      <c r="J120" s="296" t="s">
        <v>94</v>
      </c>
      <c r="K120" s="289" t="s">
        <v>6</v>
      </c>
      <c r="L120" s="289" t="s">
        <v>8</v>
      </c>
      <c r="M120" s="299"/>
      <c r="N120" s="299"/>
      <c r="O120" s="299"/>
      <c r="P120" s="299"/>
      <c r="Q120" s="299"/>
      <c r="R120" s="299" t="s">
        <v>5</v>
      </c>
      <c r="S120" s="299" t="s">
        <v>4</v>
      </c>
      <c r="T120" s="299" t="s">
        <v>4</v>
      </c>
      <c r="U120" s="299"/>
      <c r="V120" s="299"/>
      <c r="W120" s="299"/>
      <c r="X120" s="299"/>
      <c r="Y120" s="299"/>
      <c r="Z120" s="299"/>
      <c r="AA120" s="302" t="str">
        <f>_xlfn.XLOOKUP(F6Results_2026[[#This Row],[Full_Name]],tblF42023[FULL_NAME],tblF42023[POINTS],"",0,1)</f>
        <v/>
      </c>
      <c r="AB120" s="302" t="str">
        <f>_xlfn.XLOOKUP(F6Results_2026[[#This Row],[Full_Name]],tblF42023[FULL_NAME],tblF42023[DIVISION],"",0,1)</f>
        <v/>
      </c>
      <c r="AC120" s="302" t="str">
        <f>_xlfn.XLOOKUP(F6Results_2026[[#This Row],[Full_Name]],tblF42023[FULL_NAME],tblF42023[POINTS],"",0,1)</f>
        <v/>
      </c>
      <c r="AD120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20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20" s="304" t="str">
        <f>_xlfn.XLOOKUP(F6Results_2026[[#This Row],[Full_Name]],tblF22021[FULL_NAME],tblF22021[POINTS],"",0,1)</f>
        <v/>
      </c>
      <c r="AG120" s="304" t="str">
        <f>_xlfn.XLOOKUP(F6Results_2026[[#This Row],[Full_Name]],tblF42023[FULL_NAME],tblF42023[DIVISION],"",0,1)</f>
        <v/>
      </c>
      <c r="AH120" s="305" t="str">
        <f>_xlfn.XLOOKUP(F6Results_2026[[#This Row],[Full_Name]],tblF42023[FULL_NAME],tblF42023[TOTAL A''S],"",0,1)</f>
        <v/>
      </c>
      <c r="AI120" s="259"/>
    </row>
    <row r="121" spans="1:35" x14ac:dyDescent="0.3">
      <c r="A121" s="284" t="s">
        <v>228</v>
      </c>
      <c r="B121" s="296">
        <v>2026</v>
      </c>
      <c r="C121" s="285">
        <v>20130304529</v>
      </c>
      <c r="D121" s="297" t="s">
        <v>229</v>
      </c>
      <c r="E121" s="296" t="s">
        <v>194</v>
      </c>
      <c r="F121" s="296" t="s">
        <v>896</v>
      </c>
      <c r="G121" s="296" t="s">
        <v>84</v>
      </c>
      <c r="H121" s="93" cm="1">
        <f t="array" ref="H12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19</v>
      </c>
      <c r="I121" s="298" t="str">
        <f t="shared" si="10"/>
        <v>IV</v>
      </c>
      <c r="J121" s="296" t="s">
        <v>42</v>
      </c>
      <c r="K121" s="298" t="s">
        <v>6</v>
      </c>
      <c r="L121" s="298"/>
      <c r="M121" s="296"/>
      <c r="N121" s="296"/>
      <c r="O121" s="296"/>
      <c r="P121" s="296"/>
      <c r="Q121" s="296" t="s">
        <v>8</v>
      </c>
      <c r="R121" s="296" t="s">
        <v>6</v>
      </c>
      <c r="S121" s="296"/>
      <c r="T121" s="296"/>
      <c r="U121" s="296" t="s">
        <v>8</v>
      </c>
      <c r="V121" s="296"/>
      <c r="W121" s="296"/>
      <c r="X121" s="296"/>
      <c r="Y121" s="296"/>
      <c r="Z121" s="296">
        <f t="array" ref="Z121">SUM(IF(K121:Y121="A",1,0), IF(K121:Y121="B",2,0), IF(K121:Y121="C",3,0), IF(K121:Y121="D",4,0), IF(K121:Y121="E",5,0), IF(K121:Y121="S",6,0), IF(K121:Y121="F",7,0))</f>
        <v>24</v>
      </c>
      <c r="AA121" s="289">
        <f>_xlfn.XLOOKUP(F6Results_2026[[#This Row],[Full_Name]],tblF42023[FULL_NAME],tblF42023[POINTS],"",0,1)</f>
        <v>11</v>
      </c>
      <c r="AB121" s="289" t="str">
        <f>_xlfn.XLOOKUP(F6Results_2026[[#This Row],[Full_Name]],tblF42023[FULL_NAME],tblF42023[DIVISION],"",0,1)</f>
        <v>I</v>
      </c>
      <c r="AC121" s="289">
        <f>_xlfn.XLOOKUP(F6Results_2026[[#This Row],[Full_Name]],tblF42023[FULL_NAME],tblF42023[POINTS],"",0,1)</f>
        <v>11</v>
      </c>
      <c r="AD121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2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21" s="299">
        <f>_xlfn.XLOOKUP(F6Results_2026[[#This Row],[Full_Name]],tblF22021[FULL_NAME],tblF22021[POINTS],"",0,1)</f>
        <v>7</v>
      </c>
      <c r="AG121" s="299" t="str">
        <f>_xlfn.XLOOKUP(F6Results_2026[[#This Row],[Full_Name]],tblF42023[FULL_NAME],tblF42023[DIVISION],"",0,1)</f>
        <v>I</v>
      </c>
      <c r="AH121" s="300">
        <f>_xlfn.XLOOKUP(F6Results_2026[[#This Row],[Full_Name]],tblF42023[FULL_NAME],tblF42023[TOTAL A''S],"",0,1)</f>
        <v>3</v>
      </c>
      <c r="AI121" s="259"/>
    </row>
    <row r="122" spans="1:35" x14ac:dyDescent="0.3">
      <c r="A122" s="284" t="s">
        <v>106</v>
      </c>
      <c r="B122" s="296">
        <v>2026</v>
      </c>
      <c r="C122" s="285">
        <v>20130304632</v>
      </c>
      <c r="D122" s="297" t="s">
        <v>107</v>
      </c>
      <c r="E122" s="298" t="s">
        <v>40</v>
      </c>
      <c r="F122" s="298" t="s">
        <v>41</v>
      </c>
      <c r="G122" s="298" t="s">
        <v>8</v>
      </c>
      <c r="H122" s="93" cm="1">
        <f t="array" ref="H12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6</v>
      </c>
      <c r="I122" s="298" t="str">
        <f t="shared" si="10"/>
        <v>I</v>
      </c>
      <c r="J122" s="296" t="s">
        <v>42</v>
      </c>
      <c r="K122" s="296" t="s">
        <v>5</v>
      </c>
      <c r="L122" s="296"/>
      <c r="M122" s="298" t="s">
        <v>4</v>
      </c>
      <c r="N122" s="298" t="s">
        <v>3</v>
      </c>
      <c r="O122" s="298" t="s">
        <v>2</v>
      </c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6">
        <f t="array" ref="Z122">SUM(IF(K122:Y122="A",1,0), IF(K122:Y122="B",2,0), IF(K122:Y122="C",3,0), IF(K122:Y122="D",4,0), IF(K122:Y122="E",5,0), IF(K122:Y122="S",6,0), IF(K122:Y122="F",7,0))</f>
        <v>10</v>
      </c>
      <c r="AA122" s="289">
        <f>_xlfn.XLOOKUP(F6Results_2026[[#This Row],[Full_Name]],tblF42023[FULL_NAME],tblF42023[POINTS],"",0,1)</f>
        <v>16</v>
      </c>
      <c r="AB122" s="289" t="str">
        <f>_xlfn.XLOOKUP(F6Results_2026[[#This Row],[Full_Name]],tblF42023[FULL_NAME],tblF42023[DIVISION],"",0,1)</f>
        <v>I</v>
      </c>
      <c r="AC122" s="289">
        <f>_xlfn.XLOOKUP(F6Results_2026[[#This Row],[Full_Name]],tblF42023[FULL_NAME],tblF42023[POINTS],"",0,1)</f>
        <v>16</v>
      </c>
      <c r="AD122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22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22" s="299">
        <f>_xlfn.XLOOKUP(F6Results_2026[[#This Row],[Full_Name]],tblF22021[FULL_NAME],tblF22021[POINTS],"",0,1)</f>
        <v>9</v>
      </c>
      <c r="AG122" s="299" t="str">
        <f>_xlfn.XLOOKUP(F6Results_2026[[#This Row],[Full_Name]],tblF42023[FULL_NAME],tblF42023[DIVISION],"",0,1)</f>
        <v>I</v>
      </c>
      <c r="AH122" s="300">
        <f>_xlfn.XLOOKUP(F6Results_2026[[#This Row],[Full_Name]],tblF42023[FULL_NAME],tblF42023[TOTAL A''S],"",0,1)</f>
        <v>1</v>
      </c>
      <c r="AI122" s="259"/>
    </row>
    <row r="123" spans="1:35" x14ac:dyDescent="0.3">
      <c r="A123" s="301" t="s">
        <v>964</v>
      </c>
      <c r="B123" s="299">
        <v>2026</v>
      </c>
      <c r="C123" s="299">
        <v>20130305442</v>
      </c>
      <c r="D123" s="297" t="s">
        <v>329</v>
      </c>
      <c r="E123" s="299" t="s">
        <v>289</v>
      </c>
      <c r="F123" s="299" t="s">
        <v>896</v>
      </c>
      <c r="G123" s="299" t="s">
        <v>84</v>
      </c>
      <c r="H123" s="93" cm="1">
        <f t="array" ref="H12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23" s="289" t="str">
        <f t="shared" si="10"/>
        <v>I</v>
      </c>
      <c r="J123" s="296" t="s">
        <v>42</v>
      </c>
      <c r="K123" s="289" t="s">
        <v>5</v>
      </c>
      <c r="L123" s="289" t="s">
        <v>6</v>
      </c>
      <c r="M123" s="299"/>
      <c r="N123" s="299"/>
      <c r="O123" s="299"/>
      <c r="P123" s="299"/>
      <c r="Q123" s="299"/>
      <c r="R123" s="299" t="s">
        <v>4</v>
      </c>
      <c r="S123" s="299" t="s">
        <v>4</v>
      </c>
      <c r="T123" s="299" t="s">
        <v>4</v>
      </c>
      <c r="U123" s="299"/>
      <c r="V123" s="299"/>
      <c r="W123" s="299"/>
      <c r="X123" s="299"/>
      <c r="Y123" s="299"/>
      <c r="Z123" s="299"/>
      <c r="AA123" s="302">
        <f>_xlfn.XLOOKUP(F6Results_2026[[#This Row],[Full_Name]],tblF42023[FULL_NAME],tblF42023[POINTS],"",0,1)</f>
        <v>13</v>
      </c>
      <c r="AB123" s="302" t="str">
        <f>_xlfn.XLOOKUP(F6Results_2026[[#This Row],[Full_Name]],tblF42023[FULL_NAME],tblF42023[DIVISION],"",0,1)</f>
        <v>I</v>
      </c>
      <c r="AC123" s="302">
        <f>_xlfn.XLOOKUP(F6Results_2026[[#This Row],[Full_Name]],tblF42023[FULL_NAME],tblF42023[POINTS],"",0,1)</f>
        <v>13</v>
      </c>
      <c r="AD123" s="303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23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23" s="304">
        <f>_xlfn.XLOOKUP(F6Results_2026[[#This Row],[Full_Name]],tblF22021[FULL_NAME],tblF22021[POINTS],"",0,1)</f>
        <v>8</v>
      </c>
      <c r="AG123" s="304" t="str">
        <f>_xlfn.XLOOKUP(F6Results_2026[[#This Row],[Full_Name]],tblF42023[FULL_NAME],tblF42023[DIVISION],"",0,1)</f>
        <v>I</v>
      </c>
      <c r="AH123" s="305">
        <f>_xlfn.XLOOKUP(F6Results_2026[[#This Row],[Full_Name]],tblF42023[FULL_NAME],tblF42023[TOTAL A''S],"",0,1)</f>
        <v>1</v>
      </c>
      <c r="AI123" s="259"/>
    </row>
    <row r="124" spans="1:35" x14ac:dyDescent="0.3">
      <c r="A124" s="284" t="s">
        <v>64</v>
      </c>
      <c r="B124" s="296">
        <v>2026</v>
      </c>
      <c r="C124" s="285">
        <v>20130305651</v>
      </c>
      <c r="D124" s="297" t="s">
        <v>65</v>
      </c>
      <c r="E124" s="298" t="s">
        <v>45</v>
      </c>
      <c r="F124" s="298" t="s">
        <v>41</v>
      </c>
      <c r="G124" s="298" t="s">
        <v>8</v>
      </c>
      <c r="H124" s="93" cm="1">
        <f t="array" ref="H12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124" s="298" t="str">
        <f t="shared" si="10"/>
        <v>II</v>
      </c>
      <c r="J124" s="296" t="s">
        <v>42</v>
      </c>
      <c r="K124" s="298" t="s">
        <v>6</v>
      </c>
      <c r="L124" s="298"/>
      <c r="M124" s="298" t="s">
        <v>5</v>
      </c>
      <c r="N124" s="296" t="s">
        <v>5</v>
      </c>
      <c r="O124" s="298"/>
      <c r="P124" s="298" t="s">
        <v>5</v>
      </c>
      <c r="Q124" s="298"/>
      <c r="R124" s="298"/>
      <c r="S124" s="298"/>
      <c r="T124" s="298"/>
      <c r="U124" s="298"/>
      <c r="V124" s="298"/>
      <c r="W124" s="298"/>
      <c r="X124" s="298"/>
      <c r="Y124" s="298"/>
      <c r="Z124" s="296">
        <f t="array" ref="Z124">SUM(IF(K124:Y124="A",1,0), IF(K124:Y124="B",2,0), IF(K124:Y124="C",3,0), IF(K124:Y124="D",4,0), IF(K124:Y124="E",5,0), IF(K124:Y124="S",6,0), IF(K124:Y124="F",7,0))</f>
        <v>17</v>
      </c>
      <c r="AA124" s="289">
        <f>_xlfn.XLOOKUP(F6Results_2026[[#This Row],[Full_Name]],tblF42023[FULL_NAME],tblF42023[POINTS],"",0,1)</f>
        <v>16</v>
      </c>
      <c r="AB124" s="289" t="str">
        <f>_xlfn.XLOOKUP(F6Results_2026[[#This Row],[Full_Name]],tblF42023[FULL_NAME],tblF42023[DIVISION],"",0,1)</f>
        <v>I</v>
      </c>
      <c r="AC124" s="289">
        <f>_xlfn.XLOOKUP(F6Results_2026[[#This Row],[Full_Name]],tblF42023[FULL_NAME],tblF42023[POINTS],"",0,1)</f>
        <v>16</v>
      </c>
      <c r="AD124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24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24" s="299">
        <f>_xlfn.XLOOKUP(F6Results_2026[[#This Row],[Full_Name]],tblF22021[FULL_NAME],tblF22021[POINTS],"",0,1)</f>
        <v>13</v>
      </c>
      <c r="AG124" s="299" t="str">
        <f>_xlfn.XLOOKUP(F6Results_2026[[#This Row],[Full_Name]],tblF42023[FULL_NAME],tblF42023[DIVISION],"",0,1)</f>
        <v>I</v>
      </c>
      <c r="AH124" s="300">
        <f>_xlfn.XLOOKUP(F6Results_2026[[#This Row],[Full_Name]],tblF42023[FULL_NAME],tblF42023[TOTAL A''S],"",0,1)</f>
        <v>1</v>
      </c>
      <c r="AI124" s="259"/>
    </row>
    <row r="125" spans="1:35" x14ac:dyDescent="0.3">
      <c r="A125" s="284" t="s">
        <v>278</v>
      </c>
      <c r="B125" s="296">
        <v>2026</v>
      </c>
      <c r="C125" s="285">
        <v>20130305679</v>
      </c>
      <c r="D125" s="297" t="s">
        <v>935</v>
      </c>
      <c r="E125" s="296" t="s">
        <v>240</v>
      </c>
      <c r="F125" s="296" t="s">
        <v>896</v>
      </c>
      <c r="G125" s="296" t="s">
        <v>84</v>
      </c>
      <c r="H125" s="93" cm="1">
        <f t="array" ref="H12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25" s="298" t="str">
        <f t="shared" si="10"/>
        <v>III</v>
      </c>
      <c r="J125" s="296" t="s">
        <v>94</v>
      </c>
      <c r="K125" s="298" t="s">
        <v>6</v>
      </c>
      <c r="L125" s="298" t="s">
        <v>8</v>
      </c>
      <c r="M125" s="296"/>
      <c r="N125" s="296"/>
      <c r="O125" s="296"/>
      <c r="P125" s="296"/>
      <c r="Q125" s="296" t="s">
        <v>8</v>
      </c>
      <c r="R125" s="296" t="s">
        <v>4</v>
      </c>
      <c r="S125" s="296" t="s">
        <v>5</v>
      </c>
      <c r="T125" s="296"/>
      <c r="U125" s="296"/>
      <c r="V125" s="296"/>
      <c r="W125" s="296"/>
      <c r="X125" s="296"/>
      <c r="Y125" s="296"/>
      <c r="Z125" s="296">
        <f t="array" ref="Z125">SUM(IF(K125:Y125="A",1,0), IF(K125:Y125="B",2,0), IF(K125:Y125="C",3,0), IF(K125:Y125="D",4,0), IF(K125:Y125="E",5,0), IF(K125:Y125="S",6,0), IF(K125:Y125="F",7,0))</f>
        <v>26</v>
      </c>
      <c r="AA125" s="289" t="str">
        <f>_xlfn.XLOOKUP(F6Results_2026[[#This Row],[Full_Name]],tblF42023[FULL_NAME],tblF42023[POINTS],"",0,1)</f>
        <v/>
      </c>
      <c r="AB125" s="289" t="str">
        <f>_xlfn.XLOOKUP(F6Results_2026[[#This Row],[Full_Name]],tblF42023[FULL_NAME],tblF42023[DIVISION],"",0,1)</f>
        <v/>
      </c>
      <c r="AC125" s="289" t="str">
        <f>_xlfn.XLOOKUP(F6Results_2026[[#This Row],[Full_Name]],tblF42023[FULL_NAME],tblF42023[POINTS],"",0,1)</f>
        <v/>
      </c>
      <c r="AD125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25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25" s="299" t="str">
        <f>_xlfn.XLOOKUP(F6Results_2026[[#This Row],[Full_Name]],tblF22021[FULL_NAME],tblF22021[POINTS],"",0,1)</f>
        <v/>
      </c>
      <c r="AG125" s="299" t="str">
        <f>_xlfn.XLOOKUP(F6Results_2026[[#This Row],[Full_Name]],tblF42023[FULL_NAME],tblF42023[DIVISION],"",0,1)</f>
        <v/>
      </c>
      <c r="AH125" s="300" t="str">
        <f>_xlfn.XLOOKUP(F6Results_2026[[#This Row],[Full_Name]],tblF42023[FULL_NAME],tblF42023[TOTAL A''S],"",0,1)</f>
        <v/>
      </c>
      <c r="AI125" s="259"/>
    </row>
    <row r="126" spans="1:35" x14ac:dyDescent="0.3">
      <c r="A126" s="301" t="s">
        <v>965</v>
      </c>
      <c r="B126" s="299">
        <v>2026</v>
      </c>
      <c r="C126" s="299">
        <v>20130309104</v>
      </c>
      <c r="D126" s="297" t="s">
        <v>330</v>
      </c>
      <c r="E126" s="299" t="s">
        <v>289</v>
      </c>
      <c r="F126" s="299" t="s">
        <v>896</v>
      </c>
      <c r="G126" s="299" t="s">
        <v>84</v>
      </c>
      <c r="H126" s="93" cm="1">
        <f t="array" ref="H12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26" s="289" t="str">
        <f t="shared" si="10"/>
        <v>III</v>
      </c>
      <c r="J126" s="296" t="s">
        <v>42</v>
      </c>
      <c r="K126" s="289" t="s">
        <v>8</v>
      </c>
      <c r="L126" s="289" t="s">
        <v>6</v>
      </c>
      <c r="M126" s="299"/>
      <c r="N126" s="299"/>
      <c r="O126" s="299"/>
      <c r="P126" s="299"/>
      <c r="Q126" s="299"/>
      <c r="R126" s="299" t="s">
        <v>5</v>
      </c>
      <c r="S126" s="299" t="s">
        <v>8</v>
      </c>
      <c r="T126" s="299" t="s">
        <v>4</v>
      </c>
      <c r="U126" s="299"/>
      <c r="V126" s="299"/>
      <c r="W126" s="299"/>
      <c r="X126" s="299"/>
      <c r="Y126" s="299"/>
      <c r="Z126" s="299"/>
      <c r="AA126" s="302">
        <f>_xlfn.XLOOKUP(F6Results_2026[[#This Row],[Full_Name]],tblF42023[FULL_NAME],tblF42023[POINTS],"",0,1)</f>
        <v>8</v>
      </c>
      <c r="AB126" s="302" t="str">
        <f>_xlfn.XLOOKUP(F6Results_2026[[#This Row],[Full_Name]],tblF42023[FULL_NAME],tblF42023[DIVISION],"",0,1)</f>
        <v>I</v>
      </c>
      <c r="AC126" s="302">
        <f>_xlfn.XLOOKUP(F6Results_2026[[#This Row],[Full_Name]],tblF42023[FULL_NAME],tblF42023[POINTS],"",0,1)</f>
        <v>8</v>
      </c>
      <c r="AD126" s="303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126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26" s="304">
        <f>_xlfn.XLOOKUP(F6Results_2026[[#This Row],[Full_Name]],tblF22021[FULL_NAME],tblF22021[POINTS],"",0,1)</f>
        <v>7</v>
      </c>
      <c r="AG126" s="304" t="str">
        <f>_xlfn.XLOOKUP(F6Results_2026[[#This Row],[Full_Name]],tblF42023[FULL_NAME],tblF42023[DIVISION],"",0,1)</f>
        <v>I</v>
      </c>
      <c r="AH126" s="305">
        <f>_xlfn.XLOOKUP(F6Results_2026[[#This Row],[Full_Name]],tblF42023[FULL_NAME],tblF42023[TOTAL A''S],"",0,1)</f>
        <v>6</v>
      </c>
      <c r="AI126" s="259"/>
    </row>
    <row r="127" spans="1:35" x14ac:dyDescent="0.3">
      <c r="A127" s="284" t="s">
        <v>275</v>
      </c>
      <c r="B127" s="296">
        <v>2026</v>
      </c>
      <c r="C127" s="285">
        <v>20130336310</v>
      </c>
      <c r="D127" s="297" t="s">
        <v>932</v>
      </c>
      <c r="E127" s="298" t="s">
        <v>240</v>
      </c>
      <c r="F127" s="298" t="s">
        <v>896</v>
      </c>
      <c r="G127" s="298" t="s">
        <v>84</v>
      </c>
      <c r="H127" s="93" cm="1">
        <f t="array" ref="H12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27" s="298" t="str">
        <f t="shared" si="10"/>
        <v>III</v>
      </c>
      <c r="J127" s="296" t="s">
        <v>94</v>
      </c>
      <c r="K127" s="296" t="s">
        <v>8</v>
      </c>
      <c r="L127" s="296" t="s">
        <v>6</v>
      </c>
      <c r="M127" s="298"/>
      <c r="N127" s="298"/>
      <c r="O127" s="298"/>
      <c r="P127" s="298"/>
      <c r="Q127" s="298" t="s">
        <v>6</v>
      </c>
      <c r="R127" s="298" t="s">
        <v>5</v>
      </c>
      <c r="S127" s="298" t="s">
        <v>5</v>
      </c>
      <c r="T127" s="298"/>
      <c r="U127" s="298"/>
      <c r="V127" s="298"/>
      <c r="W127" s="298"/>
      <c r="X127" s="298"/>
      <c r="Y127" s="298"/>
      <c r="Z127" s="296">
        <f t="array" ref="Z127">SUM(IF(K127:Y127="A",1,0), IF(K127:Y127="B",2,0), IF(K127:Y127="C",3,0), IF(K127:Y127="D",4,0), IF(K127:Y127="E",5,0), IF(K127:Y127="S",6,0), IF(K127:Y127="F",7,0))</f>
        <v>25</v>
      </c>
      <c r="AA127" s="289" t="str">
        <f>_xlfn.XLOOKUP(F6Results_2026[[#This Row],[Full_Name]],tblF42023[FULL_NAME],tblF42023[POINTS],"",0,1)</f>
        <v/>
      </c>
      <c r="AB127" s="289" t="str">
        <f>_xlfn.XLOOKUP(F6Results_2026[[#This Row],[Full_Name]],tblF42023[FULL_NAME],tblF42023[DIVISION],"",0,1)</f>
        <v/>
      </c>
      <c r="AC127" s="289" t="str">
        <f>_xlfn.XLOOKUP(F6Results_2026[[#This Row],[Full_Name]],tblF42023[FULL_NAME],tblF42023[POINTS],"",0,1)</f>
        <v/>
      </c>
      <c r="AD12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2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27" s="299" t="str">
        <f>_xlfn.XLOOKUP(F6Results_2026[[#This Row],[Full_Name]],tblF22021[FULL_NAME],tblF22021[POINTS],"",0,1)</f>
        <v/>
      </c>
      <c r="AG127" s="299" t="str">
        <f>_xlfn.XLOOKUP(F6Results_2026[[#This Row],[Full_Name]],tblF42023[FULL_NAME],tblF42023[DIVISION],"",0,1)</f>
        <v/>
      </c>
      <c r="AH127" s="300" t="str">
        <f>_xlfn.XLOOKUP(F6Results_2026[[#This Row],[Full_Name]],tblF42023[FULL_NAME],tblF42023[TOTAL A''S],"",0,1)</f>
        <v/>
      </c>
      <c r="AI127" s="259"/>
    </row>
    <row r="128" spans="1:35" x14ac:dyDescent="0.3">
      <c r="A128" s="284" t="s">
        <v>232</v>
      </c>
      <c r="B128" s="296">
        <v>2026</v>
      </c>
      <c r="C128" s="285">
        <v>20130377355</v>
      </c>
      <c r="D128" s="297" t="s">
        <v>918</v>
      </c>
      <c r="E128" s="298" t="s">
        <v>194</v>
      </c>
      <c r="F128" s="298" t="s">
        <v>896</v>
      </c>
      <c r="G128" s="298" t="s">
        <v>84</v>
      </c>
      <c r="H128" s="93" cm="1">
        <f t="array" ref="H12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28" s="298" t="str">
        <f t="shared" si="10"/>
        <v>II</v>
      </c>
      <c r="J128" s="296" t="s">
        <v>94</v>
      </c>
      <c r="K128" s="296" t="s">
        <v>5</v>
      </c>
      <c r="L128" s="296"/>
      <c r="M128" s="298"/>
      <c r="N128" s="298"/>
      <c r="O128" s="298"/>
      <c r="P128" s="298"/>
      <c r="Q128" s="298" t="s">
        <v>4</v>
      </c>
      <c r="R128" s="298" t="s">
        <v>5</v>
      </c>
      <c r="S128" s="298"/>
      <c r="T128" s="298"/>
      <c r="U128" s="298" t="s">
        <v>4</v>
      </c>
      <c r="V128" s="298"/>
      <c r="W128" s="298"/>
      <c r="X128" s="298"/>
      <c r="Y128" s="298"/>
      <c r="Z128" s="296">
        <f t="array" ref="Z128">SUM(IF(K128:Y128="A",1,0), IF(K128:Y128="B",2,0), IF(K128:Y128="C",3,0), IF(K128:Y128="D",4,0), IF(K128:Y128="E",5,0), IF(K128:Y128="S",6,0), IF(K128:Y128="F",7,0))</f>
        <v>14</v>
      </c>
      <c r="AA128" s="289" t="str">
        <f>_xlfn.XLOOKUP(F6Results_2026[[#This Row],[Full_Name]],tblF42023[FULL_NAME],tblF42023[POINTS],"",0,1)</f>
        <v/>
      </c>
      <c r="AB128" s="289" t="str">
        <f>_xlfn.XLOOKUP(F6Results_2026[[#This Row],[Full_Name]],tblF42023[FULL_NAME],tblF42023[DIVISION],"",0,1)</f>
        <v/>
      </c>
      <c r="AC128" s="289" t="str">
        <f>_xlfn.XLOOKUP(F6Results_2026[[#This Row],[Full_Name]],tblF42023[FULL_NAME],tblF42023[POINTS],"",0,1)</f>
        <v/>
      </c>
      <c r="AD12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2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28" s="299" t="str">
        <f>_xlfn.XLOOKUP(F6Results_2026[[#This Row],[Full_Name]],tblF22021[FULL_NAME],tblF22021[POINTS],"",0,1)</f>
        <v/>
      </c>
      <c r="AG128" s="299" t="str">
        <f>_xlfn.XLOOKUP(F6Results_2026[[#This Row],[Full_Name]],tblF42023[FULL_NAME],tblF42023[DIVISION],"",0,1)</f>
        <v/>
      </c>
      <c r="AH128" s="300" t="str">
        <f>_xlfn.XLOOKUP(F6Results_2026[[#This Row],[Full_Name]],tblF42023[FULL_NAME],tblF42023[TOTAL A''S],"",0,1)</f>
        <v/>
      </c>
      <c r="AI128" s="259"/>
    </row>
    <row r="129" spans="1:35" x14ac:dyDescent="0.3">
      <c r="A129" s="284" t="s">
        <v>108</v>
      </c>
      <c r="B129" s="296">
        <v>2026</v>
      </c>
      <c r="C129" s="285">
        <v>20130405274</v>
      </c>
      <c r="D129" s="297" t="s">
        <v>109</v>
      </c>
      <c r="E129" s="296" t="s">
        <v>40</v>
      </c>
      <c r="F129" s="296" t="s">
        <v>41</v>
      </c>
      <c r="G129" s="296" t="s">
        <v>8</v>
      </c>
      <c r="H129" s="93" cm="1">
        <f t="array" ref="H12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129" s="298" t="str">
        <f t="shared" si="10"/>
        <v>I</v>
      </c>
      <c r="J129" s="296" t="s">
        <v>42</v>
      </c>
      <c r="K129" s="298" t="s">
        <v>7</v>
      </c>
      <c r="L129" s="298"/>
      <c r="M129" s="296" t="s">
        <v>5</v>
      </c>
      <c r="N129" s="296" t="s">
        <v>4</v>
      </c>
      <c r="O129" s="296" t="s">
        <v>2</v>
      </c>
      <c r="P129" s="296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>
        <f t="array" ref="Z129">SUM(IF(K129:Y129="A",1,0), IF(K129:Y129="B",2,0), IF(K129:Y129="C",3,0), IF(K129:Y129="D",4,0), IF(K129:Y129="E",5,0), IF(K129:Y129="S",6,0), IF(K129:Y129="F",7,0))</f>
        <v>14</v>
      </c>
      <c r="AA129" s="289">
        <f>_xlfn.XLOOKUP(F6Results_2026[[#This Row],[Full_Name]],tblF42023[FULL_NAME],tblF42023[POINTS],"",0,1)</f>
        <v>17</v>
      </c>
      <c r="AB129" s="289" t="str">
        <f>_xlfn.XLOOKUP(F6Results_2026[[#This Row],[Full_Name]],tblF42023[FULL_NAME],tblF42023[DIVISION],"",0,1)</f>
        <v>I</v>
      </c>
      <c r="AC129" s="289">
        <f>_xlfn.XLOOKUP(F6Results_2026[[#This Row],[Full_Name]],tblF42023[FULL_NAME],tblF42023[POINTS],"",0,1)</f>
        <v>17</v>
      </c>
      <c r="AD129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29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29" s="299">
        <f>_xlfn.XLOOKUP(F6Results_2026[[#This Row],[Full_Name]],tblF22021[FULL_NAME],tblF22021[POINTS],"",0,1)</f>
        <v>13</v>
      </c>
      <c r="AG129" s="299" t="str">
        <f>_xlfn.XLOOKUP(F6Results_2026[[#This Row],[Full_Name]],tblF42023[FULL_NAME],tblF42023[DIVISION],"",0,1)</f>
        <v>I</v>
      </c>
      <c r="AH129" s="300">
        <f>_xlfn.XLOOKUP(F6Results_2026[[#This Row],[Full_Name]],tblF42023[FULL_NAME],tblF42023[TOTAL A''S],"",0,1)</f>
        <v>1</v>
      </c>
      <c r="AI129" s="259"/>
    </row>
    <row r="130" spans="1:35" x14ac:dyDescent="0.3">
      <c r="A130" s="284" t="s">
        <v>302</v>
      </c>
      <c r="B130" s="296">
        <v>2026</v>
      </c>
      <c r="C130" s="285">
        <v>20130446692</v>
      </c>
      <c r="D130" s="297" t="s">
        <v>303</v>
      </c>
      <c r="E130" s="296" t="s">
        <v>304</v>
      </c>
      <c r="F130" s="296" t="s">
        <v>895</v>
      </c>
      <c r="G130" s="296" t="s">
        <v>8</v>
      </c>
      <c r="H130" s="93" cm="1">
        <f t="array" ref="H13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130" s="298" t="str">
        <f t="shared" si="10"/>
        <v>O</v>
      </c>
      <c r="J130" s="296" t="s">
        <v>42</v>
      </c>
      <c r="K130" s="298" t="s">
        <v>6</v>
      </c>
      <c r="L130" s="298" t="s">
        <v>2</v>
      </c>
      <c r="M130" s="296"/>
      <c r="N130" s="296"/>
      <c r="O130" s="296"/>
      <c r="P130" s="296"/>
      <c r="Q130" s="296"/>
      <c r="R130" s="296"/>
      <c r="S130" s="298"/>
      <c r="T130" s="296"/>
      <c r="U130" s="296"/>
      <c r="V130" s="296"/>
      <c r="W130" s="296" t="s">
        <v>8</v>
      </c>
      <c r="X130" s="296" t="s">
        <v>8</v>
      </c>
      <c r="Y130" s="296" t="s">
        <v>8</v>
      </c>
      <c r="Z130" s="296">
        <f t="array" ref="Z130">SUM(IF(K130:Y130="A",1,0), IF(K130:Y130="B",2,0), IF(K130:Y130="C",3,0), IF(K130:Y130="D",4,0), IF(K130:Y130="E",5,0), IF(K130:Y130="S",6,0), IF(K130:Y130="F",7,0))</f>
        <v>27</v>
      </c>
      <c r="AA130" s="289">
        <f>_xlfn.XLOOKUP(F6Results_2026[[#This Row],[Full_Name]],tblF42023[FULL_NAME],tblF42023[POINTS],"",0,1)</f>
        <v>7</v>
      </c>
      <c r="AB130" s="289" t="str">
        <f>_xlfn.XLOOKUP(F6Results_2026[[#This Row],[Full_Name]],tblF42023[FULL_NAME],tblF42023[DIVISION],"",0,1)</f>
        <v>I</v>
      </c>
      <c r="AC130" s="289">
        <f>_xlfn.XLOOKUP(F6Results_2026[[#This Row],[Full_Name]],tblF42023[FULL_NAME],tblF42023[POINTS],"",0,1)</f>
        <v>7</v>
      </c>
      <c r="AD13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3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30" s="299">
        <f>_xlfn.XLOOKUP(F6Results_2026[[#This Row],[Full_Name]],tblF22021[FULL_NAME],tblF22021[POINTS],"",0,1)</f>
        <v>7</v>
      </c>
      <c r="AG130" s="299" t="str">
        <f>_xlfn.XLOOKUP(F6Results_2026[[#This Row],[Full_Name]],tblF42023[FULL_NAME],tblF42023[DIVISION],"",0,1)</f>
        <v>I</v>
      </c>
      <c r="AH130" s="300">
        <f>_xlfn.XLOOKUP(F6Results_2026[[#This Row],[Full_Name]],tblF42023[FULL_NAME],tblF42023[TOTAL A''S],"",0,1)</f>
        <v>7</v>
      </c>
      <c r="AI130" s="259"/>
    </row>
    <row r="131" spans="1:35" x14ac:dyDescent="0.3">
      <c r="A131" s="301" t="s">
        <v>980</v>
      </c>
      <c r="B131" s="299">
        <v>2026</v>
      </c>
      <c r="C131" s="299">
        <v>20130450734</v>
      </c>
      <c r="D131" s="297" t="s">
        <v>338</v>
      </c>
      <c r="E131" s="299" t="s">
        <v>978</v>
      </c>
      <c r="F131" s="299" t="s">
        <v>896</v>
      </c>
      <c r="G131" s="299" t="s">
        <v>8</v>
      </c>
      <c r="H131" s="93" cm="1">
        <f t="array" ref="H13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31" s="289" t="str">
        <f t="shared" si="10"/>
        <v>III</v>
      </c>
      <c r="J131" s="296" t="s">
        <v>42</v>
      </c>
      <c r="K131" s="289" t="s">
        <v>6</v>
      </c>
      <c r="L131" s="289"/>
      <c r="M131" s="299"/>
      <c r="N131" s="299"/>
      <c r="O131" s="299"/>
      <c r="P131" s="299"/>
      <c r="Q131" s="299" t="s">
        <v>8</v>
      </c>
      <c r="R131" s="299"/>
      <c r="S131" s="299"/>
      <c r="T131" s="299"/>
      <c r="U131" s="299" t="s">
        <v>5</v>
      </c>
      <c r="V131" s="299" t="s">
        <v>5</v>
      </c>
      <c r="W131" s="299"/>
      <c r="X131" s="299"/>
      <c r="Y131" s="299"/>
      <c r="Z131" s="299"/>
      <c r="AA131" s="302">
        <f>_xlfn.XLOOKUP(F6Results_2026[[#This Row],[Full_Name]],tblF42023[FULL_NAME],tblF42023[POINTS],"",0,1)</f>
        <v>8</v>
      </c>
      <c r="AB131" s="302" t="str">
        <f>_xlfn.XLOOKUP(F6Results_2026[[#This Row],[Full_Name]],tblF42023[FULL_NAME],tblF42023[DIVISION],"",0,1)</f>
        <v>I</v>
      </c>
      <c r="AC131" s="302">
        <f>_xlfn.XLOOKUP(F6Results_2026[[#This Row],[Full_Name]],tblF42023[FULL_NAME],tblF42023[POINTS],"",0,1)</f>
        <v>8</v>
      </c>
      <c r="AD131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31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31" s="304">
        <f>_xlfn.XLOOKUP(F6Results_2026[[#This Row],[Full_Name]],tblF22021[FULL_NAME],tblF22021[POINTS],"",0,1)</f>
        <v>7</v>
      </c>
      <c r="AG131" s="304" t="str">
        <f>_xlfn.XLOOKUP(F6Results_2026[[#This Row],[Full_Name]],tblF42023[FULL_NAME],tblF42023[DIVISION],"",0,1)</f>
        <v>I</v>
      </c>
      <c r="AH131" s="305">
        <f>_xlfn.XLOOKUP(F6Results_2026[[#This Row],[Full_Name]],tblF42023[FULL_NAME],tblF42023[TOTAL A''S],"",0,1)</f>
        <v>6</v>
      </c>
      <c r="AI131" s="259"/>
    </row>
    <row r="132" spans="1:35" x14ac:dyDescent="0.3">
      <c r="A132" s="284" t="s">
        <v>257</v>
      </c>
      <c r="B132" s="296">
        <v>2026</v>
      </c>
      <c r="C132" s="285">
        <v>20130457998</v>
      </c>
      <c r="D132" s="297" t="s">
        <v>930</v>
      </c>
      <c r="E132" s="298" t="s">
        <v>240</v>
      </c>
      <c r="F132" s="298" t="s">
        <v>896</v>
      </c>
      <c r="G132" s="298" t="s">
        <v>8</v>
      </c>
      <c r="H132" s="93" cm="1">
        <f t="array" ref="H13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132" s="298" t="str">
        <f t="shared" si="10"/>
        <v>III</v>
      </c>
      <c r="J132" s="296" t="s">
        <v>94</v>
      </c>
      <c r="K132" s="296" t="s">
        <v>6</v>
      </c>
      <c r="L132" s="296" t="s">
        <v>6</v>
      </c>
      <c r="M132" s="298"/>
      <c r="N132" s="298"/>
      <c r="O132" s="298"/>
      <c r="P132" s="298"/>
      <c r="Q132" s="298" t="s">
        <v>6</v>
      </c>
      <c r="R132" s="298" t="s">
        <v>5</v>
      </c>
      <c r="S132" s="298" t="s">
        <v>8</v>
      </c>
      <c r="T132" s="298"/>
      <c r="U132" s="298"/>
      <c r="V132" s="298"/>
      <c r="W132" s="298"/>
      <c r="X132" s="298"/>
      <c r="Y132" s="298"/>
      <c r="Z132" s="296">
        <f t="array" ref="Z132">SUM(IF(K132:Y132="A",1,0), IF(K132:Y132="B",2,0), IF(K132:Y132="C",3,0), IF(K132:Y132="D",4,0), IF(K132:Y132="E",5,0), IF(K132:Y132="S",6,0), IF(K132:Y132="F",7,0))</f>
        <v>26</v>
      </c>
      <c r="AA132" s="289" t="str">
        <f>_xlfn.XLOOKUP(F6Results_2026[[#This Row],[Full_Name]],tblF42023[FULL_NAME],tblF42023[POINTS],"",0,1)</f>
        <v/>
      </c>
      <c r="AB132" s="289" t="str">
        <f>_xlfn.XLOOKUP(F6Results_2026[[#This Row],[Full_Name]],tblF42023[FULL_NAME],tblF42023[DIVISION],"",0,1)</f>
        <v/>
      </c>
      <c r="AC132" s="289" t="str">
        <f>_xlfn.XLOOKUP(F6Results_2026[[#This Row],[Full_Name]],tblF42023[FULL_NAME],tblF42023[POINTS],"",0,1)</f>
        <v/>
      </c>
      <c r="AD13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3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32" s="299" t="str">
        <f>_xlfn.XLOOKUP(F6Results_2026[[#This Row],[Full_Name]],tblF22021[FULL_NAME],tblF22021[POINTS],"",0,1)</f>
        <v/>
      </c>
      <c r="AG132" s="299" t="str">
        <f>_xlfn.XLOOKUP(F6Results_2026[[#This Row],[Full_Name]],tblF42023[FULL_NAME],tblF42023[DIVISION],"",0,1)</f>
        <v/>
      </c>
      <c r="AH132" s="300" t="str">
        <f>_xlfn.XLOOKUP(F6Results_2026[[#This Row],[Full_Name]],tblF42023[FULL_NAME],tblF42023[TOTAL A''S],"",0,1)</f>
        <v/>
      </c>
      <c r="AI132" s="259"/>
    </row>
    <row r="133" spans="1:35" x14ac:dyDescent="0.3">
      <c r="A133" s="301" t="s">
        <v>967</v>
      </c>
      <c r="B133" s="299">
        <v>2026</v>
      </c>
      <c r="C133" s="299">
        <v>20130468551</v>
      </c>
      <c r="D133" s="297" t="s">
        <v>332</v>
      </c>
      <c r="E133" s="299" t="s">
        <v>289</v>
      </c>
      <c r="F133" s="299" t="s">
        <v>896</v>
      </c>
      <c r="G133" s="299" t="s">
        <v>84</v>
      </c>
      <c r="H133" s="93" cm="1">
        <f t="array" ref="H13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33" s="289" t="str">
        <f t="shared" si="10"/>
        <v>II</v>
      </c>
      <c r="J133" s="296" t="s">
        <v>42</v>
      </c>
      <c r="K133" s="289" t="s">
        <v>6</v>
      </c>
      <c r="L133" s="289" t="s">
        <v>8</v>
      </c>
      <c r="M133" s="299"/>
      <c r="N133" s="299"/>
      <c r="O133" s="299"/>
      <c r="P133" s="299"/>
      <c r="Q133" s="299"/>
      <c r="R133" s="299" t="s">
        <v>6</v>
      </c>
      <c r="S133" s="299" t="s">
        <v>4</v>
      </c>
      <c r="T133" s="299" t="s">
        <v>4</v>
      </c>
      <c r="U133" s="299"/>
      <c r="V133" s="299"/>
      <c r="W133" s="299"/>
      <c r="X133" s="299"/>
      <c r="Y133" s="299"/>
      <c r="Z133" s="299"/>
      <c r="AA133" s="302">
        <f>_xlfn.XLOOKUP(F6Results_2026[[#This Row],[Full_Name]],tblF42023[FULL_NAME],tblF42023[POINTS],"",0,1)</f>
        <v>15</v>
      </c>
      <c r="AB133" s="302" t="str">
        <f>_xlfn.XLOOKUP(F6Results_2026[[#This Row],[Full_Name]],tblF42023[FULL_NAME],tblF42023[DIVISION],"",0,1)</f>
        <v>I</v>
      </c>
      <c r="AC133" s="302">
        <f>_xlfn.XLOOKUP(F6Results_2026[[#This Row],[Full_Name]],tblF42023[FULL_NAME],tblF42023[POINTS],"",0,1)</f>
        <v>15</v>
      </c>
      <c r="AD133" s="303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33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33" s="304">
        <f>_xlfn.XLOOKUP(F6Results_2026[[#This Row],[Full_Name]],tblF22021[FULL_NAME],tblF22021[POINTS],"",0,1)</f>
        <v>8</v>
      </c>
      <c r="AG133" s="304" t="str">
        <f>_xlfn.XLOOKUP(F6Results_2026[[#This Row],[Full_Name]],tblF42023[FULL_NAME],tblF42023[DIVISION],"",0,1)</f>
        <v>I</v>
      </c>
      <c r="AH133" s="305">
        <f>_xlfn.XLOOKUP(F6Results_2026[[#This Row],[Full_Name]],tblF42023[FULL_NAME],tblF42023[TOTAL A''S],"",0,1)</f>
        <v>0</v>
      </c>
      <c r="AI133" s="259"/>
    </row>
    <row r="134" spans="1:35" x14ac:dyDescent="0.3">
      <c r="A134" s="284" t="s">
        <v>102</v>
      </c>
      <c r="B134" s="296">
        <v>2026</v>
      </c>
      <c r="C134" s="285">
        <v>20130473374</v>
      </c>
      <c r="D134" s="297" t="s">
        <v>103</v>
      </c>
      <c r="E134" s="298" t="s">
        <v>40</v>
      </c>
      <c r="F134" s="298" t="s">
        <v>41</v>
      </c>
      <c r="G134" s="298" t="s">
        <v>8</v>
      </c>
      <c r="H134" s="93" cm="1">
        <f t="array" ref="H13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134" s="298" t="str">
        <f t="shared" si="10"/>
        <v>I</v>
      </c>
      <c r="J134" s="296" t="s">
        <v>42</v>
      </c>
      <c r="K134" s="298" t="s">
        <v>6</v>
      </c>
      <c r="L134" s="298"/>
      <c r="M134" s="298" t="s">
        <v>5</v>
      </c>
      <c r="N134" s="298" t="s">
        <v>4</v>
      </c>
      <c r="O134" s="298" t="s">
        <v>2</v>
      </c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6">
        <f t="array" ref="Z134">SUM(IF(K134:Y134="A",1,0), IF(K134:Y134="B",2,0), IF(K134:Y134="C",3,0), IF(K134:Y134="D",4,0), IF(K134:Y134="E",5,0), IF(K134:Y134="S",6,0), IF(K134:Y134="F",7,0))</f>
        <v>13</v>
      </c>
      <c r="AA134" s="289">
        <f>_xlfn.XLOOKUP(F6Results_2026[[#This Row],[Full_Name]],tblF42023[FULL_NAME],tblF42023[POINTS],"",0,1)</f>
        <v>17</v>
      </c>
      <c r="AB134" s="289" t="str">
        <f>_xlfn.XLOOKUP(F6Results_2026[[#This Row],[Full_Name]],tblF42023[FULL_NAME],tblF42023[DIVISION],"",0,1)</f>
        <v>I</v>
      </c>
      <c r="AC134" s="289">
        <f>_xlfn.XLOOKUP(F6Results_2026[[#This Row],[Full_Name]],tblF42023[FULL_NAME],tblF42023[POINTS],"",0,1)</f>
        <v>17</v>
      </c>
      <c r="AD134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34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34" s="299">
        <f>_xlfn.XLOOKUP(F6Results_2026[[#This Row],[Full_Name]],tblF22021[FULL_NAME],tblF22021[POINTS],"",0,1)</f>
        <v>10</v>
      </c>
      <c r="AG134" s="299" t="str">
        <f>_xlfn.XLOOKUP(F6Results_2026[[#This Row],[Full_Name]],tblF42023[FULL_NAME],tblF42023[DIVISION],"",0,1)</f>
        <v>I</v>
      </c>
      <c r="AH134" s="300">
        <f>_xlfn.XLOOKUP(F6Results_2026[[#This Row],[Full_Name]],tblF42023[FULL_NAME],tblF42023[TOTAL A''S],"",0,1)</f>
        <v>1</v>
      </c>
      <c r="AI134" s="259"/>
    </row>
    <row r="135" spans="1:35" x14ac:dyDescent="0.3">
      <c r="A135" s="284" t="s">
        <v>207</v>
      </c>
      <c r="B135" s="296">
        <v>2026</v>
      </c>
      <c r="C135" s="285">
        <v>20130473392</v>
      </c>
      <c r="D135" s="297" t="s">
        <v>208</v>
      </c>
      <c r="E135" s="298" t="s">
        <v>194</v>
      </c>
      <c r="F135" s="298" t="s">
        <v>896</v>
      </c>
      <c r="G135" s="298" t="s">
        <v>8</v>
      </c>
      <c r="H135" s="93" cm="1">
        <f t="array" ref="H13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35" s="298" t="str">
        <f t="shared" si="10"/>
        <v>II</v>
      </c>
      <c r="J135" s="296" t="s">
        <v>42</v>
      </c>
      <c r="K135" s="296" t="s">
        <v>6</v>
      </c>
      <c r="L135" s="296"/>
      <c r="M135" s="298"/>
      <c r="N135" s="298"/>
      <c r="O135" s="298"/>
      <c r="P135" s="298"/>
      <c r="Q135" s="298" t="s">
        <v>4</v>
      </c>
      <c r="R135" s="298" t="s">
        <v>4</v>
      </c>
      <c r="S135" s="298"/>
      <c r="T135" s="298"/>
      <c r="U135" s="298" t="s">
        <v>6</v>
      </c>
      <c r="V135" s="298"/>
      <c r="W135" s="298"/>
      <c r="X135" s="298"/>
      <c r="Y135" s="298"/>
      <c r="Z135" s="296">
        <f t="array" ref="Z135">SUM(IF(K135:Y135="A",1,0), IF(K135:Y135="B",2,0), IF(K135:Y135="C",3,0), IF(K135:Y135="D",4,0), IF(K135:Y135="E",5,0), IF(K135:Y135="S",6,0), IF(K135:Y135="F",7,0))</f>
        <v>16</v>
      </c>
      <c r="AA135" s="289">
        <f>_xlfn.XLOOKUP(F6Results_2026[[#This Row],[Full_Name]],tblF42023[FULL_NAME],tblF42023[POINTS],"",0,1)</f>
        <v>7</v>
      </c>
      <c r="AB135" s="289" t="str">
        <f>_xlfn.XLOOKUP(F6Results_2026[[#This Row],[Full_Name]],tblF42023[FULL_NAME],tblF42023[DIVISION],"",0,1)</f>
        <v>I</v>
      </c>
      <c r="AC135" s="289">
        <f>_xlfn.XLOOKUP(F6Results_2026[[#This Row],[Full_Name]],tblF42023[FULL_NAME],tblF42023[POINTS],"",0,1)</f>
        <v>7</v>
      </c>
      <c r="AD135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3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35" s="299">
        <f>_xlfn.XLOOKUP(F6Results_2026[[#This Row],[Full_Name]],tblF22021[FULL_NAME],tblF22021[POINTS],"",0,1)</f>
        <v>7</v>
      </c>
      <c r="AG135" s="299" t="str">
        <f>_xlfn.XLOOKUP(F6Results_2026[[#This Row],[Full_Name]],tblF42023[FULL_NAME],tblF42023[DIVISION],"",0,1)</f>
        <v>I</v>
      </c>
      <c r="AH135" s="300">
        <f>_xlfn.XLOOKUP(F6Results_2026[[#This Row],[Full_Name]],tblF42023[FULL_NAME],tblF42023[TOTAL A''S],"",0,1)</f>
        <v>8</v>
      </c>
      <c r="AI135" s="259"/>
    </row>
    <row r="136" spans="1:35" x14ac:dyDescent="0.3">
      <c r="A136" s="284" t="s">
        <v>123</v>
      </c>
      <c r="B136" s="296">
        <v>2026</v>
      </c>
      <c r="C136" s="285">
        <v>20130477741</v>
      </c>
      <c r="D136" s="297" t="s">
        <v>124</v>
      </c>
      <c r="E136" s="296" t="s">
        <v>40</v>
      </c>
      <c r="F136" s="296" t="s">
        <v>41</v>
      </c>
      <c r="G136" s="296" t="s">
        <v>8</v>
      </c>
      <c r="H136" s="93" cm="1">
        <f t="array" ref="H13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36" s="298" t="str">
        <f t="shared" si="10"/>
        <v>II</v>
      </c>
      <c r="J136" s="296" t="s">
        <v>42</v>
      </c>
      <c r="K136" s="296" t="s">
        <v>8</v>
      </c>
      <c r="L136" s="296"/>
      <c r="M136" s="296" t="s">
        <v>6</v>
      </c>
      <c r="N136" s="296" t="s">
        <v>5</v>
      </c>
      <c r="O136" s="298" t="s">
        <v>2</v>
      </c>
      <c r="P136" s="296"/>
      <c r="Q136" s="296"/>
      <c r="R136" s="296"/>
      <c r="S136" s="296"/>
      <c r="T136" s="296"/>
      <c r="U136" s="296"/>
      <c r="V136" s="296"/>
      <c r="W136" s="296"/>
      <c r="X136" s="296"/>
      <c r="Y136" s="296"/>
      <c r="Z136" s="296">
        <f t="array" ref="Z136">SUM(IF(K136:Y136="A",1,0), IF(K136:Y136="B",2,0), IF(K136:Y136="C",3,0), IF(K136:Y136="D",4,0), IF(K136:Y136="E",5,0), IF(K136:Y136="S",6,0), IF(K136:Y136="F",7,0))</f>
        <v>17</v>
      </c>
      <c r="AA136" s="289">
        <f>_xlfn.XLOOKUP(F6Results_2026[[#This Row],[Full_Name]],tblF42023[FULL_NAME],tblF42023[POINTS],"",0,1)</f>
        <v>17</v>
      </c>
      <c r="AB136" s="289" t="str">
        <f>_xlfn.XLOOKUP(F6Results_2026[[#This Row],[Full_Name]],tblF42023[FULL_NAME],tblF42023[DIVISION],"",0,1)</f>
        <v>I</v>
      </c>
      <c r="AC136" s="289">
        <f>_xlfn.XLOOKUP(F6Results_2026[[#This Row],[Full_Name]],tblF42023[FULL_NAME],tblF42023[POINTS],"",0,1)</f>
        <v>17</v>
      </c>
      <c r="AD136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36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36" s="299">
        <f>_xlfn.XLOOKUP(F6Results_2026[[#This Row],[Full_Name]],tblF22021[FULL_NAME],tblF22021[POINTS],"",0,1)</f>
        <v>11</v>
      </c>
      <c r="AG136" s="299" t="str">
        <f>_xlfn.XLOOKUP(F6Results_2026[[#This Row],[Full_Name]],tblF42023[FULL_NAME],tblF42023[DIVISION],"",0,1)</f>
        <v>I</v>
      </c>
      <c r="AH136" s="300">
        <f>_xlfn.XLOOKUP(F6Results_2026[[#This Row],[Full_Name]],tblF42023[FULL_NAME],tblF42023[TOTAL A''S],"",0,1)</f>
        <v>1</v>
      </c>
      <c r="AI136" s="259"/>
    </row>
    <row r="137" spans="1:35" x14ac:dyDescent="0.3">
      <c r="A137" s="284" t="s">
        <v>236</v>
      </c>
      <c r="B137" s="296">
        <v>2026</v>
      </c>
      <c r="C137" s="285">
        <v>20130477824</v>
      </c>
      <c r="D137" s="297" t="s">
        <v>920</v>
      </c>
      <c r="E137" s="296" t="s">
        <v>194</v>
      </c>
      <c r="F137" s="296" t="s">
        <v>896</v>
      </c>
      <c r="G137" s="296" t="s">
        <v>84</v>
      </c>
      <c r="H137" s="93" cm="1">
        <f t="array" ref="H13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37" s="298" t="str">
        <f t="shared" si="10"/>
        <v>II</v>
      </c>
      <c r="J137" s="296" t="s">
        <v>94</v>
      </c>
      <c r="K137" s="298" t="s">
        <v>6</v>
      </c>
      <c r="L137" s="298"/>
      <c r="M137" s="296"/>
      <c r="N137" s="296"/>
      <c r="O137" s="296"/>
      <c r="P137" s="296"/>
      <c r="Q137" s="296" t="s">
        <v>4</v>
      </c>
      <c r="R137" s="296" t="s">
        <v>4</v>
      </c>
      <c r="S137" s="296"/>
      <c r="T137" s="296"/>
      <c r="U137" s="296" t="s">
        <v>5</v>
      </c>
      <c r="V137" s="296"/>
      <c r="W137" s="296"/>
      <c r="X137" s="296"/>
      <c r="Y137" s="296"/>
      <c r="Z137" s="296">
        <f t="array" ref="Z137">SUM(IF(K137:Y137="A",1,0), IF(K137:Y137="B",2,0), IF(K137:Y137="C",3,0), IF(K137:Y137="D",4,0), IF(K137:Y137="E",5,0), IF(K137:Y137="S",6,0), IF(K137:Y137="F",7,0))</f>
        <v>15</v>
      </c>
      <c r="AA137" s="289" t="str">
        <f>_xlfn.XLOOKUP(F6Results_2026[[#This Row],[Full_Name]],tblF42023[FULL_NAME],tblF42023[POINTS],"",0,1)</f>
        <v/>
      </c>
      <c r="AB137" s="289" t="str">
        <f>_xlfn.XLOOKUP(F6Results_2026[[#This Row],[Full_Name]],tblF42023[FULL_NAME],tblF42023[DIVISION],"",0,1)</f>
        <v/>
      </c>
      <c r="AC137" s="289" t="str">
        <f>_xlfn.XLOOKUP(F6Results_2026[[#This Row],[Full_Name]],tblF42023[FULL_NAME],tblF42023[POINTS],"",0,1)</f>
        <v/>
      </c>
      <c r="AD13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3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37" s="299" t="str">
        <f>_xlfn.XLOOKUP(F6Results_2026[[#This Row],[Full_Name]],tblF22021[FULL_NAME],tblF22021[POINTS],"",0,1)</f>
        <v/>
      </c>
      <c r="AG137" s="299" t="str">
        <f>_xlfn.XLOOKUP(F6Results_2026[[#This Row],[Full_Name]],tblF42023[FULL_NAME],tblF42023[DIVISION],"",0,1)</f>
        <v/>
      </c>
      <c r="AH137" s="300" t="str">
        <f>_xlfn.XLOOKUP(F6Results_2026[[#This Row],[Full_Name]],tblF42023[FULL_NAME],tblF42023[TOTAL A''S],"",0,1)</f>
        <v/>
      </c>
      <c r="AI137" s="259"/>
    </row>
    <row r="138" spans="1:35" x14ac:dyDescent="0.3">
      <c r="A138" s="284" t="s">
        <v>211</v>
      </c>
      <c r="B138" s="296">
        <v>2026</v>
      </c>
      <c r="C138" s="285">
        <v>20130480538</v>
      </c>
      <c r="D138" s="297" t="s">
        <v>911</v>
      </c>
      <c r="E138" s="298" t="s">
        <v>194</v>
      </c>
      <c r="F138" s="298" t="s">
        <v>896</v>
      </c>
      <c r="G138" s="298" t="s">
        <v>8</v>
      </c>
      <c r="H138" s="93" cm="1">
        <f t="array" ref="H13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138" s="298" t="str">
        <f t="shared" ref="I138:I169" si="11">VLOOKUP(H138,$AO$11:$AP$17,2,TRUE)</f>
        <v>II</v>
      </c>
      <c r="J138" s="296" t="s">
        <v>94</v>
      </c>
      <c r="K138" s="296" t="s">
        <v>6</v>
      </c>
      <c r="L138" s="296"/>
      <c r="M138" s="298"/>
      <c r="N138" s="298"/>
      <c r="O138" s="298"/>
      <c r="P138" s="298"/>
      <c r="Q138" s="298" t="s">
        <v>6</v>
      </c>
      <c r="R138" s="298" t="s">
        <v>4</v>
      </c>
      <c r="S138" s="298"/>
      <c r="T138" s="298"/>
      <c r="U138" s="298" t="s">
        <v>5</v>
      </c>
      <c r="V138" s="298"/>
      <c r="W138" s="298"/>
      <c r="X138" s="298"/>
      <c r="Y138" s="298"/>
      <c r="Z138" s="296">
        <f t="array" ref="Z138">SUM(IF(K138:Y138="A",1,0), IF(K138:Y138="B",2,0), IF(K138:Y138="C",3,0), IF(K138:Y138="D",4,0), IF(K138:Y138="E",5,0), IF(K138:Y138="S",6,0), IF(K138:Y138="F",7,0))</f>
        <v>17</v>
      </c>
      <c r="AA138" s="289" t="str">
        <f>_xlfn.XLOOKUP(F6Results_2026[[#This Row],[Full_Name]],tblF42023[FULL_NAME],tblF42023[POINTS],"",0,1)</f>
        <v/>
      </c>
      <c r="AB138" s="289" t="str">
        <f>_xlfn.XLOOKUP(F6Results_2026[[#This Row],[Full_Name]],tblF42023[FULL_NAME],tblF42023[DIVISION],"",0,1)</f>
        <v/>
      </c>
      <c r="AC138" s="289" t="str">
        <f>_xlfn.XLOOKUP(F6Results_2026[[#This Row],[Full_Name]],tblF42023[FULL_NAME],tblF42023[POINTS],"",0,1)</f>
        <v/>
      </c>
      <c r="AD13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3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38" s="299" t="str">
        <f>_xlfn.XLOOKUP(F6Results_2026[[#This Row],[Full_Name]],tblF22021[FULL_NAME],tblF22021[POINTS],"",0,1)</f>
        <v/>
      </c>
      <c r="AG138" s="299" t="str">
        <f>_xlfn.XLOOKUP(F6Results_2026[[#This Row],[Full_Name]],tblF42023[FULL_NAME],tblF42023[DIVISION],"",0,1)</f>
        <v/>
      </c>
      <c r="AH138" s="300" t="str">
        <f>_xlfn.XLOOKUP(F6Results_2026[[#This Row],[Full_Name]],tblF42023[FULL_NAME],tblF42023[TOTAL A''S],"",0,1)</f>
        <v/>
      </c>
      <c r="AI138" s="259"/>
    </row>
    <row r="139" spans="1:35" x14ac:dyDescent="0.3">
      <c r="A139" s="284" t="s">
        <v>197</v>
      </c>
      <c r="B139" s="296">
        <v>2026</v>
      </c>
      <c r="C139" s="285">
        <v>20130481625</v>
      </c>
      <c r="D139" s="297" t="s">
        <v>198</v>
      </c>
      <c r="E139" s="296" t="s">
        <v>194</v>
      </c>
      <c r="F139" s="296" t="s">
        <v>896</v>
      </c>
      <c r="G139" s="296" t="s">
        <v>8</v>
      </c>
      <c r="H139" s="93" cm="1">
        <f t="array" ref="H13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39" s="298" t="str">
        <f t="shared" si="11"/>
        <v>III</v>
      </c>
      <c r="J139" s="296" t="s">
        <v>42</v>
      </c>
      <c r="K139" s="298" t="s">
        <v>5</v>
      </c>
      <c r="L139" s="298"/>
      <c r="M139" s="296"/>
      <c r="N139" s="296"/>
      <c r="O139" s="296"/>
      <c r="P139" s="296"/>
      <c r="Q139" s="296" t="s">
        <v>7</v>
      </c>
      <c r="R139" s="296" t="s">
        <v>4</v>
      </c>
      <c r="S139" s="296"/>
      <c r="T139" s="296"/>
      <c r="U139" s="296" t="s">
        <v>7</v>
      </c>
      <c r="V139" s="296"/>
      <c r="W139" s="296"/>
      <c r="X139" s="296"/>
      <c r="Y139" s="296"/>
      <c r="Z139" s="296">
        <f t="array" ref="Z139">SUM(IF(K139:Y139="A",1,0), IF(K139:Y139="B",2,0), IF(K139:Y139="C",3,0), IF(K139:Y139="D",4,0), IF(K139:Y139="E",5,0), IF(K139:Y139="S",6,0), IF(K139:Y139="F",7,0))</f>
        <v>19</v>
      </c>
      <c r="AA139" s="289">
        <f>_xlfn.XLOOKUP(F6Results_2026[[#This Row],[Full_Name]],tblF42023[FULL_NAME],tblF42023[POINTS],"",0,1)</f>
        <v>9</v>
      </c>
      <c r="AB139" s="289" t="str">
        <f>_xlfn.XLOOKUP(F6Results_2026[[#This Row],[Full_Name]],tblF42023[FULL_NAME],tblF42023[DIVISION],"",0,1)</f>
        <v>I</v>
      </c>
      <c r="AC139" s="289">
        <f>_xlfn.XLOOKUP(F6Results_2026[[#This Row],[Full_Name]],tblF42023[FULL_NAME],tblF42023[POINTS],"",0,1)</f>
        <v>9</v>
      </c>
      <c r="AD139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39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39" s="299">
        <f>_xlfn.XLOOKUP(F6Results_2026[[#This Row],[Full_Name]],tblF22021[FULL_NAME],tblF22021[POINTS],"",0,1)</f>
        <v>7</v>
      </c>
      <c r="AG139" s="299" t="str">
        <f>_xlfn.XLOOKUP(F6Results_2026[[#This Row],[Full_Name]],tblF42023[FULL_NAME],tblF42023[DIVISION],"",0,1)</f>
        <v>I</v>
      </c>
      <c r="AH139" s="300">
        <f>_xlfn.XLOOKUP(F6Results_2026[[#This Row],[Full_Name]],tblF42023[FULL_NAME],tblF42023[TOTAL A''S],"",0,1)</f>
        <v>5</v>
      </c>
      <c r="AI139" s="259"/>
    </row>
    <row r="140" spans="1:35" x14ac:dyDescent="0.3">
      <c r="A140" s="284" t="s">
        <v>239</v>
      </c>
      <c r="B140" s="296">
        <v>2026</v>
      </c>
      <c r="C140" s="285">
        <v>20130520001</v>
      </c>
      <c r="D140" s="297" t="s">
        <v>921</v>
      </c>
      <c r="E140" s="296" t="s">
        <v>240</v>
      </c>
      <c r="F140" s="296" t="s">
        <v>896</v>
      </c>
      <c r="G140" s="296" t="s">
        <v>8</v>
      </c>
      <c r="H140" s="93" cm="1">
        <f t="array" ref="H14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40" s="298" t="str">
        <f t="shared" si="11"/>
        <v>III</v>
      </c>
      <c r="J140" s="296" t="s">
        <v>94</v>
      </c>
      <c r="K140" s="298" t="s">
        <v>6</v>
      </c>
      <c r="L140" s="298" t="s">
        <v>4</v>
      </c>
      <c r="M140" s="296"/>
      <c r="N140" s="296"/>
      <c r="O140" s="296"/>
      <c r="P140" s="296"/>
      <c r="Q140" s="296" t="s">
        <v>6</v>
      </c>
      <c r="R140" s="296" t="s">
        <v>4</v>
      </c>
      <c r="S140" s="296" t="s">
        <v>8</v>
      </c>
      <c r="T140" s="296"/>
      <c r="U140" s="296"/>
      <c r="V140" s="296"/>
      <c r="W140" s="296"/>
      <c r="X140" s="296"/>
      <c r="Y140" s="296"/>
      <c r="Z140" s="296">
        <f t="array" ref="Z140">SUM(IF(K140:Y140="A",1,0), IF(K140:Y140="B",2,0), IF(K140:Y140="C",3,0), IF(K140:Y140="D",4,0), IF(K140:Y140="E",5,0), IF(K140:Y140="S",6,0), IF(K140:Y140="F",7,0))</f>
        <v>23</v>
      </c>
      <c r="AA140" s="289" t="str">
        <f>_xlfn.XLOOKUP(F6Results_2026[[#This Row],[Full_Name]],tblF42023[FULL_NAME],tblF42023[POINTS],"",0,1)</f>
        <v/>
      </c>
      <c r="AB140" s="289" t="str">
        <f>_xlfn.XLOOKUP(F6Results_2026[[#This Row],[Full_Name]],tblF42023[FULL_NAME],tblF42023[DIVISION],"",0,1)</f>
        <v/>
      </c>
      <c r="AC140" s="289" t="str">
        <f>_xlfn.XLOOKUP(F6Results_2026[[#This Row],[Full_Name]],tblF42023[FULL_NAME],tblF42023[POINTS],"",0,1)</f>
        <v/>
      </c>
      <c r="AD14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0" s="299" t="str">
        <f>_xlfn.XLOOKUP(F6Results_2026[[#This Row],[Full_Name]],tblF22021[FULL_NAME],tblF22021[POINTS],"",0,1)</f>
        <v/>
      </c>
      <c r="AG140" s="299" t="str">
        <f>_xlfn.XLOOKUP(F6Results_2026[[#This Row],[Full_Name]],tblF42023[FULL_NAME],tblF42023[DIVISION],"",0,1)</f>
        <v/>
      </c>
      <c r="AH140" s="300" t="str">
        <f>_xlfn.XLOOKUP(F6Results_2026[[#This Row],[Full_Name]],tblF42023[FULL_NAME],tblF42023[TOTAL A''S],"",0,1)</f>
        <v/>
      </c>
      <c r="AI140" s="259"/>
    </row>
    <row r="141" spans="1:35" x14ac:dyDescent="0.3">
      <c r="A141" s="284" t="s">
        <v>301</v>
      </c>
      <c r="B141" s="296">
        <v>2026</v>
      </c>
      <c r="C141" s="285">
        <v>20130541658</v>
      </c>
      <c r="D141" s="297" t="s">
        <v>951</v>
      </c>
      <c r="E141" s="298" t="s">
        <v>240</v>
      </c>
      <c r="F141" s="298" t="s">
        <v>896</v>
      </c>
      <c r="G141" s="298" t="s">
        <v>84</v>
      </c>
      <c r="H141" s="93" cm="1">
        <f t="array" ref="H14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41" s="298" t="str">
        <f t="shared" si="11"/>
        <v>II</v>
      </c>
      <c r="J141" s="296" t="s">
        <v>94</v>
      </c>
      <c r="K141" s="296" t="s">
        <v>6</v>
      </c>
      <c r="L141" s="296" t="s">
        <v>7</v>
      </c>
      <c r="M141" s="298"/>
      <c r="N141" s="298"/>
      <c r="O141" s="298"/>
      <c r="P141" s="298"/>
      <c r="Q141" s="298" t="s">
        <v>5</v>
      </c>
      <c r="R141" s="298" t="s">
        <v>4</v>
      </c>
      <c r="S141" s="298" t="s">
        <v>4</v>
      </c>
      <c r="T141" s="298"/>
      <c r="U141" s="298"/>
      <c r="V141" s="298"/>
      <c r="W141" s="298"/>
      <c r="X141" s="298"/>
      <c r="Y141" s="298"/>
      <c r="Z141" s="296">
        <f t="array" ref="Z141">SUM(IF(K141:Y141="A",1,0), IF(K141:Y141="B",2,0), IF(K141:Y141="C",3,0), IF(K141:Y141="D",4,0), IF(K141:Y141="E",5,0), IF(K141:Y141="S",6,0), IF(K141:Y141="F",7,0))</f>
        <v>21</v>
      </c>
      <c r="AA141" s="289" t="str">
        <f>_xlfn.XLOOKUP(F6Results_2026[[#This Row],[Full_Name]],tblF42023[FULL_NAME],tblF42023[POINTS],"",0,1)</f>
        <v/>
      </c>
      <c r="AB141" s="289" t="str">
        <f>_xlfn.XLOOKUP(F6Results_2026[[#This Row],[Full_Name]],tblF42023[FULL_NAME],tblF42023[DIVISION],"",0,1)</f>
        <v/>
      </c>
      <c r="AC141" s="289" t="str">
        <f>_xlfn.XLOOKUP(F6Results_2026[[#This Row],[Full_Name]],tblF42023[FULL_NAME],tblF42023[POINTS],"",0,1)</f>
        <v/>
      </c>
      <c r="AD14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1" s="299" t="str">
        <f>_xlfn.XLOOKUP(F6Results_2026[[#This Row],[Full_Name]],tblF22021[FULL_NAME],tblF22021[POINTS],"",0,1)</f>
        <v/>
      </c>
      <c r="AG141" s="299" t="str">
        <f>_xlfn.XLOOKUP(F6Results_2026[[#This Row],[Full_Name]],tblF42023[FULL_NAME],tblF42023[DIVISION],"",0,1)</f>
        <v/>
      </c>
      <c r="AH141" s="300" t="str">
        <f>_xlfn.XLOOKUP(F6Results_2026[[#This Row],[Full_Name]],tblF42023[FULL_NAME],tblF42023[TOTAL A''S],"",0,1)</f>
        <v/>
      </c>
      <c r="AI141" s="259"/>
    </row>
    <row r="142" spans="1:35" x14ac:dyDescent="0.3">
      <c r="A142" s="284" t="s">
        <v>243</v>
      </c>
      <c r="B142" s="296">
        <v>2026</v>
      </c>
      <c r="C142" s="285">
        <v>20130541915</v>
      </c>
      <c r="D142" s="297" t="s">
        <v>922</v>
      </c>
      <c r="E142" s="296" t="s">
        <v>240</v>
      </c>
      <c r="F142" s="296" t="s">
        <v>896</v>
      </c>
      <c r="G142" s="296" t="s">
        <v>8</v>
      </c>
      <c r="H142" s="93" cm="1">
        <f t="array" ref="H14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42" s="298" t="str">
        <f t="shared" si="11"/>
        <v>II</v>
      </c>
      <c r="J142" s="296" t="s">
        <v>94</v>
      </c>
      <c r="K142" s="298" t="s">
        <v>8</v>
      </c>
      <c r="L142" s="298" t="s">
        <v>6</v>
      </c>
      <c r="M142" s="296"/>
      <c r="N142" s="296"/>
      <c r="O142" s="296"/>
      <c r="P142" s="296"/>
      <c r="Q142" s="296" t="s">
        <v>5</v>
      </c>
      <c r="R142" s="296" t="s">
        <v>5</v>
      </c>
      <c r="S142" s="296" t="s">
        <v>4</v>
      </c>
      <c r="T142" s="296"/>
      <c r="U142" s="296"/>
      <c r="V142" s="296"/>
      <c r="W142" s="296"/>
      <c r="X142" s="296"/>
      <c r="Y142" s="296"/>
      <c r="Z142" s="296">
        <f t="array" ref="Z142">SUM(IF(K142:Y142="A",1,0), IF(K142:Y142="B",2,0), IF(K142:Y142="C",3,0), IF(K142:Y142="D",4,0), IF(K142:Y142="E",5,0), IF(K142:Y142="S",6,0), IF(K142:Y142="F",7,0))</f>
        <v>23</v>
      </c>
      <c r="AA142" s="289" t="str">
        <f>_xlfn.XLOOKUP(F6Results_2026[[#This Row],[Full_Name]],tblF42023[FULL_NAME],tblF42023[POINTS],"",0,1)</f>
        <v/>
      </c>
      <c r="AB142" s="289" t="str">
        <f>_xlfn.XLOOKUP(F6Results_2026[[#This Row],[Full_Name]],tblF42023[FULL_NAME],tblF42023[DIVISION],"",0,1)</f>
        <v/>
      </c>
      <c r="AC142" s="289" t="str">
        <f>_xlfn.XLOOKUP(F6Results_2026[[#This Row],[Full_Name]],tblF42023[FULL_NAME],tblF42023[POINTS],"",0,1)</f>
        <v/>
      </c>
      <c r="AD14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2" s="299" t="str">
        <f>_xlfn.XLOOKUP(F6Results_2026[[#This Row],[Full_Name]],tblF22021[FULL_NAME],tblF22021[POINTS],"",0,1)</f>
        <v/>
      </c>
      <c r="AG142" s="299" t="str">
        <f>_xlfn.XLOOKUP(F6Results_2026[[#This Row],[Full_Name]],tblF42023[FULL_NAME],tblF42023[DIVISION],"",0,1)</f>
        <v/>
      </c>
      <c r="AH142" s="300" t="str">
        <f>_xlfn.XLOOKUP(F6Results_2026[[#This Row],[Full_Name]],tblF42023[FULL_NAME],tblF42023[TOTAL A''S],"",0,1)</f>
        <v/>
      </c>
      <c r="AI142" s="259"/>
    </row>
    <row r="143" spans="1:35" x14ac:dyDescent="0.3">
      <c r="A143" s="284" t="s">
        <v>286</v>
      </c>
      <c r="B143" s="296">
        <v>2026</v>
      </c>
      <c r="C143" s="285">
        <v>20130546105</v>
      </c>
      <c r="D143" s="297" t="s">
        <v>941</v>
      </c>
      <c r="E143" s="298" t="s">
        <v>240</v>
      </c>
      <c r="F143" s="298" t="s">
        <v>896</v>
      </c>
      <c r="G143" s="298" t="s">
        <v>84</v>
      </c>
      <c r="H143" s="93" cm="1">
        <f t="array" ref="H14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143" s="298" t="str">
        <f t="shared" si="11"/>
        <v>O</v>
      </c>
      <c r="J143" s="296" t="s">
        <v>94</v>
      </c>
      <c r="K143" s="296" t="s">
        <v>6</v>
      </c>
      <c r="L143" s="296" t="s">
        <v>3</v>
      </c>
      <c r="M143" s="298"/>
      <c r="N143" s="298"/>
      <c r="O143" s="298"/>
      <c r="P143" s="298"/>
      <c r="Q143" s="298" t="s">
        <v>8</v>
      </c>
      <c r="R143" s="298" t="s">
        <v>8</v>
      </c>
      <c r="S143" s="298" t="s">
        <v>8</v>
      </c>
      <c r="T143" s="298"/>
      <c r="U143" s="298"/>
      <c r="V143" s="298"/>
      <c r="W143" s="298"/>
      <c r="X143" s="298"/>
      <c r="Y143" s="298"/>
      <c r="Z143" s="296">
        <f t="array" ref="Z143">SUM(IF(K143:Y143="A",1,0), IF(K143:Y143="B",2,0), IF(K143:Y143="C",3,0), IF(K143:Y143="D",4,0), IF(K143:Y143="E",5,0), IF(K143:Y143="S",6,0), IF(K143:Y143="F",7,0))</f>
        <v>28</v>
      </c>
      <c r="AA143" s="289" t="str">
        <f>_xlfn.XLOOKUP(F6Results_2026[[#This Row],[Full_Name]],tblF42023[FULL_NAME],tblF42023[POINTS],"",0,1)</f>
        <v/>
      </c>
      <c r="AB143" s="289" t="str">
        <f>_xlfn.XLOOKUP(F6Results_2026[[#This Row],[Full_Name]],tblF42023[FULL_NAME],tblF42023[DIVISION],"",0,1)</f>
        <v/>
      </c>
      <c r="AC143" s="289" t="str">
        <f>_xlfn.XLOOKUP(F6Results_2026[[#This Row],[Full_Name]],tblF42023[FULL_NAME],tblF42023[POINTS],"",0,1)</f>
        <v/>
      </c>
      <c r="AD14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3" s="299" t="str">
        <f>_xlfn.XLOOKUP(F6Results_2026[[#This Row],[Full_Name]],tblF22021[FULL_NAME],tblF22021[POINTS],"",0,1)</f>
        <v/>
      </c>
      <c r="AG143" s="299" t="str">
        <f>_xlfn.XLOOKUP(F6Results_2026[[#This Row],[Full_Name]],tblF42023[FULL_NAME],tblF42023[DIVISION],"",0,1)</f>
        <v/>
      </c>
      <c r="AH143" s="300" t="str">
        <f>_xlfn.XLOOKUP(F6Results_2026[[#This Row],[Full_Name]],tblF42023[FULL_NAME],tblF42023[TOTAL A''S],"",0,1)</f>
        <v/>
      </c>
      <c r="AI143" s="259"/>
    </row>
    <row r="144" spans="1:35" x14ac:dyDescent="0.3">
      <c r="A144" s="284" t="s">
        <v>291</v>
      </c>
      <c r="B144" s="296">
        <v>2026</v>
      </c>
      <c r="C144" s="285">
        <v>20130562692</v>
      </c>
      <c r="D144" s="297" t="s">
        <v>945</v>
      </c>
      <c r="E144" s="298" t="s">
        <v>240</v>
      </c>
      <c r="F144" s="298" t="s">
        <v>896</v>
      </c>
      <c r="G144" s="298" t="s">
        <v>84</v>
      </c>
      <c r="H144" s="93" cm="1">
        <f t="array" ref="H14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44" s="298" t="str">
        <f t="shared" si="11"/>
        <v>I</v>
      </c>
      <c r="J144" s="296" t="s">
        <v>94</v>
      </c>
      <c r="K144" s="296" t="s">
        <v>6</v>
      </c>
      <c r="L144" s="296" t="s">
        <v>6</v>
      </c>
      <c r="M144" s="298"/>
      <c r="N144" s="298"/>
      <c r="O144" s="298"/>
      <c r="P144" s="298"/>
      <c r="Q144" s="298" t="s">
        <v>4</v>
      </c>
      <c r="R144" s="298" t="s">
        <v>4</v>
      </c>
      <c r="S144" s="298" t="s">
        <v>4</v>
      </c>
      <c r="T144" s="298"/>
      <c r="U144" s="298"/>
      <c r="V144" s="298"/>
      <c r="W144" s="298"/>
      <c r="X144" s="298"/>
      <c r="Y144" s="298"/>
      <c r="Z144" s="296">
        <f t="array" ref="Z144">SUM(IF(K144:Y144="A",1,0), IF(K144:Y144="B",2,0), IF(K144:Y144="C",3,0), IF(K144:Y144="D",4,0), IF(K144:Y144="E",5,0), IF(K144:Y144="S",6,0), IF(K144:Y144="F",7,0))</f>
        <v>19</v>
      </c>
      <c r="AA144" s="289" t="str">
        <f>_xlfn.XLOOKUP(F6Results_2026[[#This Row],[Full_Name]],tblF42023[FULL_NAME],tblF42023[POINTS],"",0,1)</f>
        <v/>
      </c>
      <c r="AB144" s="289" t="str">
        <f>_xlfn.XLOOKUP(F6Results_2026[[#This Row],[Full_Name]],tblF42023[FULL_NAME],tblF42023[DIVISION],"",0,1)</f>
        <v/>
      </c>
      <c r="AC144" s="289" t="str">
        <f>_xlfn.XLOOKUP(F6Results_2026[[#This Row],[Full_Name]],tblF42023[FULL_NAME],tblF42023[POINTS],"",0,1)</f>
        <v/>
      </c>
      <c r="AD144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4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4" s="299" t="str">
        <f>_xlfn.XLOOKUP(F6Results_2026[[#This Row],[Full_Name]],tblF22021[FULL_NAME],tblF22021[POINTS],"",0,1)</f>
        <v/>
      </c>
      <c r="AG144" s="299" t="str">
        <f>_xlfn.XLOOKUP(F6Results_2026[[#This Row],[Full_Name]],tblF42023[FULL_NAME],tblF42023[DIVISION],"",0,1)</f>
        <v/>
      </c>
      <c r="AH144" s="300" t="str">
        <f>_xlfn.XLOOKUP(F6Results_2026[[#This Row],[Full_Name]],tblF42023[FULL_NAME],tblF42023[TOTAL A''S],"",0,1)</f>
        <v/>
      </c>
      <c r="AI144" s="259"/>
    </row>
    <row r="145" spans="1:35" x14ac:dyDescent="0.3">
      <c r="A145" s="284" t="s">
        <v>164</v>
      </c>
      <c r="B145" s="296">
        <v>2026</v>
      </c>
      <c r="C145" s="285">
        <v>20130565452</v>
      </c>
      <c r="D145" s="297" t="s">
        <v>165</v>
      </c>
      <c r="E145" s="296" t="s">
        <v>139</v>
      </c>
      <c r="F145" s="296" t="s">
        <v>895</v>
      </c>
      <c r="G145" s="296" t="s">
        <v>84</v>
      </c>
      <c r="H145" s="93" cm="1">
        <f t="array" ref="H14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45" s="298" t="str">
        <f t="shared" si="11"/>
        <v>III</v>
      </c>
      <c r="J145" s="296" t="s">
        <v>42</v>
      </c>
      <c r="K145" s="298" t="s">
        <v>6</v>
      </c>
      <c r="L145" s="298"/>
      <c r="M145" s="296"/>
      <c r="N145" s="296" t="s">
        <v>5</v>
      </c>
      <c r="O145" s="296"/>
      <c r="P145" s="296"/>
      <c r="Q145" s="296"/>
      <c r="R145" s="296"/>
      <c r="S145" s="296"/>
      <c r="T145" s="296"/>
      <c r="U145" s="298" t="s">
        <v>6</v>
      </c>
      <c r="V145" s="296"/>
      <c r="W145" s="296" t="s">
        <v>5</v>
      </c>
      <c r="X145" s="296"/>
      <c r="Y145" s="296"/>
      <c r="Z145" s="296">
        <f t="array" ref="Z145">SUM(IF(K145:Y145="A",1,0), IF(K145:Y145="B",2,0), IF(K145:Y145="C",3,0), IF(K145:Y145="D",4,0), IF(K145:Y145="E",5,0), IF(K145:Y145="S",6,0), IF(K145:Y145="F",7,0))</f>
        <v>18</v>
      </c>
      <c r="AA145" s="289">
        <f>_xlfn.XLOOKUP(F6Results_2026[[#This Row],[Full_Name]],tblF42023[FULL_NAME],tblF42023[POINTS],"",0,1)</f>
        <v>14</v>
      </c>
      <c r="AB145" s="289" t="str">
        <f>_xlfn.XLOOKUP(F6Results_2026[[#This Row],[Full_Name]],tblF42023[FULL_NAME],tblF42023[DIVISION],"",0,1)</f>
        <v>I</v>
      </c>
      <c r="AC145" s="289">
        <f>_xlfn.XLOOKUP(F6Results_2026[[#This Row],[Full_Name]],tblF42023[FULL_NAME],tblF42023[POINTS],"",0,1)</f>
        <v>14</v>
      </c>
      <c r="AD14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4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45" s="299">
        <f>_xlfn.XLOOKUP(F6Results_2026[[#This Row],[Full_Name]],tblF22021[FULL_NAME],tblF22021[POINTS],"",0,1)</f>
        <v>8</v>
      </c>
      <c r="AG145" s="299" t="str">
        <f>_xlfn.XLOOKUP(F6Results_2026[[#This Row],[Full_Name]],tblF42023[FULL_NAME],tblF42023[DIVISION],"",0,1)</f>
        <v>I</v>
      </c>
      <c r="AH145" s="300">
        <f>_xlfn.XLOOKUP(F6Results_2026[[#This Row],[Full_Name]],tblF42023[FULL_NAME],tblF42023[TOTAL A''S],"",0,1)</f>
        <v>1</v>
      </c>
      <c r="AI145" s="259"/>
    </row>
    <row r="146" spans="1:35" x14ac:dyDescent="0.3">
      <c r="A146" s="301" t="s">
        <v>966</v>
      </c>
      <c r="B146" s="299">
        <v>2026</v>
      </c>
      <c r="C146" s="299">
        <v>20130565484</v>
      </c>
      <c r="D146" s="297" t="s">
        <v>331</v>
      </c>
      <c r="E146" s="299" t="s">
        <v>289</v>
      </c>
      <c r="F146" s="299" t="s">
        <v>896</v>
      </c>
      <c r="G146" s="299" t="s">
        <v>84</v>
      </c>
      <c r="H146" s="93" cm="1">
        <f t="array" ref="H14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46" s="289" t="str">
        <f t="shared" si="11"/>
        <v>III</v>
      </c>
      <c r="J146" s="296" t="s">
        <v>42</v>
      </c>
      <c r="K146" s="289" t="s">
        <v>6</v>
      </c>
      <c r="L146" s="289" t="s">
        <v>8</v>
      </c>
      <c r="M146" s="299"/>
      <c r="N146" s="299"/>
      <c r="O146" s="299"/>
      <c r="P146" s="299"/>
      <c r="Q146" s="299"/>
      <c r="R146" s="299" t="s">
        <v>5</v>
      </c>
      <c r="S146" s="299" t="s">
        <v>8</v>
      </c>
      <c r="T146" s="299" t="s">
        <v>4</v>
      </c>
      <c r="U146" s="299"/>
      <c r="V146" s="299"/>
      <c r="W146" s="299"/>
      <c r="X146" s="299"/>
      <c r="Y146" s="299"/>
      <c r="Z146" s="299"/>
      <c r="AA146" s="302">
        <f>_xlfn.XLOOKUP(F6Results_2026[[#This Row],[Full_Name]],tblF42023[FULL_NAME],tblF42023[POINTS],"",0,1)</f>
        <v>7</v>
      </c>
      <c r="AB146" s="302" t="str">
        <f>_xlfn.XLOOKUP(F6Results_2026[[#This Row],[Full_Name]],tblF42023[FULL_NAME],tblF42023[DIVISION],"",0,1)</f>
        <v>I</v>
      </c>
      <c r="AC146" s="302">
        <f>_xlfn.XLOOKUP(F6Results_2026[[#This Row],[Full_Name]],tblF42023[FULL_NAME],tblF42023[POINTS],"",0,1)</f>
        <v>7</v>
      </c>
      <c r="AD146" s="303">
        <f>IFERROR(
   INDEX(tblF42023[[HKL]:[CBA]],
         MATCH(F6Results_2026[[#This Row],[Full_Name]], tblF42023[FULL_NAME], 0),
         MATCH(F6Results_2026[[#This Row],[Comb]], tblF42023[[#Headers],[HKL]:[CBA]], 0)
   ),
   ""
)</f>
        <v>4</v>
      </c>
      <c r="AE146" s="303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46" s="304">
        <f>_xlfn.XLOOKUP(F6Results_2026[[#This Row],[Full_Name]],tblF22021[FULL_NAME],tblF22021[POINTS],"",0,1)</f>
        <v>7</v>
      </c>
      <c r="AG146" s="304" t="str">
        <f>_xlfn.XLOOKUP(F6Results_2026[[#This Row],[Full_Name]],tblF42023[FULL_NAME],tblF42023[DIVISION],"",0,1)</f>
        <v>I</v>
      </c>
      <c r="AH146" s="305">
        <f>_xlfn.XLOOKUP(F6Results_2026[[#This Row],[Full_Name]],tblF42023[FULL_NAME],tblF42023[TOTAL A''S],"",0,1)</f>
        <v>7</v>
      </c>
      <c r="AI146" s="259"/>
    </row>
    <row r="147" spans="1:35" x14ac:dyDescent="0.3">
      <c r="A147" s="284" t="s">
        <v>100</v>
      </c>
      <c r="B147" s="296">
        <v>2026</v>
      </c>
      <c r="C147" s="285">
        <v>20130565601</v>
      </c>
      <c r="D147" s="297" t="s">
        <v>900</v>
      </c>
      <c r="E147" s="298" t="s">
        <v>40</v>
      </c>
      <c r="F147" s="298" t="s">
        <v>41</v>
      </c>
      <c r="G147" s="298" t="s">
        <v>8</v>
      </c>
      <c r="H147" s="93" cm="1">
        <f t="array" ref="H14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47" s="298" t="str">
        <f t="shared" si="11"/>
        <v>I</v>
      </c>
      <c r="J147" s="296" t="s">
        <v>94</v>
      </c>
      <c r="K147" s="298" t="s">
        <v>5</v>
      </c>
      <c r="L147" s="298"/>
      <c r="M147" s="298" t="s">
        <v>4</v>
      </c>
      <c r="N147" s="298" t="s">
        <v>4</v>
      </c>
      <c r="O147" s="298" t="s">
        <v>2</v>
      </c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6">
        <f t="array" ref="Z147">SUM(IF(K147:Y147="A",1,0), IF(K147:Y147="B",2,0), IF(K147:Y147="C",3,0), IF(K147:Y147="D",4,0), IF(K147:Y147="E",5,0), IF(K147:Y147="S",6,0), IF(K147:Y147="F",7,0))</f>
        <v>11</v>
      </c>
      <c r="AA147" s="289" t="str">
        <f>_xlfn.XLOOKUP(F6Results_2026[[#This Row],[Full_Name]],tblF42023[FULL_NAME],tblF42023[POINTS],"",0,1)</f>
        <v/>
      </c>
      <c r="AB147" s="289" t="str">
        <f>_xlfn.XLOOKUP(F6Results_2026[[#This Row],[Full_Name]],tblF42023[FULL_NAME],tblF42023[DIVISION],"",0,1)</f>
        <v/>
      </c>
      <c r="AC147" s="289" t="str">
        <f>_xlfn.XLOOKUP(F6Results_2026[[#This Row],[Full_Name]],tblF42023[FULL_NAME],tblF42023[POINTS],"",0,1)</f>
        <v/>
      </c>
      <c r="AD14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7" s="299" t="str">
        <f>_xlfn.XLOOKUP(F6Results_2026[[#This Row],[Full_Name]],tblF22021[FULL_NAME],tblF22021[POINTS],"",0,1)</f>
        <v/>
      </c>
      <c r="AG147" s="299" t="str">
        <f>_xlfn.XLOOKUP(F6Results_2026[[#This Row],[Full_Name]],tblF42023[FULL_NAME],tblF42023[DIVISION],"",0,1)</f>
        <v/>
      </c>
      <c r="AH147" s="300" t="str">
        <f>_xlfn.XLOOKUP(F6Results_2026[[#This Row],[Full_Name]],tblF42023[FULL_NAME],tblF42023[TOTAL A''S],"",0,1)</f>
        <v/>
      </c>
      <c r="AI147" s="259"/>
    </row>
    <row r="148" spans="1:35" x14ac:dyDescent="0.3">
      <c r="A148" s="301" t="s">
        <v>979</v>
      </c>
      <c r="B148" s="299">
        <v>2026</v>
      </c>
      <c r="C148" s="299">
        <v>20130565732</v>
      </c>
      <c r="D148" s="297" t="s">
        <v>337</v>
      </c>
      <c r="E148" s="299" t="s">
        <v>978</v>
      </c>
      <c r="F148" s="299" t="s">
        <v>896</v>
      </c>
      <c r="G148" s="299" t="s">
        <v>8</v>
      </c>
      <c r="H148" s="93" cm="1">
        <f t="array" ref="H14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48" s="289" t="str">
        <f t="shared" si="11"/>
        <v>III</v>
      </c>
      <c r="J148" s="296" t="s">
        <v>42</v>
      </c>
      <c r="K148" s="289" t="s">
        <v>6</v>
      </c>
      <c r="L148" s="289"/>
      <c r="M148" s="299"/>
      <c r="N148" s="299"/>
      <c r="O148" s="299"/>
      <c r="P148" s="299"/>
      <c r="Q148" s="299" t="s">
        <v>5</v>
      </c>
      <c r="R148" s="299"/>
      <c r="S148" s="299"/>
      <c r="T148" s="299"/>
      <c r="U148" s="299" t="s">
        <v>8</v>
      </c>
      <c r="V148" s="299" t="s">
        <v>5</v>
      </c>
      <c r="W148" s="299"/>
      <c r="X148" s="299"/>
      <c r="Y148" s="299"/>
      <c r="Z148" s="299"/>
      <c r="AA148" s="302">
        <f>_xlfn.XLOOKUP(F6Results_2026[[#This Row],[Full_Name]],tblF42023[FULL_NAME],tblF42023[POINTS],"",0,1)</f>
        <v>9</v>
      </c>
      <c r="AB148" s="302" t="str">
        <f>_xlfn.XLOOKUP(F6Results_2026[[#This Row],[Full_Name]],tblF42023[FULL_NAME],tblF42023[DIVISION],"",0,1)</f>
        <v>I</v>
      </c>
      <c r="AC148" s="302">
        <f>_xlfn.XLOOKUP(F6Results_2026[[#This Row],[Full_Name]],tblF42023[FULL_NAME],tblF42023[POINTS],"",0,1)</f>
        <v>9</v>
      </c>
      <c r="AD148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8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48" s="304">
        <f>_xlfn.XLOOKUP(F6Results_2026[[#This Row],[Full_Name]],tblF22021[FULL_NAME],tblF22021[POINTS],"",0,1)</f>
        <v>7</v>
      </c>
      <c r="AG148" s="304" t="str">
        <f>_xlfn.XLOOKUP(F6Results_2026[[#This Row],[Full_Name]],tblF42023[FULL_NAME],tblF42023[DIVISION],"",0,1)</f>
        <v>I</v>
      </c>
      <c r="AH148" s="305">
        <f>_xlfn.XLOOKUP(F6Results_2026[[#This Row],[Full_Name]],tblF42023[FULL_NAME],tblF42023[TOTAL A''S],"",0,1)</f>
        <v>5</v>
      </c>
      <c r="AI148" s="259"/>
    </row>
    <row r="149" spans="1:35" x14ac:dyDescent="0.3">
      <c r="A149" s="284" t="s">
        <v>285</v>
      </c>
      <c r="B149" s="296">
        <v>2026</v>
      </c>
      <c r="C149" s="285">
        <v>20130576402</v>
      </c>
      <c r="D149" s="297" t="s">
        <v>940</v>
      </c>
      <c r="E149" s="296" t="s">
        <v>240</v>
      </c>
      <c r="F149" s="296" t="s">
        <v>896</v>
      </c>
      <c r="G149" s="296" t="s">
        <v>84</v>
      </c>
      <c r="H149" s="93" cm="1">
        <f t="array" ref="H14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49" s="298" t="str">
        <f t="shared" si="11"/>
        <v>III</v>
      </c>
      <c r="J149" s="296" t="s">
        <v>94</v>
      </c>
      <c r="K149" s="298" t="s">
        <v>8</v>
      </c>
      <c r="L149" s="298" t="s">
        <v>5</v>
      </c>
      <c r="M149" s="296"/>
      <c r="N149" s="296"/>
      <c r="O149" s="296"/>
      <c r="P149" s="296"/>
      <c r="Q149" s="296" t="s">
        <v>4</v>
      </c>
      <c r="R149" s="296" t="s">
        <v>4</v>
      </c>
      <c r="S149" s="296" t="s">
        <v>8</v>
      </c>
      <c r="T149" s="296"/>
      <c r="U149" s="296"/>
      <c r="V149" s="296"/>
      <c r="W149" s="296"/>
      <c r="X149" s="296"/>
      <c r="Y149" s="296"/>
      <c r="Z149" s="296">
        <f t="array" ref="Z149">SUM(IF(K149:Y149="A",1,0), IF(K149:Y149="B",2,0), IF(K149:Y149="C",3,0), IF(K149:Y149="D",4,0), IF(K149:Y149="E",5,0), IF(K149:Y149="S",6,0), IF(K149:Y149="F",7,0))</f>
        <v>24</v>
      </c>
      <c r="AA149" s="289" t="str">
        <f>_xlfn.XLOOKUP(F6Results_2026[[#This Row],[Full_Name]],tblF42023[FULL_NAME],tblF42023[POINTS],"",0,1)</f>
        <v/>
      </c>
      <c r="AB149" s="289" t="str">
        <f>_xlfn.XLOOKUP(F6Results_2026[[#This Row],[Full_Name]],tblF42023[FULL_NAME],tblF42023[DIVISION],"",0,1)</f>
        <v/>
      </c>
      <c r="AC149" s="289" t="str">
        <f>_xlfn.XLOOKUP(F6Results_2026[[#This Row],[Full_Name]],tblF42023[FULL_NAME],tblF42023[POINTS],"",0,1)</f>
        <v/>
      </c>
      <c r="AD149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49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49" s="299" t="str">
        <f>_xlfn.XLOOKUP(F6Results_2026[[#This Row],[Full_Name]],tblF22021[FULL_NAME],tblF22021[POINTS],"",0,1)</f>
        <v/>
      </c>
      <c r="AG149" s="299" t="str">
        <f>_xlfn.XLOOKUP(F6Results_2026[[#This Row],[Full_Name]],tblF42023[FULL_NAME],tblF42023[DIVISION],"",0,1)</f>
        <v/>
      </c>
      <c r="AH149" s="300" t="str">
        <f>_xlfn.XLOOKUP(F6Results_2026[[#This Row],[Full_Name]],tblF42023[FULL_NAME],tblF42023[TOTAL A''S],"",0,1)</f>
        <v/>
      </c>
      <c r="AI149" s="259"/>
    </row>
    <row r="150" spans="1:35" x14ac:dyDescent="0.3">
      <c r="A150" s="284" t="s">
        <v>266</v>
      </c>
      <c r="B150" s="296">
        <v>2026</v>
      </c>
      <c r="C150" s="285">
        <v>20130592324</v>
      </c>
      <c r="D150" s="297" t="s">
        <v>267</v>
      </c>
      <c r="E150" s="296" t="s">
        <v>240</v>
      </c>
      <c r="F150" s="296" t="s">
        <v>896</v>
      </c>
      <c r="G150" s="296" t="s">
        <v>8</v>
      </c>
      <c r="H150" s="93" cm="1">
        <f t="array" ref="H15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50" s="298" t="str">
        <f t="shared" si="11"/>
        <v>II</v>
      </c>
      <c r="J150" s="296" t="s">
        <v>94</v>
      </c>
      <c r="K150" s="298" t="s">
        <v>6</v>
      </c>
      <c r="L150" s="298" t="s">
        <v>8</v>
      </c>
      <c r="M150" s="296"/>
      <c r="N150" s="296"/>
      <c r="O150" s="296"/>
      <c r="P150" s="296"/>
      <c r="Q150" s="296" t="s">
        <v>6</v>
      </c>
      <c r="R150" s="296" t="s">
        <v>4</v>
      </c>
      <c r="S150" s="296" t="s">
        <v>4</v>
      </c>
      <c r="T150" s="296"/>
      <c r="U150" s="296"/>
      <c r="V150" s="296"/>
      <c r="W150" s="296"/>
      <c r="X150" s="296"/>
      <c r="Y150" s="296"/>
      <c r="Z150" s="296">
        <f t="array" ref="Z150">SUM(IF(K150:Y150="A",1,0), IF(K150:Y150="B",2,0), IF(K150:Y150="C",3,0), IF(K150:Y150="D",4,0), IF(K150:Y150="E",5,0), IF(K150:Y150="S",6,0), IF(K150:Y150="F",7,0))</f>
        <v>23</v>
      </c>
      <c r="AA150" s="289">
        <f>_xlfn.XLOOKUP(F6Results_2026[[#This Row],[Full_Name]],tblF42023[FULL_NAME],tblF42023[POINTS],"",0,1)</f>
        <v>16</v>
      </c>
      <c r="AB150" s="289" t="str">
        <f>_xlfn.XLOOKUP(F6Results_2026[[#This Row],[Full_Name]],tblF42023[FULL_NAME],tblF42023[DIVISION],"",0,1)</f>
        <v>I</v>
      </c>
      <c r="AC150" s="289">
        <f>_xlfn.XLOOKUP(F6Results_2026[[#This Row],[Full_Name]],tblF42023[FULL_NAME],tblF42023[POINTS],"",0,1)</f>
        <v>16</v>
      </c>
      <c r="AD15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0" s="299" t="str">
        <f>_xlfn.XLOOKUP(F6Results_2026[[#This Row],[Full_Name]],tblF22021[FULL_NAME],tblF22021[POINTS],"",0,1)</f>
        <v/>
      </c>
      <c r="AG150" s="299" t="str">
        <f>_xlfn.XLOOKUP(F6Results_2026[[#This Row],[Full_Name]],tblF42023[FULL_NAME],tblF42023[DIVISION],"",0,1)</f>
        <v>I</v>
      </c>
      <c r="AH150" s="300">
        <f>_xlfn.XLOOKUP(F6Results_2026[[#This Row],[Full_Name]],tblF42023[FULL_NAME],tblF42023[TOTAL A''S],"",0,1)</f>
        <v>2</v>
      </c>
      <c r="AI150" s="259"/>
    </row>
    <row r="151" spans="1:35" x14ac:dyDescent="0.3">
      <c r="A151" s="284" t="s">
        <v>244</v>
      </c>
      <c r="B151" s="296">
        <v>2026</v>
      </c>
      <c r="C151" s="285">
        <v>20130613921</v>
      </c>
      <c r="D151" s="297" t="s">
        <v>923</v>
      </c>
      <c r="E151" s="298" t="s">
        <v>240</v>
      </c>
      <c r="F151" s="298" t="s">
        <v>896</v>
      </c>
      <c r="G151" s="298" t="s">
        <v>8</v>
      </c>
      <c r="H151" s="93" cm="1">
        <f t="array" ref="H15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51" s="298" t="str">
        <f t="shared" si="11"/>
        <v>III</v>
      </c>
      <c r="J151" s="296" t="s">
        <v>94</v>
      </c>
      <c r="K151" s="296" t="s">
        <v>8</v>
      </c>
      <c r="L151" s="296" t="s">
        <v>4</v>
      </c>
      <c r="M151" s="298"/>
      <c r="N151" s="298"/>
      <c r="O151" s="298"/>
      <c r="P151" s="298"/>
      <c r="Q151" s="298" t="s">
        <v>5</v>
      </c>
      <c r="R151" s="298" t="s">
        <v>4</v>
      </c>
      <c r="S151" s="298" t="s">
        <v>8</v>
      </c>
      <c r="T151" s="298"/>
      <c r="U151" s="298"/>
      <c r="V151" s="298"/>
      <c r="W151" s="298"/>
      <c r="X151" s="298"/>
      <c r="Y151" s="298"/>
      <c r="Z151" s="296">
        <f t="array" ref="Z151">SUM(IF(K151:Y151="A",1,0), IF(K151:Y151="B",2,0), IF(K151:Y151="C",3,0), IF(K151:Y151="D",4,0), IF(K151:Y151="E",5,0), IF(K151:Y151="S",6,0), IF(K151:Y151="F",7,0))</f>
        <v>24</v>
      </c>
      <c r="AA151" s="289" t="str">
        <f>_xlfn.XLOOKUP(F6Results_2026[[#This Row],[Full_Name]],tblF42023[FULL_NAME],tblF42023[POINTS],"",0,1)</f>
        <v/>
      </c>
      <c r="AB151" s="289" t="str">
        <f>_xlfn.XLOOKUP(F6Results_2026[[#This Row],[Full_Name]],tblF42023[FULL_NAME],tblF42023[DIVISION],"",0,1)</f>
        <v/>
      </c>
      <c r="AC151" s="289" t="str">
        <f>_xlfn.XLOOKUP(F6Results_2026[[#This Row],[Full_Name]],tblF42023[FULL_NAME],tblF42023[POINTS],"",0,1)</f>
        <v/>
      </c>
      <c r="AD15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1" s="299" t="str">
        <f>_xlfn.XLOOKUP(F6Results_2026[[#This Row],[Full_Name]],tblF22021[FULL_NAME],tblF22021[POINTS],"",0,1)</f>
        <v/>
      </c>
      <c r="AG151" s="299" t="str">
        <f>_xlfn.XLOOKUP(F6Results_2026[[#This Row],[Full_Name]],tblF42023[FULL_NAME],tblF42023[DIVISION],"",0,1)</f>
        <v/>
      </c>
      <c r="AH151" s="300" t="str">
        <f>_xlfn.XLOOKUP(F6Results_2026[[#This Row],[Full_Name]],tblF42023[FULL_NAME],tblF42023[TOTAL A''S],"",0,1)</f>
        <v/>
      </c>
      <c r="AI151" s="259"/>
    </row>
    <row r="152" spans="1:35" x14ac:dyDescent="0.3">
      <c r="A152" s="284" t="s">
        <v>132</v>
      </c>
      <c r="B152" s="296">
        <v>2026</v>
      </c>
      <c r="C152" s="285">
        <v>20130619028</v>
      </c>
      <c r="D152" s="297" t="s">
        <v>906</v>
      </c>
      <c r="E152" s="296" t="s">
        <v>40</v>
      </c>
      <c r="F152" s="296" t="s">
        <v>41</v>
      </c>
      <c r="G152" s="296" t="s">
        <v>84</v>
      </c>
      <c r="H152" s="93" cm="1">
        <f t="array" ref="H15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52" s="298" t="str">
        <f t="shared" si="11"/>
        <v>I</v>
      </c>
      <c r="J152" s="296" t="s">
        <v>94</v>
      </c>
      <c r="K152" s="298" t="s">
        <v>6</v>
      </c>
      <c r="L152" s="298"/>
      <c r="M152" s="296" t="s">
        <v>4</v>
      </c>
      <c r="N152" s="296" t="s">
        <v>4</v>
      </c>
      <c r="O152" s="298" t="s">
        <v>2</v>
      </c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>
        <f t="array" ref="Z152">SUM(IF(K152:Y152="A",1,0), IF(K152:Y152="B",2,0), IF(K152:Y152="C",3,0), IF(K152:Y152="D",4,0), IF(K152:Y152="E",5,0), IF(K152:Y152="S",6,0), IF(K152:Y152="F",7,0))</f>
        <v>12</v>
      </c>
      <c r="AA152" s="289" t="str">
        <f>_xlfn.XLOOKUP(F6Results_2026[[#This Row],[Full_Name]],tblF42023[FULL_NAME],tblF42023[POINTS],"",0,1)</f>
        <v/>
      </c>
      <c r="AB152" s="289" t="str">
        <f>_xlfn.XLOOKUP(F6Results_2026[[#This Row],[Full_Name]],tblF42023[FULL_NAME],tblF42023[DIVISION],"",0,1)</f>
        <v/>
      </c>
      <c r="AC152" s="289" t="str">
        <f>_xlfn.XLOOKUP(F6Results_2026[[#This Row],[Full_Name]],tblF42023[FULL_NAME],tblF42023[POINTS],"",0,1)</f>
        <v/>
      </c>
      <c r="AD15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2" s="299" t="str">
        <f>_xlfn.XLOOKUP(F6Results_2026[[#This Row],[Full_Name]],tblF22021[FULL_NAME],tblF22021[POINTS],"",0,1)</f>
        <v/>
      </c>
      <c r="AG152" s="299" t="str">
        <f>_xlfn.XLOOKUP(F6Results_2026[[#This Row],[Full_Name]],tblF42023[FULL_NAME],tblF42023[DIVISION],"",0,1)</f>
        <v/>
      </c>
      <c r="AH152" s="300" t="str">
        <f>_xlfn.XLOOKUP(F6Results_2026[[#This Row],[Full_Name]],tblF42023[FULL_NAME],tblF42023[TOTAL A''S],"",0,1)</f>
        <v/>
      </c>
      <c r="AI152" s="259"/>
    </row>
    <row r="153" spans="1:35" x14ac:dyDescent="0.3">
      <c r="A153" s="284" t="s">
        <v>131</v>
      </c>
      <c r="B153" s="296">
        <v>2026</v>
      </c>
      <c r="C153" s="285">
        <v>20130619263</v>
      </c>
      <c r="D153" s="297" t="s">
        <v>905</v>
      </c>
      <c r="E153" s="298" t="s">
        <v>40</v>
      </c>
      <c r="F153" s="298" t="s">
        <v>41</v>
      </c>
      <c r="G153" s="298" t="s">
        <v>84</v>
      </c>
      <c r="H153" s="93" cm="1">
        <f t="array" ref="H15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53" s="298" t="str">
        <f t="shared" si="11"/>
        <v>I</v>
      </c>
      <c r="J153" s="296" t="s">
        <v>94</v>
      </c>
      <c r="K153" s="296" t="s">
        <v>6</v>
      </c>
      <c r="L153" s="296"/>
      <c r="M153" s="296" t="s">
        <v>4</v>
      </c>
      <c r="N153" s="298" t="s">
        <v>4</v>
      </c>
      <c r="O153" s="298" t="s">
        <v>2</v>
      </c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6">
        <f t="array" ref="Z153">SUM(IF(K153:Y153="A",1,0), IF(K153:Y153="B",2,0), IF(K153:Y153="C",3,0), IF(K153:Y153="D",4,0), IF(K153:Y153="E",5,0), IF(K153:Y153="S",6,0), IF(K153:Y153="F",7,0))</f>
        <v>12</v>
      </c>
      <c r="AA153" s="289" t="str">
        <f>_xlfn.XLOOKUP(F6Results_2026[[#This Row],[Full_Name]],tblF42023[FULL_NAME],tblF42023[POINTS],"",0,1)</f>
        <v/>
      </c>
      <c r="AB153" s="289" t="str">
        <f>_xlfn.XLOOKUP(F6Results_2026[[#This Row],[Full_Name]],tblF42023[FULL_NAME],tblF42023[DIVISION],"",0,1)</f>
        <v/>
      </c>
      <c r="AC153" s="289" t="str">
        <f>_xlfn.XLOOKUP(F6Results_2026[[#This Row],[Full_Name]],tblF42023[FULL_NAME],tblF42023[POINTS],"",0,1)</f>
        <v/>
      </c>
      <c r="AD15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3" s="299" t="str">
        <f>_xlfn.XLOOKUP(F6Results_2026[[#This Row],[Full_Name]],tblF22021[FULL_NAME],tblF22021[POINTS],"",0,1)</f>
        <v/>
      </c>
      <c r="AG153" s="299" t="str">
        <f>_xlfn.XLOOKUP(F6Results_2026[[#This Row],[Full_Name]],tblF42023[FULL_NAME],tblF42023[DIVISION],"",0,1)</f>
        <v/>
      </c>
      <c r="AH153" s="300" t="str">
        <f>_xlfn.XLOOKUP(F6Results_2026[[#This Row],[Full_Name]],tblF42023[FULL_NAME],tblF42023[TOTAL A''S],"",0,1)</f>
        <v/>
      </c>
      <c r="AI153" s="259"/>
    </row>
    <row r="154" spans="1:35" x14ac:dyDescent="0.3">
      <c r="A154" s="284" t="s">
        <v>110</v>
      </c>
      <c r="B154" s="296">
        <v>2026</v>
      </c>
      <c r="C154" s="285">
        <v>20130619922</v>
      </c>
      <c r="D154" s="297" t="s">
        <v>111</v>
      </c>
      <c r="E154" s="298" t="s">
        <v>40</v>
      </c>
      <c r="F154" s="298" t="s">
        <v>41</v>
      </c>
      <c r="G154" s="298" t="s">
        <v>8</v>
      </c>
      <c r="H154" s="93" cm="1">
        <f t="array" ref="H15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6</v>
      </c>
      <c r="I154" s="298" t="str">
        <f t="shared" si="11"/>
        <v>I</v>
      </c>
      <c r="J154" s="296" t="s">
        <v>42</v>
      </c>
      <c r="K154" s="296" t="s">
        <v>6</v>
      </c>
      <c r="L154" s="296"/>
      <c r="M154" s="298" t="s">
        <v>4</v>
      </c>
      <c r="N154" s="296" t="s">
        <v>3</v>
      </c>
      <c r="O154" s="298" t="s">
        <v>2</v>
      </c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6">
        <f t="array" ref="Z154">SUM(IF(K154:Y154="A",1,0), IF(K154:Y154="B",2,0), IF(K154:Y154="C",3,0), IF(K154:Y154="D",4,0), IF(K154:Y154="E",5,0), IF(K154:Y154="S",6,0), IF(K154:Y154="F",7,0))</f>
        <v>11</v>
      </c>
      <c r="AA154" s="289">
        <f>_xlfn.XLOOKUP(F6Results_2026[[#This Row],[Full_Name]],tblF42023[FULL_NAME],tblF42023[POINTS],"",0,1)</f>
        <v>13</v>
      </c>
      <c r="AB154" s="289" t="str">
        <f>_xlfn.XLOOKUP(F6Results_2026[[#This Row],[Full_Name]],tblF42023[FULL_NAME],tblF42023[DIVISION],"",0,1)</f>
        <v>I</v>
      </c>
      <c r="AC154" s="289">
        <f>_xlfn.XLOOKUP(F6Results_2026[[#This Row],[Full_Name]],tblF42023[FULL_NAME],tblF42023[POINTS],"",0,1)</f>
        <v>13</v>
      </c>
      <c r="AD154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5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54" s="299">
        <f>_xlfn.XLOOKUP(F6Results_2026[[#This Row],[Full_Name]],tblF22021[FULL_NAME],tblF22021[POINTS],"",0,1)</f>
        <v>10</v>
      </c>
      <c r="AG154" s="299" t="str">
        <f>_xlfn.XLOOKUP(F6Results_2026[[#This Row],[Full_Name]],tblF42023[FULL_NAME],tblF42023[DIVISION],"",0,1)</f>
        <v>I</v>
      </c>
      <c r="AH154" s="300">
        <f>_xlfn.XLOOKUP(F6Results_2026[[#This Row],[Full_Name]],tblF42023[FULL_NAME],tblF42023[TOTAL A''S],"",0,1)</f>
        <v>2</v>
      </c>
      <c r="AI154" s="259"/>
    </row>
    <row r="155" spans="1:35" x14ac:dyDescent="0.3">
      <c r="A155" s="284" t="s">
        <v>136</v>
      </c>
      <c r="B155" s="296">
        <v>2026</v>
      </c>
      <c r="C155" s="285">
        <v>20130624722</v>
      </c>
      <c r="D155" s="297" t="s">
        <v>910</v>
      </c>
      <c r="E155" s="296" t="s">
        <v>40</v>
      </c>
      <c r="F155" s="296" t="s">
        <v>41</v>
      </c>
      <c r="G155" s="296" t="s">
        <v>84</v>
      </c>
      <c r="H155" s="93" cm="1">
        <f t="array" ref="H15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55" s="298" t="str">
        <f t="shared" si="11"/>
        <v>I</v>
      </c>
      <c r="J155" s="296" t="s">
        <v>94</v>
      </c>
      <c r="K155" s="298" t="s">
        <v>5</v>
      </c>
      <c r="L155" s="298"/>
      <c r="M155" s="296" t="s">
        <v>4</v>
      </c>
      <c r="N155" s="296" t="s">
        <v>4</v>
      </c>
      <c r="O155" s="296" t="s">
        <v>2</v>
      </c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>
        <f t="array" ref="Z155">SUM(IF(K155:Y155="A",1,0), IF(K155:Y155="B",2,0), IF(K155:Y155="C",3,0), IF(K155:Y155="D",4,0), IF(K155:Y155="E",5,0), IF(K155:Y155="S",6,0), IF(K155:Y155="F",7,0))</f>
        <v>11</v>
      </c>
      <c r="AA155" s="289" t="str">
        <f>_xlfn.XLOOKUP(F6Results_2026[[#This Row],[Full_Name]],tblF42023[FULL_NAME],tblF42023[POINTS],"",0,1)</f>
        <v/>
      </c>
      <c r="AB155" s="289" t="str">
        <f>_xlfn.XLOOKUP(F6Results_2026[[#This Row],[Full_Name]],tblF42023[FULL_NAME],tblF42023[DIVISION],"",0,1)</f>
        <v/>
      </c>
      <c r="AC155" s="289" t="str">
        <f>_xlfn.XLOOKUP(F6Results_2026[[#This Row],[Full_Name]],tblF42023[FULL_NAME],tblF42023[POINTS],"",0,1)</f>
        <v/>
      </c>
      <c r="AD155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5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5" s="299" t="str">
        <f>_xlfn.XLOOKUP(F6Results_2026[[#This Row],[Full_Name]],tblF22021[FULL_NAME],tblF22021[POINTS],"",0,1)</f>
        <v/>
      </c>
      <c r="AG155" s="299" t="str">
        <f>_xlfn.XLOOKUP(F6Results_2026[[#This Row],[Full_Name]],tblF42023[FULL_NAME],tblF42023[DIVISION],"",0,1)</f>
        <v/>
      </c>
      <c r="AH155" s="300" t="str">
        <f>_xlfn.XLOOKUP(F6Results_2026[[#This Row],[Full_Name]],tblF42023[FULL_NAME],tblF42023[TOTAL A''S],"",0,1)</f>
        <v/>
      </c>
      <c r="AI155" s="259"/>
    </row>
    <row r="156" spans="1:35" x14ac:dyDescent="0.3">
      <c r="A156" s="284" t="s">
        <v>99</v>
      </c>
      <c r="B156" s="296">
        <v>2026</v>
      </c>
      <c r="C156" s="285">
        <v>20130634350</v>
      </c>
      <c r="D156" s="297" t="s">
        <v>899</v>
      </c>
      <c r="E156" s="296" t="s">
        <v>40</v>
      </c>
      <c r="F156" s="296" t="s">
        <v>41</v>
      </c>
      <c r="G156" s="296" t="s">
        <v>8</v>
      </c>
      <c r="H156" s="93" cm="1">
        <f t="array" ref="H15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8</v>
      </c>
      <c r="I156" s="298" t="str">
        <f t="shared" si="11"/>
        <v>I</v>
      </c>
      <c r="J156" s="296" t="s">
        <v>94</v>
      </c>
      <c r="K156" s="298" t="s">
        <v>5</v>
      </c>
      <c r="L156" s="298"/>
      <c r="M156" s="298" t="s">
        <v>5</v>
      </c>
      <c r="N156" s="296" t="s">
        <v>4</v>
      </c>
      <c r="O156" s="296" t="s">
        <v>2</v>
      </c>
      <c r="P156" s="296"/>
      <c r="Q156" s="296"/>
      <c r="R156" s="296"/>
      <c r="S156" s="296"/>
      <c r="T156" s="296"/>
      <c r="U156" s="296"/>
      <c r="V156" s="296"/>
      <c r="W156" s="296"/>
      <c r="X156" s="296"/>
      <c r="Y156" s="296"/>
      <c r="Z156" s="296">
        <f t="array" ref="Z156">SUM(IF(K156:Y156="A",1,0), IF(K156:Y156="B",2,0), IF(K156:Y156="C",3,0), IF(K156:Y156="D",4,0), IF(K156:Y156="E",5,0), IF(K156:Y156="S",6,0), IF(K156:Y156="F",7,0))</f>
        <v>12</v>
      </c>
      <c r="AA156" s="289" t="str">
        <f>_xlfn.XLOOKUP(F6Results_2026[[#This Row],[Full_Name]],tblF42023[FULL_NAME],tblF42023[POINTS],"",0,1)</f>
        <v/>
      </c>
      <c r="AB156" s="289" t="str">
        <f>_xlfn.XLOOKUP(F6Results_2026[[#This Row],[Full_Name]],tblF42023[FULL_NAME],tblF42023[DIVISION],"",0,1)</f>
        <v/>
      </c>
      <c r="AC156" s="289" t="str">
        <f>_xlfn.XLOOKUP(F6Results_2026[[#This Row],[Full_Name]],tblF42023[FULL_NAME],tblF42023[POINTS],"",0,1)</f>
        <v/>
      </c>
      <c r="AD156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6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6" s="299" t="str">
        <f>_xlfn.XLOOKUP(F6Results_2026[[#This Row],[Full_Name]],tblF22021[FULL_NAME],tblF22021[POINTS],"",0,1)</f>
        <v/>
      </c>
      <c r="AG156" s="299" t="str">
        <f>_xlfn.XLOOKUP(F6Results_2026[[#This Row],[Full_Name]],tblF42023[FULL_NAME],tblF42023[DIVISION],"",0,1)</f>
        <v/>
      </c>
      <c r="AH156" s="300" t="str">
        <f>_xlfn.XLOOKUP(F6Results_2026[[#This Row],[Full_Name]],tblF42023[FULL_NAME],tblF42023[TOTAL A''S],"",0,1)</f>
        <v/>
      </c>
      <c r="AI156" s="259"/>
    </row>
    <row r="157" spans="1:35" x14ac:dyDescent="0.3">
      <c r="A157" s="284" t="s">
        <v>288</v>
      </c>
      <c r="B157" s="296">
        <v>2026</v>
      </c>
      <c r="C157" s="285">
        <v>20130653487</v>
      </c>
      <c r="D157" s="297" t="s">
        <v>943</v>
      </c>
      <c r="E157" s="298" t="s">
        <v>289</v>
      </c>
      <c r="F157" s="298" t="s">
        <v>896</v>
      </c>
      <c r="G157" s="298" t="s">
        <v>84</v>
      </c>
      <c r="H157" s="93" cm="1">
        <f t="array" ref="H15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16</v>
      </c>
      <c r="I157" s="298" t="str">
        <f t="shared" si="11"/>
        <v>III</v>
      </c>
      <c r="J157" s="296" t="s">
        <v>94</v>
      </c>
      <c r="K157" s="296" t="s">
        <v>6</v>
      </c>
      <c r="L157" s="296" t="s">
        <v>8</v>
      </c>
      <c r="M157" s="298"/>
      <c r="N157" s="298"/>
      <c r="O157" s="298"/>
      <c r="P157" s="298"/>
      <c r="Q157" s="298" t="s">
        <v>7</v>
      </c>
      <c r="R157" s="298" t="s">
        <v>4</v>
      </c>
      <c r="S157" s="298" t="s">
        <v>8</v>
      </c>
      <c r="T157" s="298"/>
      <c r="U157" s="298"/>
      <c r="V157" s="298"/>
      <c r="W157" s="298"/>
      <c r="X157" s="298"/>
      <c r="Y157" s="298"/>
      <c r="Z157" s="296">
        <f t="array" ref="Z157">SUM(IF(K157:Y157="A",1,0), IF(K157:Y157="B",2,0), IF(K157:Y157="C",3,0), IF(K157:Y157="D",4,0), IF(K157:Y157="E",5,0), IF(K157:Y157="S",6,0), IF(K157:Y157="F",7,0))</f>
        <v>28</v>
      </c>
      <c r="AA157" s="289" t="str">
        <f>_xlfn.XLOOKUP(F6Results_2026[[#This Row],[Full_Name]],tblF42023[FULL_NAME],tblF42023[POINTS],"",0,1)</f>
        <v/>
      </c>
      <c r="AB157" s="289" t="str">
        <f>_xlfn.XLOOKUP(F6Results_2026[[#This Row],[Full_Name]],tblF42023[FULL_NAME],tblF42023[DIVISION],"",0,1)</f>
        <v/>
      </c>
      <c r="AC157" s="289" t="str">
        <f>_xlfn.XLOOKUP(F6Results_2026[[#This Row],[Full_Name]],tblF42023[FULL_NAME],tblF42023[POINTS],"",0,1)</f>
        <v/>
      </c>
      <c r="AD15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7" s="299" t="str">
        <f>_xlfn.XLOOKUP(F6Results_2026[[#This Row],[Full_Name]],tblF22021[FULL_NAME],tblF22021[POINTS],"",0,1)</f>
        <v/>
      </c>
      <c r="AG157" s="299" t="str">
        <f>_xlfn.XLOOKUP(F6Results_2026[[#This Row],[Full_Name]],tblF42023[FULL_NAME],tblF42023[DIVISION],"",0,1)</f>
        <v/>
      </c>
      <c r="AH157" s="300" t="str">
        <f>_xlfn.XLOOKUP(F6Results_2026[[#This Row],[Full_Name]],tblF42023[FULL_NAME],tblF42023[TOTAL A''S],"",0,1)</f>
        <v/>
      </c>
      <c r="AI157" s="259"/>
    </row>
    <row r="158" spans="1:35" x14ac:dyDescent="0.3">
      <c r="A158" s="284" t="s">
        <v>300</v>
      </c>
      <c r="B158" s="296">
        <v>2026</v>
      </c>
      <c r="C158" s="285">
        <v>20130668980</v>
      </c>
      <c r="D158" s="297" t="s">
        <v>950</v>
      </c>
      <c r="E158" s="296" t="s">
        <v>240</v>
      </c>
      <c r="F158" s="296" t="s">
        <v>896</v>
      </c>
      <c r="G158" s="296" t="s">
        <v>84</v>
      </c>
      <c r="H158" s="93" cm="1">
        <f t="array" ref="H15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58" s="298" t="str">
        <f t="shared" si="11"/>
        <v>III</v>
      </c>
      <c r="J158" s="296" t="s">
        <v>94</v>
      </c>
      <c r="K158" s="298" t="s">
        <v>7</v>
      </c>
      <c r="L158" s="298" t="s">
        <v>8</v>
      </c>
      <c r="M158" s="296"/>
      <c r="N158" s="296"/>
      <c r="O158" s="296"/>
      <c r="P158" s="296"/>
      <c r="Q158" s="296" t="s">
        <v>6</v>
      </c>
      <c r="R158" s="296" t="s">
        <v>4</v>
      </c>
      <c r="S158" s="296" t="s">
        <v>8</v>
      </c>
      <c r="T158" s="296"/>
      <c r="U158" s="296"/>
      <c r="V158" s="296"/>
      <c r="W158" s="296"/>
      <c r="X158" s="296"/>
      <c r="Y158" s="296"/>
      <c r="Z158" s="296">
        <f t="array" ref="Z158">SUM(IF(K158:Y158="A",1,0), IF(K158:Y158="B",2,0), IF(K158:Y158="C",3,0), IF(K158:Y158="D",4,0), IF(K158:Y158="E",5,0), IF(K158:Y158="S",6,0), IF(K158:Y158="F",7,0))</f>
        <v>28</v>
      </c>
      <c r="AA158" s="289" t="str">
        <f>_xlfn.XLOOKUP(F6Results_2026[[#This Row],[Full_Name]],tblF42023[FULL_NAME],tblF42023[POINTS],"",0,1)</f>
        <v/>
      </c>
      <c r="AB158" s="289" t="str">
        <f>_xlfn.XLOOKUP(F6Results_2026[[#This Row],[Full_Name]],tblF42023[FULL_NAME],tblF42023[DIVISION],"",0,1)</f>
        <v/>
      </c>
      <c r="AC158" s="289" t="str">
        <f>_xlfn.XLOOKUP(F6Results_2026[[#This Row],[Full_Name]],tblF42023[FULL_NAME],tblF42023[POINTS],"",0,1)</f>
        <v/>
      </c>
      <c r="AD15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8" s="299" t="str">
        <f>_xlfn.XLOOKUP(F6Results_2026[[#This Row],[Full_Name]],tblF22021[FULL_NAME],tblF22021[POINTS],"",0,1)</f>
        <v/>
      </c>
      <c r="AG158" s="299" t="str">
        <f>_xlfn.XLOOKUP(F6Results_2026[[#This Row],[Full_Name]],tblF42023[FULL_NAME],tblF42023[DIVISION],"",0,1)</f>
        <v/>
      </c>
      <c r="AH158" s="300" t="str">
        <f>_xlfn.XLOOKUP(F6Results_2026[[#This Row],[Full_Name]],tblF42023[FULL_NAME],tblF42023[TOTAL A''S],"",0,1)</f>
        <v/>
      </c>
      <c r="AI158" s="259"/>
    </row>
    <row r="159" spans="1:35" x14ac:dyDescent="0.3">
      <c r="A159" s="284" t="s">
        <v>295</v>
      </c>
      <c r="B159" s="296">
        <v>2026</v>
      </c>
      <c r="C159" s="285">
        <v>20130681440</v>
      </c>
      <c r="D159" s="297" t="s">
        <v>947</v>
      </c>
      <c r="E159" s="296" t="s">
        <v>240</v>
      </c>
      <c r="F159" s="296" t="s">
        <v>896</v>
      </c>
      <c r="G159" s="296" t="s">
        <v>84</v>
      </c>
      <c r="H159" s="93" cm="1">
        <f t="array" ref="H15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59" s="298" t="str">
        <f t="shared" si="11"/>
        <v>II</v>
      </c>
      <c r="J159" s="296" t="s">
        <v>94</v>
      </c>
      <c r="K159" s="298" t="s">
        <v>6</v>
      </c>
      <c r="L159" s="298" t="s">
        <v>5</v>
      </c>
      <c r="M159" s="296"/>
      <c r="N159" s="296"/>
      <c r="O159" s="296"/>
      <c r="P159" s="296"/>
      <c r="Q159" s="296" t="s">
        <v>5</v>
      </c>
      <c r="R159" s="296" t="s">
        <v>4</v>
      </c>
      <c r="S159" s="296" t="s">
        <v>5</v>
      </c>
      <c r="T159" s="296"/>
      <c r="U159" s="296"/>
      <c r="V159" s="296"/>
      <c r="W159" s="296"/>
      <c r="X159" s="296"/>
      <c r="Y159" s="296"/>
      <c r="Z159" s="296">
        <f t="array" ref="Z159">SUM(IF(K159:Y159="A",1,0), IF(K159:Y159="B",2,0), IF(K159:Y159="C",3,0), IF(K159:Y159="D",4,0), IF(K159:Y159="E",5,0), IF(K159:Y159="S",6,0), IF(K159:Y159="F",7,0))</f>
        <v>20</v>
      </c>
      <c r="AA159" s="289" t="str">
        <f>_xlfn.XLOOKUP(F6Results_2026[[#This Row],[Full_Name]],tblF42023[FULL_NAME],tblF42023[POINTS],"",0,1)</f>
        <v/>
      </c>
      <c r="AB159" s="289" t="str">
        <f>_xlfn.XLOOKUP(F6Results_2026[[#This Row],[Full_Name]],tblF42023[FULL_NAME],tblF42023[DIVISION],"",0,1)</f>
        <v/>
      </c>
      <c r="AC159" s="289" t="str">
        <f>_xlfn.XLOOKUP(F6Results_2026[[#This Row],[Full_Name]],tblF42023[FULL_NAME],tblF42023[POINTS],"",0,1)</f>
        <v/>
      </c>
      <c r="AD159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59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59" s="299" t="str">
        <f>_xlfn.XLOOKUP(F6Results_2026[[#This Row],[Full_Name]],tblF22021[FULL_NAME],tblF22021[POINTS],"",0,1)</f>
        <v/>
      </c>
      <c r="AG159" s="299" t="str">
        <f>_xlfn.XLOOKUP(F6Results_2026[[#This Row],[Full_Name]],tblF42023[FULL_NAME],tblF42023[DIVISION],"",0,1)</f>
        <v/>
      </c>
      <c r="AH159" s="300" t="str">
        <f>_xlfn.XLOOKUP(F6Results_2026[[#This Row],[Full_Name]],tblF42023[FULL_NAME],tblF42023[TOTAL A''S],"",0,1)</f>
        <v/>
      </c>
      <c r="AI159" s="259"/>
    </row>
    <row r="160" spans="1:35" x14ac:dyDescent="0.3">
      <c r="A160" s="284" t="s">
        <v>292</v>
      </c>
      <c r="B160" s="296">
        <v>2026</v>
      </c>
      <c r="C160" s="285">
        <v>20130694493</v>
      </c>
      <c r="D160" s="297" t="s">
        <v>946</v>
      </c>
      <c r="E160" s="296" t="s">
        <v>240</v>
      </c>
      <c r="F160" s="296" t="s">
        <v>896</v>
      </c>
      <c r="G160" s="296" t="s">
        <v>84</v>
      </c>
      <c r="H160" s="93" cm="1">
        <f t="array" ref="H16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60" s="298" t="str">
        <f t="shared" si="11"/>
        <v>II</v>
      </c>
      <c r="J160" s="296" t="s">
        <v>94</v>
      </c>
      <c r="K160" s="298" t="s">
        <v>6</v>
      </c>
      <c r="L160" s="298" t="s">
        <v>8</v>
      </c>
      <c r="M160" s="296"/>
      <c r="N160" s="296"/>
      <c r="O160" s="296"/>
      <c r="P160" s="296"/>
      <c r="Q160" s="296" t="s">
        <v>5</v>
      </c>
      <c r="R160" s="296" t="s">
        <v>4</v>
      </c>
      <c r="S160" s="296" t="s">
        <v>4</v>
      </c>
      <c r="T160" s="296"/>
      <c r="U160" s="296"/>
      <c r="V160" s="296"/>
      <c r="W160" s="296"/>
      <c r="X160" s="296"/>
      <c r="Y160" s="296"/>
      <c r="Z160" s="296">
        <f t="array" ref="Z160">SUM(IF(K160:Y160="A",1,0), IF(K160:Y160="B",2,0), IF(K160:Y160="C",3,0), IF(K160:Y160="D",4,0), IF(K160:Y160="E",5,0), IF(K160:Y160="S",6,0), IF(K160:Y160="F",7,0))</f>
        <v>22</v>
      </c>
      <c r="AA160" s="289" t="str">
        <f>_xlfn.XLOOKUP(F6Results_2026[[#This Row],[Full_Name]],tblF42023[FULL_NAME],tblF42023[POINTS],"",0,1)</f>
        <v/>
      </c>
      <c r="AB160" s="289" t="str">
        <f>_xlfn.XLOOKUP(F6Results_2026[[#This Row],[Full_Name]],tblF42023[FULL_NAME],tblF42023[DIVISION],"",0,1)</f>
        <v/>
      </c>
      <c r="AC160" s="289" t="str">
        <f>_xlfn.XLOOKUP(F6Results_2026[[#This Row],[Full_Name]],tblF42023[FULL_NAME],tblF42023[POINTS],"",0,1)</f>
        <v/>
      </c>
      <c r="AD16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0" s="299" t="str">
        <f>_xlfn.XLOOKUP(F6Results_2026[[#This Row],[Full_Name]],tblF22021[FULL_NAME],tblF22021[POINTS],"",0,1)</f>
        <v/>
      </c>
      <c r="AG160" s="299" t="str">
        <f>_xlfn.XLOOKUP(F6Results_2026[[#This Row],[Full_Name]],tblF42023[FULL_NAME],tblF42023[DIVISION],"",0,1)</f>
        <v/>
      </c>
      <c r="AH160" s="300" t="str">
        <f>_xlfn.XLOOKUP(F6Results_2026[[#This Row],[Full_Name]],tblF42023[FULL_NAME],tblF42023[TOTAL A''S],"",0,1)</f>
        <v/>
      </c>
      <c r="AI160" s="259"/>
    </row>
    <row r="161" spans="1:35" x14ac:dyDescent="0.3">
      <c r="A161" s="284" t="s">
        <v>282</v>
      </c>
      <c r="B161" s="296">
        <v>2026</v>
      </c>
      <c r="C161" s="285">
        <v>20130694720</v>
      </c>
      <c r="D161" s="297" t="s">
        <v>939</v>
      </c>
      <c r="E161" s="296" t="s">
        <v>240</v>
      </c>
      <c r="F161" s="296" t="s">
        <v>896</v>
      </c>
      <c r="G161" s="296" t="s">
        <v>84</v>
      </c>
      <c r="H161" s="93" cm="1">
        <f t="array" ref="H16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61" s="298" t="str">
        <f t="shared" si="11"/>
        <v>II</v>
      </c>
      <c r="J161" s="296" t="s">
        <v>94</v>
      </c>
      <c r="K161" s="298" t="s">
        <v>5</v>
      </c>
      <c r="L161" s="298" t="s">
        <v>6</v>
      </c>
      <c r="M161" s="296"/>
      <c r="N161" s="296"/>
      <c r="O161" s="296"/>
      <c r="P161" s="296"/>
      <c r="Q161" s="296" t="s">
        <v>5</v>
      </c>
      <c r="R161" s="296" t="s">
        <v>4</v>
      </c>
      <c r="S161" s="296" t="s">
        <v>5</v>
      </c>
      <c r="T161" s="296"/>
      <c r="U161" s="296"/>
      <c r="V161" s="296"/>
      <c r="W161" s="296"/>
      <c r="X161" s="296"/>
      <c r="Y161" s="296"/>
      <c r="Z161" s="296">
        <f t="array" ref="Z161">SUM(IF(K161:Y161="A",1,0), IF(K161:Y161="B",2,0), IF(K161:Y161="C",3,0), IF(K161:Y161="D",4,0), IF(K161:Y161="E",5,0), IF(K161:Y161="S",6,0), IF(K161:Y161="F",7,0))</f>
        <v>20</v>
      </c>
      <c r="AA161" s="289" t="str">
        <f>_xlfn.XLOOKUP(F6Results_2026[[#This Row],[Full_Name]],tblF42023[FULL_NAME],tblF42023[POINTS],"",0,1)</f>
        <v/>
      </c>
      <c r="AB161" s="289" t="str">
        <f>_xlfn.XLOOKUP(F6Results_2026[[#This Row],[Full_Name]],tblF42023[FULL_NAME],tblF42023[DIVISION],"",0,1)</f>
        <v/>
      </c>
      <c r="AC161" s="289" t="str">
        <f>_xlfn.XLOOKUP(F6Results_2026[[#This Row],[Full_Name]],tblF42023[FULL_NAME],tblF42023[POINTS],"",0,1)</f>
        <v/>
      </c>
      <c r="AD16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1" s="299" t="str">
        <f>_xlfn.XLOOKUP(F6Results_2026[[#This Row],[Full_Name]],tblF22021[FULL_NAME],tblF22021[POINTS],"",0,1)</f>
        <v/>
      </c>
      <c r="AG161" s="299" t="str">
        <f>_xlfn.XLOOKUP(F6Results_2026[[#This Row],[Full_Name]],tblF42023[FULL_NAME],tblF42023[DIVISION],"",0,1)</f>
        <v/>
      </c>
      <c r="AH161" s="300" t="str">
        <f>_xlfn.XLOOKUP(F6Results_2026[[#This Row],[Full_Name]],tblF42023[FULL_NAME],tblF42023[TOTAL A''S],"",0,1)</f>
        <v/>
      </c>
      <c r="AI161" s="259"/>
    </row>
    <row r="162" spans="1:35" x14ac:dyDescent="0.3">
      <c r="A162" s="284" t="s">
        <v>296</v>
      </c>
      <c r="B162" s="296">
        <v>2026</v>
      </c>
      <c r="C162" s="285">
        <v>20130696797</v>
      </c>
      <c r="D162" s="297" t="s">
        <v>948</v>
      </c>
      <c r="E162" s="298" t="s">
        <v>240</v>
      </c>
      <c r="F162" s="298" t="s">
        <v>896</v>
      </c>
      <c r="G162" s="298" t="s">
        <v>84</v>
      </c>
      <c r="H162" s="93" cm="1">
        <f t="array" ref="H16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62" s="298" t="str">
        <f t="shared" si="11"/>
        <v>II</v>
      </c>
      <c r="J162" s="296" t="s">
        <v>94</v>
      </c>
      <c r="K162" s="296" t="s">
        <v>6</v>
      </c>
      <c r="L162" s="296" t="s">
        <v>5</v>
      </c>
      <c r="M162" s="298"/>
      <c r="N162" s="298"/>
      <c r="O162" s="298"/>
      <c r="P162" s="298"/>
      <c r="Q162" s="298" t="s">
        <v>4</v>
      </c>
      <c r="R162" s="298" t="s">
        <v>5</v>
      </c>
      <c r="S162" s="298" t="s">
        <v>4</v>
      </c>
      <c r="T162" s="298"/>
      <c r="U162" s="298"/>
      <c r="V162" s="298"/>
      <c r="W162" s="298"/>
      <c r="X162" s="298"/>
      <c r="Y162" s="298"/>
      <c r="Z162" s="296">
        <f t="array" ref="Z162">SUM(IF(K162:Y162="A",1,0), IF(K162:Y162="B",2,0), IF(K162:Y162="C",3,0), IF(K162:Y162="D",4,0), IF(K162:Y162="E",5,0), IF(K162:Y162="S",6,0), IF(K162:Y162="F",7,0))</f>
        <v>19</v>
      </c>
      <c r="AA162" s="289" t="str">
        <f>_xlfn.XLOOKUP(F6Results_2026[[#This Row],[Full_Name]],tblF42023[FULL_NAME],tblF42023[POINTS],"",0,1)</f>
        <v/>
      </c>
      <c r="AB162" s="289" t="str">
        <f>_xlfn.XLOOKUP(F6Results_2026[[#This Row],[Full_Name]],tblF42023[FULL_NAME],tblF42023[DIVISION],"",0,1)</f>
        <v/>
      </c>
      <c r="AC162" s="289" t="str">
        <f>_xlfn.XLOOKUP(F6Results_2026[[#This Row],[Full_Name]],tblF42023[FULL_NAME],tblF42023[POINTS],"",0,1)</f>
        <v/>
      </c>
      <c r="AD16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2" s="299" t="str">
        <f>_xlfn.XLOOKUP(F6Results_2026[[#This Row],[Full_Name]],tblF22021[FULL_NAME],tblF22021[POINTS],"",0,1)</f>
        <v/>
      </c>
      <c r="AG162" s="299" t="str">
        <f>_xlfn.XLOOKUP(F6Results_2026[[#This Row],[Full_Name]],tblF42023[FULL_NAME],tblF42023[DIVISION],"",0,1)</f>
        <v/>
      </c>
      <c r="AH162" s="300" t="str">
        <f>_xlfn.XLOOKUP(F6Results_2026[[#This Row],[Full_Name]],tblF42023[FULL_NAME],tblF42023[TOTAL A''S],"",0,1)</f>
        <v/>
      </c>
      <c r="AI162" s="259"/>
    </row>
    <row r="163" spans="1:35" x14ac:dyDescent="0.3">
      <c r="A163" s="284" t="s">
        <v>221</v>
      </c>
      <c r="B163" s="296">
        <v>2026</v>
      </c>
      <c r="C163" s="285">
        <v>20130702816</v>
      </c>
      <c r="D163" s="297" t="s">
        <v>913</v>
      </c>
      <c r="E163" s="298" t="s">
        <v>194</v>
      </c>
      <c r="F163" s="298" t="s">
        <v>896</v>
      </c>
      <c r="G163" s="298" t="s">
        <v>84</v>
      </c>
      <c r="H163" s="93" cm="1">
        <f t="array" ref="H16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63" s="298" t="str">
        <f t="shared" si="11"/>
        <v>II</v>
      </c>
      <c r="J163" s="296" t="s">
        <v>94</v>
      </c>
      <c r="K163" s="296" t="s">
        <v>6</v>
      </c>
      <c r="L163" s="296"/>
      <c r="M163" s="298"/>
      <c r="N163" s="298"/>
      <c r="O163" s="298"/>
      <c r="P163" s="298"/>
      <c r="Q163" s="298" t="s">
        <v>5</v>
      </c>
      <c r="R163" s="298" t="s">
        <v>4</v>
      </c>
      <c r="S163" s="298"/>
      <c r="T163" s="298"/>
      <c r="U163" s="298" t="s">
        <v>5</v>
      </c>
      <c r="V163" s="298"/>
      <c r="W163" s="298"/>
      <c r="X163" s="298"/>
      <c r="Y163" s="298"/>
      <c r="Z163" s="296">
        <f t="array" ref="Z163">SUM(IF(K163:Y163="A",1,0), IF(K163:Y163="B",2,0), IF(K163:Y163="C",3,0), IF(K163:Y163="D",4,0), IF(K163:Y163="E",5,0), IF(K163:Y163="S",6,0), IF(K163:Y163="F",7,0))</f>
        <v>16</v>
      </c>
      <c r="AA163" s="289" t="str">
        <f>_xlfn.XLOOKUP(F6Results_2026[[#This Row],[Full_Name]],tblF42023[FULL_NAME],tblF42023[POINTS],"",0,1)</f>
        <v/>
      </c>
      <c r="AB163" s="289" t="str">
        <f>_xlfn.XLOOKUP(F6Results_2026[[#This Row],[Full_Name]],tblF42023[FULL_NAME],tblF42023[DIVISION],"",0,1)</f>
        <v/>
      </c>
      <c r="AC163" s="289" t="str">
        <f>_xlfn.XLOOKUP(F6Results_2026[[#This Row],[Full_Name]],tblF42023[FULL_NAME],tblF42023[POINTS],"",0,1)</f>
        <v/>
      </c>
      <c r="AD16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3" s="299" t="str">
        <f>_xlfn.XLOOKUP(F6Results_2026[[#This Row],[Full_Name]],tblF22021[FULL_NAME],tblF22021[POINTS],"",0,1)</f>
        <v/>
      </c>
      <c r="AG163" s="299" t="str">
        <f>_xlfn.XLOOKUP(F6Results_2026[[#This Row],[Full_Name]],tblF42023[FULL_NAME],tblF42023[DIVISION],"",0,1)</f>
        <v/>
      </c>
      <c r="AH163" s="300" t="str">
        <f>_xlfn.XLOOKUP(F6Results_2026[[#This Row],[Full_Name]],tblF42023[FULL_NAME],tblF42023[TOTAL A''S],"",0,1)</f>
        <v/>
      </c>
      <c r="AI163" s="259"/>
    </row>
    <row r="164" spans="1:35" x14ac:dyDescent="0.3">
      <c r="A164" s="284" t="s">
        <v>222</v>
      </c>
      <c r="B164" s="296">
        <v>2026</v>
      </c>
      <c r="C164" s="285">
        <v>20130705151</v>
      </c>
      <c r="D164" s="297" t="s">
        <v>914</v>
      </c>
      <c r="E164" s="296" t="s">
        <v>194</v>
      </c>
      <c r="F164" s="296" t="s">
        <v>896</v>
      </c>
      <c r="G164" s="296" t="s">
        <v>84</v>
      </c>
      <c r="H164" s="93" cm="1">
        <f t="array" ref="H16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64" s="298" t="str">
        <f t="shared" si="11"/>
        <v>III</v>
      </c>
      <c r="J164" s="296" t="s">
        <v>94</v>
      </c>
      <c r="K164" s="298" t="s">
        <v>6</v>
      </c>
      <c r="L164" s="298"/>
      <c r="M164" s="296"/>
      <c r="N164" s="296"/>
      <c r="O164" s="296"/>
      <c r="P164" s="296"/>
      <c r="Q164" s="296" t="s">
        <v>8</v>
      </c>
      <c r="R164" s="296" t="s">
        <v>4</v>
      </c>
      <c r="S164" s="296"/>
      <c r="T164" s="296"/>
      <c r="U164" s="296" t="s">
        <v>6</v>
      </c>
      <c r="V164" s="296"/>
      <c r="W164" s="296"/>
      <c r="X164" s="296"/>
      <c r="Y164" s="296"/>
      <c r="Z164" s="296">
        <f t="array" ref="Z164">SUM(IF(K164:Y164="A",1,0), IF(K164:Y164="B",2,0), IF(K164:Y164="C",3,0), IF(K164:Y164="D",4,0), IF(K164:Y164="E",5,0), IF(K164:Y164="S",6,0), IF(K164:Y164="F",7,0))</f>
        <v>20</v>
      </c>
      <c r="AA164" s="289" t="str">
        <f>_xlfn.XLOOKUP(F6Results_2026[[#This Row],[Full_Name]],tblF42023[FULL_NAME],tblF42023[POINTS],"",0,1)</f>
        <v/>
      </c>
      <c r="AB164" s="289" t="str">
        <f>_xlfn.XLOOKUP(F6Results_2026[[#This Row],[Full_Name]],tblF42023[FULL_NAME],tblF42023[DIVISION],"",0,1)</f>
        <v/>
      </c>
      <c r="AC164" s="289" t="str">
        <f>_xlfn.XLOOKUP(F6Results_2026[[#This Row],[Full_Name]],tblF42023[FULL_NAME],tblF42023[POINTS],"",0,1)</f>
        <v/>
      </c>
      <c r="AD164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4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4" s="299" t="str">
        <f>_xlfn.XLOOKUP(F6Results_2026[[#This Row],[Full_Name]],tblF22021[FULL_NAME],tblF22021[POINTS],"",0,1)</f>
        <v/>
      </c>
      <c r="AG164" s="299" t="str">
        <f>_xlfn.XLOOKUP(F6Results_2026[[#This Row],[Full_Name]],tblF42023[FULL_NAME],tblF42023[DIVISION],"",0,1)</f>
        <v/>
      </c>
      <c r="AH164" s="300" t="str">
        <f>_xlfn.XLOOKUP(F6Results_2026[[#This Row],[Full_Name]],tblF42023[FULL_NAME],tblF42023[TOTAL A''S],"",0,1)</f>
        <v/>
      </c>
      <c r="AI164" s="259"/>
    </row>
    <row r="165" spans="1:35" x14ac:dyDescent="0.3">
      <c r="A165" s="284" t="s">
        <v>290</v>
      </c>
      <c r="B165" s="296">
        <v>2026</v>
      </c>
      <c r="C165" s="285">
        <v>20130705152</v>
      </c>
      <c r="D165" s="297" t="s">
        <v>944</v>
      </c>
      <c r="E165" s="296" t="s">
        <v>240</v>
      </c>
      <c r="F165" s="296" t="s">
        <v>896</v>
      </c>
      <c r="G165" s="296" t="s">
        <v>84</v>
      </c>
      <c r="H165" s="93" cm="1">
        <f t="array" ref="H16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165" s="298" t="str">
        <f t="shared" si="11"/>
        <v>O</v>
      </c>
      <c r="J165" s="296" t="s">
        <v>94</v>
      </c>
      <c r="K165" s="298" t="s">
        <v>6</v>
      </c>
      <c r="L165" s="298" t="s">
        <v>4</v>
      </c>
      <c r="M165" s="296"/>
      <c r="N165" s="296"/>
      <c r="O165" s="296"/>
      <c r="P165" s="296"/>
      <c r="Q165" s="296" t="s">
        <v>8</v>
      </c>
      <c r="R165" s="296" t="s">
        <v>8</v>
      </c>
      <c r="S165" s="296" t="s">
        <v>8</v>
      </c>
      <c r="T165" s="296"/>
      <c r="U165" s="296"/>
      <c r="V165" s="296"/>
      <c r="W165" s="296"/>
      <c r="X165" s="296"/>
      <c r="Y165" s="296"/>
      <c r="Z165" s="296">
        <f t="array" ref="Z165">SUM(IF(K165:Y165="A",1,0), IF(K165:Y165="B",2,0), IF(K165:Y165="C",3,0), IF(K165:Y165="D",4,0), IF(K165:Y165="E",5,0), IF(K165:Y165="S",6,0), IF(K165:Y165="F",7,0))</f>
        <v>29</v>
      </c>
      <c r="AA165" s="289" t="str">
        <f>_xlfn.XLOOKUP(F6Results_2026[[#This Row],[Full_Name]],tblF42023[FULL_NAME],tblF42023[POINTS],"",0,1)</f>
        <v/>
      </c>
      <c r="AB165" s="289" t="str">
        <f>_xlfn.XLOOKUP(F6Results_2026[[#This Row],[Full_Name]],tblF42023[FULL_NAME],tblF42023[DIVISION],"",0,1)</f>
        <v/>
      </c>
      <c r="AC165" s="289" t="str">
        <f>_xlfn.XLOOKUP(F6Results_2026[[#This Row],[Full_Name]],tblF42023[FULL_NAME],tblF42023[POINTS],"",0,1)</f>
        <v/>
      </c>
      <c r="AD165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5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5" s="299" t="str">
        <f>_xlfn.XLOOKUP(F6Results_2026[[#This Row],[Full_Name]],tblF22021[FULL_NAME],tblF22021[POINTS],"",0,1)</f>
        <v/>
      </c>
      <c r="AG165" s="299" t="str">
        <f>_xlfn.XLOOKUP(F6Results_2026[[#This Row],[Full_Name]],tblF42023[FULL_NAME],tblF42023[DIVISION],"",0,1)</f>
        <v/>
      </c>
      <c r="AH165" s="300" t="str">
        <f>_xlfn.XLOOKUP(F6Results_2026[[#This Row],[Full_Name]],tblF42023[FULL_NAME],tblF42023[TOTAL A''S],"",0,1)</f>
        <v/>
      </c>
      <c r="AI165" s="259"/>
    </row>
    <row r="166" spans="1:35" x14ac:dyDescent="0.3">
      <c r="A166" s="284" t="s">
        <v>233</v>
      </c>
      <c r="B166" s="296">
        <v>2026</v>
      </c>
      <c r="C166" s="285">
        <v>20130741408</v>
      </c>
      <c r="D166" s="297" t="s">
        <v>919</v>
      </c>
      <c r="E166" s="296" t="s">
        <v>194</v>
      </c>
      <c r="F166" s="296" t="s">
        <v>896</v>
      </c>
      <c r="G166" s="296" t="s">
        <v>84</v>
      </c>
      <c r="H166" s="93" cm="1">
        <f t="array" ref="H16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166" s="298" t="str">
        <f t="shared" si="11"/>
        <v>II</v>
      </c>
      <c r="J166" s="296" t="s">
        <v>94</v>
      </c>
      <c r="K166" s="298" t="s">
        <v>7</v>
      </c>
      <c r="L166" s="298"/>
      <c r="M166" s="296"/>
      <c r="N166" s="296"/>
      <c r="O166" s="296"/>
      <c r="P166" s="296"/>
      <c r="Q166" s="296" t="s">
        <v>6</v>
      </c>
      <c r="R166" s="296" t="s">
        <v>4</v>
      </c>
      <c r="S166" s="296"/>
      <c r="T166" s="296"/>
      <c r="U166" s="296" t="s">
        <v>5</v>
      </c>
      <c r="V166" s="296"/>
      <c r="W166" s="296"/>
      <c r="X166" s="296"/>
      <c r="Y166" s="296"/>
      <c r="Z166" s="296">
        <f t="array" ref="Z166">SUM(IF(K166:Y166="A",1,0), IF(K166:Y166="B",2,0), IF(K166:Y166="C",3,0), IF(K166:Y166="D",4,0), IF(K166:Y166="E",5,0), IF(K166:Y166="S",6,0), IF(K166:Y166="F",7,0))</f>
        <v>18</v>
      </c>
      <c r="AA166" s="289" t="str">
        <f>_xlfn.XLOOKUP(F6Results_2026[[#This Row],[Full_Name]],tblF42023[FULL_NAME],tblF42023[POINTS],"",0,1)</f>
        <v/>
      </c>
      <c r="AB166" s="289" t="str">
        <f>_xlfn.XLOOKUP(F6Results_2026[[#This Row],[Full_Name]],tblF42023[FULL_NAME],tblF42023[DIVISION],"",0,1)</f>
        <v/>
      </c>
      <c r="AC166" s="289" t="str">
        <f>_xlfn.XLOOKUP(F6Results_2026[[#This Row],[Full_Name]],tblF42023[FULL_NAME],tblF42023[POINTS],"",0,1)</f>
        <v/>
      </c>
      <c r="AD166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6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6" s="299" t="str">
        <f>_xlfn.XLOOKUP(F6Results_2026[[#This Row],[Full_Name]],tblF22021[FULL_NAME],tblF22021[POINTS],"",0,1)</f>
        <v/>
      </c>
      <c r="AG166" s="299" t="str">
        <f>_xlfn.XLOOKUP(F6Results_2026[[#This Row],[Full_Name]],tblF42023[FULL_NAME],tblF42023[DIVISION],"",0,1)</f>
        <v/>
      </c>
      <c r="AH166" s="300" t="str">
        <f>_xlfn.XLOOKUP(F6Results_2026[[#This Row],[Full_Name]],tblF42023[FULL_NAME],tblF42023[TOTAL A''S],"",0,1)</f>
        <v/>
      </c>
      <c r="AI166" s="259"/>
    </row>
    <row r="167" spans="1:35" x14ac:dyDescent="0.3">
      <c r="A167" s="284" t="s">
        <v>227</v>
      </c>
      <c r="B167" s="296">
        <v>2026</v>
      </c>
      <c r="C167" s="285">
        <v>20130764775</v>
      </c>
      <c r="D167" s="297" t="s">
        <v>915</v>
      </c>
      <c r="E167" s="298" t="s">
        <v>194</v>
      </c>
      <c r="F167" s="298" t="s">
        <v>896</v>
      </c>
      <c r="G167" s="298" t="s">
        <v>84</v>
      </c>
      <c r="H167" s="93" cm="1">
        <f t="array" ref="H16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67" s="298" t="str">
        <f t="shared" si="11"/>
        <v>III</v>
      </c>
      <c r="J167" s="296" t="s">
        <v>94</v>
      </c>
      <c r="K167" s="296" t="s">
        <v>6</v>
      </c>
      <c r="L167" s="296"/>
      <c r="M167" s="298"/>
      <c r="N167" s="298"/>
      <c r="O167" s="298"/>
      <c r="P167" s="298"/>
      <c r="Q167" s="298" t="s">
        <v>4</v>
      </c>
      <c r="R167" s="298" t="s">
        <v>8</v>
      </c>
      <c r="S167" s="298"/>
      <c r="T167" s="298"/>
      <c r="U167" s="298" t="s">
        <v>4</v>
      </c>
      <c r="V167" s="298"/>
      <c r="W167" s="298"/>
      <c r="X167" s="298"/>
      <c r="Y167" s="298"/>
      <c r="Z167" s="296">
        <f t="array" ref="Z167">SUM(IF(K167:Y167="A",1,0), IF(K167:Y167="B",2,0), IF(K167:Y167="C",3,0), IF(K167:Y167="D",4,0), IF(K167:Y167="E",5,0), IF(K167:Y167="S",6,0), IF(K167:Y167="F",7,0))</f>
        <v>18</v>
      </c>
      <c r="AA167" s="289" t="str">
        <f>_xlfn.XLOOKUP(F6Results_2026[[#This Row],[Full_Name]],tblF42023[FULL_NAME],tblF42023[POINTS],"",0,1)</f>
        <v/>
      </c>
      <c r="AB167" s="289" t="str">
        <f>_xlfn.XLOOKUP(F6Results_2026[[#This Row],[Full_Name]],tblF42023[FULL_NAME],tblF42023[DIVISION],"",0,1)</f>
        <v/>
      </c>
      <c r="AC167" s="289" t="str">
        <f>_xlfn.XLOOKUP(F6Results_2026[[#This Row],[Full_Name]],tblF42023[FULL_NAME],tblF42023[POINTS],"",0,1)</f>
        <v/>
      </c>
      <c r="AD16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7" s="299" t="str">
        <f>_xlfn.XLOOKUP(F6Results_2026[[#This Row],[Full_Name]],tblF22021[FULL_NAME],tblF22021[POINTS],"",0,1)</f>
        <v/>
      </c>
      <c r="AG167" s="299" t="str">
        <f>_xlfn.XLOOKUP(F6Results_2026[[#This Row],[Full_Name]],tblF42023[FULL_NAME],tblF42023[DIVISION],"",0,1)</f>
        <v/>
      </c>
      <c r="AH167" s="300" t="str">
        <f>_xlfn.XLOOKUP(F6Results_2026[[#This Row],[Full_Name]],tblF42023[FULL_NAME],tblF42023[TOTAL A''S],"",0,1)</f>
        <v/>
      </c>
      <c r="AI167" s="259"/>
    </row>
    <row r="168" spans="1:35" x14ac:dyDescent="0.3">
      <c r="A168" s="284" t="s">
        <v>277</v>
      </c>
      <c r="B168" s="296">
        <v>2026</v>
      </c>
      <c r="C168" s="285">
        <v>20130774295</v>
      </c>
      <c r="D168" s="297" t="s">
        <v>934</v>
      </c>
      <c r="E168" s="298" t="s">
        <v>240</v>
      </c>
      <c r="F168" s="298" t="s">
        <v>896</v>
      </c>
      <c r="G168" s="298" t="s">
        <v>84</v>
      </c>
      <c r="H168" s="93" cm="1">
        <f t="array" ref="H16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68" s="298" t="str">
        <f t="shared" si="11"/>
        <v>III</v>
      </c>
      <c r="J168" s="296" t="s">
        <v>94</v>
      </c>
      <c r="K168" s="296" t="s">
        <v>8</v>
      </c>
      <c r="L168" s="296" t="s">
        <v>2</v>
      </c>
      <c r="M168" s="298"/>
      <c r="N168" s="298"/>
      <c r="O168" s="298"/>
      <c r="P168" s="298"/>
      <c r="Q168" s="298" t="s">
        <v>4</v>
      </c>
      <c r="R168" s="298" t="s">
        <v>8</v>
      </c>
      <c r="S168" s="298" t="s">
        <v>4</v>
      </c>
      <c r="T168" s="298"/>
      <c r="U168" s="298"/>
      <c r="V168" s="298"/>
      <c r="W168" s="298"/>
      <c r="X168" s="298"/>
      <c r="Y168" s="298"/>
      <c r="Z168" s="296">
        <f t="array" ref="Z168">SUM(IF(K168:Y168="A",1,0), IF(K168:Y168="B",2,0), IF(K168:Y168="C",3,0), IF(K168:Y168="D",4,0), IF(K168:Y168="E",5,0), IF(K168:Y168="S",6,0), IF(K168:Y168="F",7,0))</f>
        <v>21</v>
      </c>
      <c r="AA168" s="289" t="str">
        <f>_xlfn.XLOOKUP(F6Results_2026[[#This Row],[Full_Name]],tblF42023[FULL_NAME],tblF42023[POINTS],"",0,1)</f>
        <v/>
      </c>
      <c r="AB168" s="289" t="str">
        <f>_xlfn.XLOOKUP(F6Results_2026[[#This Row],[Full_Name]],tblF42023[FULL_NAME],tblF42023[DIVISION],"",0,1)</f>
        <v/>
      </c>
      <c r="AC168" s="289" t="str">
        <f>_xlfn.XLOOKUP(F6Results_2026[[#This Row],[Full_Name]],tblF42023[FULL_NAME],tblF42023[POINTS],"",0,1)</f>
        <v/>
      </c>
      <c r="AD16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68" s="299" t="str">
        <f>_xlfn.XLOOKUP(F6Results_2026[[#This Row],[Full_Name]],tblF22021[FULL_NAME],tblF22021[POINTS],"",0,1)</f>
        <v/>
      </c>
      <c r="AG168" s="299" t="str">
        <f>_xlfn.XLOOKUP(F6Results_2026[[#This Row],[Full_Name]],tblF42023[FULL_NAME],tblF42023[DIVISION],"",0,1)</f>
        <v/>
      </c>
      <c r="AH168" s="300" t="str">
        <f>_xlfn.XLOOKUP(F6Results_2026[[#This Row],[Full_Name]],tblF42023[FULL_NAME],tblF42023[TOTAL A''S],"",0,1)</f>
        <v/>
      </c>
      <c r="AI168" s="259"/>
    </row>
    <row r="169" spans="1:35" x14ac:dyDescent="0.3">
      <c r="A169" s="301" t="s">
        <v>952</v>
      </c>
      <c r="B169" s="299">
        <v>2026</v>
      </c>
      <c r="C169" s="299">
        <v>20130952908</v>
      </c>
      <c r="D169" s="297" t="s">
        <v>953</v>
      </c>
      <c r="E169" s="299" t="s">
        <v>289</v>
      </c>
      <c r="F169" s="299" t="s">
        <v>896</v>
      </c>
      <c r="G169" s="299" t="s">
        <v>8</v>
      </c>
      <c r="H169" s="93" cm="1">
        <f t="array" ref="H16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69" s="289" t="str">
        <f t="shared" si="11"/>
        <v>II</v>
      </c>
      <c r="J169" s="296" t="s">
        <v>94</v>
      </c>
      <c r="K169" s="289" t="s">
        <v>6</v>
      </c>
      <c r="L169" s="289" t="s">
        <v>8</v>
      </c>
      <c r="M169" s="299"/>
      <c r="N169" s="299"/>
      <c r="O169" s="299"/>
      <c r="P169" s="299"/>
      <c r="Q169" s="299"/>
      <c r="R169" s="299" t="s">
        <v>5</v>
      </c>
      <c r="S169" s="299" t="s">
        <v>4</v>
      </c>
      <c r="T169" s="299" t="s">
        <v>5</v>
      </c>
      <c r="U169" s="299"/>
      <c r="V169" s="299"/>
      <c r="W169" s="299"/>
      <c r="X169" s="299"/>
      <c r="Y169" s="299"/>
      <c r="Z169" s="299"/>
      <c r="AA169" s="302" t="str">
        <f>_xlfn.XLOOKUP(F6Results_2026[[#This Row],[Full_Name]],tblF42023[FULL_NAME],tblF42023[POINTS],"",0,1)</f>
        <v/>
      </c>
      <c r="AB169" s="302" t="str">
        <f>_xlfn.XLOOKUP(F6Results_2026[[#This Row],[Full_Name]],tblF42023[FULL_NAME],tblF42023[DIVISION],"",0,1)</f>
        <v/>
      </c>
      <c r="AC169" s="302" t="str">
        <f>_xlfn.XLOOKUP(F6Results_2026[[#This Row],[Full_Name]],tblF42023[FULL_NAME],tblF42023[POINTS],"",0,1)</f>
        <v/>
      </c>
      <c r="AD169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69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69" s="304" t="str">
        <f>_xlfn.XLOOKUP(F6Results_2026[[#This Row],[Full_Name]],tblF22021[FULL_NAME],tblF22021[POINTS],"",0,1)</f>
        <v/>
      </c>
      <c r="AG169" s="304" t="str">
        <f>_xlfn.XLOOKUP(F6Results_2026[[#This Row],[Full_Name]],tblF42023[FULL_NAME],tblF42023[DIVISION],"",0,1)</f>
        <v/>
      </c>
      <c r="AH169" s="305" t="str">
        <f>_xlfn.XLOOKUP(F6Results_2026[[#This Row],[Full_Name]],tblF42023[FULL_NAME],tblF42023[TOTAL A''S],"",0,1)</f>
        <v/>
      </c>
      <c r="AI169" s="259"/>
    </row>
    <row r="170" spans="1:35" x14ac:dyDescent="0.3">
      <c r="A170" s="301" t="s">
        <v>962</v>
      </c>
      <c r="B170" s="299">
        <v>2026</v>
      </c>
      <c r="C170" s="299">
        <v>20130954633</v>
      </c>
      <c r="D170" s="297" t="s">
        <v>963</v>
      </c>
      <c r="E170" s="299" t="s">
        <v>289</v>
      </c>
      <c r="F170" s="299" t="s">
        <v>896</v>
      </c>
      <c r="G170" s="299" t="s">
        <v>84</v>
      </c>
      <c r="H170" s="93" cm="1">
        <f t="array" ref="H17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14</v>
      </c>
      <c r="I170" s="289" t="str">
        <f t="shared" ref="I170:I199" si="12">VLOOKUP(H170,$AO$11:$AP$17,2,TRUE)</f>
        <v>III</v>
      </c>
      <c r="J170" s="296" t="s">
        <v>94</v>
      </c>
      <c r="K170" s="289" t="s">
        <v>8</v>
      </c>
      <c r="L170" s="289" t="s">
        <v>8</v>
      </c>
      <c r="M170" s="299"/>
      <c r="N170" s="299"/>
      <c r="O170" s="299"/>
      <c r="P170" s="299"/>
      <c r="Q170" s="299"/>
      <c r="R170" s="299" t="s">
        <v>5</v>
      </c>
      <c r="S170" s="299" t="s">
        <v>8</v>
      </c>
      <c r="T170" s="299" t="s">
        <v>4</v>
      </c>
      <c r="U170" s="299"/>
      <c r="V170" s="299"/>
      <c r="W170" s="299"/>
      <c r="X170" s="299"/>
      <c r="Y170" s="299"/>
      <c r="Z170" s="299"/>
      <c r="AA170" s="302" t="str">
        <f>_xlfn.XLOOKUP(F6Results_2026[[#This Row],[Full_Name]],tblF42023[FULL_NAME],tblF42023[POINTS],"",0,1)</f>
        <v/>
      </c>
      <c r="AB170" s="302" t="str">
        <f>_xlfn.XLOOKUP(F6Results_2026[[#This Row],[Full_Name]],tblF42023[FULL_NAME],tblF42023[DIVISION],"",0,1)</f>
        <v/>
      </c>
      <c r="AC170" s="302" t="str">
        <f>_xlfn.XLOOKUP(F6Results_2026[[#This Row],[Full_Name]],tblF42023[FULL_NAME],tblF42023[POINTS],"",0,1)</f>
        <v/>
      </c>
      <c r="AD170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0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70" s="304" t="str">
        <f>_xlfn.XLOOKUP(F6Results_2026[[#This Row],[Full_Name]],tblF22021[FULL_NAME],tblF22021[POINTS],"",0,1)</f>
        <v/>
      </c>
      <c r="AG170" s="304" t="str">
        <f>_xlfn.XLOOKUP(F6Results_2026[[#This Row],[Full_Name]],tblF42023[FULL_NAME],tblF42023[DIVISION],"",0,1)</f>
        <v/>
      </c>
      <c r="AH170" s="305" t="str">
        <f>_xlfn.XLOOKUP(F6Results_2026[[#This Row],[Full_Name]],tblF42023[FULL_NAME],tblF42023[TOTAL A''S],"",0,1)</f>
        <v/>
      </c>
      <c r="AI170" s="259"/>
    </row>
    <row r="171" spans="1:35" x14ac:dyDescent="0.3">
      <c r="A171" s="284" t="s">
        <v>281</v>
      </c>
      <c r="B171" s="296">
        <v>2026</v>
      </c>
      <c r="C171" s="285">
        <v>20130983058</v>
      </c>
      <c r="D171" s="297" t="s">
        <v>938</v>
      </c>
      <c r="E171" s="298" t="s">
        <v>240</v>
      </c>
      <c r="F171" s="298" t="s">
        <v>896</v>
      </c>
      <c r="G171" s="298" t="s">
        <v>84</v>
      </c>
      <c r="H171" s="93" cm="1">
        <f t="array" ref="H17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21</v>
      </c>
      <c r="I171" s="298" t="str">
        <f t="shared" si="12"/>
        <v>O</v>
      </c>
      <c r="J171" s="296" t="s">
        <v>94</v>
      </c>
      <c r="K171" s="296" t="s">
        <v>5</v>
      </c>
      <c r="L171" s="296" t="s">
        <v>2</v>
      </c>
      <c r="M171" s="298"/>
      <c r="N171" s="298"/>
      <c r="O171" s="298"/>
      <c r="P171" s="298"/>
      <c r="Q171" s="298" t="s">
        <v>8</v>
      </c>
      <c r="R171" s="298" t="s">
        <v>8</v>
      </c>
      <c r="S171" s="298" t="s">
        <v>8</v>
      </c>
      <c r="T171" s="298"/>
      <c r="U171" s="298"/>
      <c r="V171" s="298"/>
      <c r="W171" s="298"/>
      <c r="X171" s="298"/>
      <c r="Y171" s="298"/>
      <c r="Z171" s="296">
        <f t="array" ref="Z171">SUM(IF(K171:Y171="A",1,0), IF(K171:Y171="B",2,0), IF(K171:Y171="C",3,0), IF(K171:Y171="D",4,0), IF(K171:Y171="E",5,0), IF(K171:Y171="S",6,0), IF(K171:Y171="F",7,0))</f>
        <v>26</v>
      </c>
      <c r="AA171" s="289" t="str">
        <f>_xlfn.XLOOKUP(F6Results_2026[[#This Row],[Full_Name]],tblF42023[FULL_NAME],tblF42023[POINTS],"",0,1)</f>
        <v/>
      </c>
      <c r="AB171" s="289" t="str">
        <f>_xlfn.XLOOKUP(F6Results_2026[[#This Row],[Full_Name]],tblF42023[FULL_NAME],tblF42023[DIVISION],"",0,1)</f>
        <v/>
      </c>
      <c r="AC171" s="289" t="str">
        <f>_xlfn.XLOOKUP(F6Results_2026[[#This Row],[Full_Name]],tblF42023[FULL_NAME],tblF42023[POINTS],"",0,1)</f>
        <v/>
      </c>
      <c r="AD17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1" s="299" t="str">
        <f>_xlfn.XLOOKUP(F6Results_2026[[#This Row],[Full_Name]],tblF22021[FULL_NAME],tblF22021[POINTS],"",0,1)</f>
        <v/>
      </c>
      <c r="AG171" s="299" t="str">
        <f>_xlfn.XLOOKUP(F6Results_2026[[#This Row],[Full_Name]],tblF42023[FULL_NAME],tblF42023[DIVISION],"",0,1)</f>
        <v/>
      </c>
      <c r="AH171" s="300" t="str">
        <f>_xlfn.XLOOKUP(F6Results_2026[[#This Row],[Full_Name]],tblF42023[FULL_NAME],tblF42023[TOTAL A''S],"",0,1)</f>
        <v/>
      </c>
      <c r="AI171" s="259"/>
    </row>
    <row r="172" spans="1:35" x14ac:dyDescent="0.3">
      <c r="A172" s="284" t="s">
        <v>279</v>
      </c>
      <c r="B172" s="296">
        <v>2026</v>
      </c>
      <c r="C172" s="285">
        <v>20130994847</v>
      </c>
      <c r="D172" s="297" t="s">
        <v>936</v>
      </c>
      <c r="E172" s="298" t="s">
        <v>240</v>
      </c>
      <c r="F172" s="298" t="s">
        <v>896</v>
      </c>
      <c r="G172" s="298" t="s">
        <v>84</v>
      </c>
      <c r="H172" s="93" cm="1">
        <f t="array" ref="H17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72" s="298" t="str">
        <f t="shared" si="12"/>
        <v>III</v>
      </c>
      <c r="J172" s="296" t="s">
        <v>94</v>
      </c>
      <c r="K172" s="296" t="s">
        <v>6</v>
      </c>
      <c r="L172" s="296" t="s">
        <v>4</v>
      </c>
      <c r="M172" s="298"/>
      <c r="N172" s="298"/>
      <c r="O172" s="298"/>
      <c r="P172" s="298"/>
      <c r="Q172" s="298" t="s">
        <v>8</v>
      </c>
      <c r="R172" s="298" t="s">
        <v>4</v>
      </c>
      <c r="S172" s="298" t="s">
        <v>4</v>
      </c>
      <c r="T172" s="298"/>
      <c r="U172" s="298"/>
      <c r="V172" s="298"/>
      <c r="W172" s="298"/>
      <c r="X172" s="298"/>
      <c r="Y172" s="298"/>
      <c r="Z172" s="296">
        <f t="array" ref="Z172">SUM(IF(K172:Y172="A",1,0), IF(K172:Y172="B",2,0), IF(K172:Y172="C",3,0), IF(K172:Y172="D",4,0), IF(K172:Y172="E",5,0), IF(K172:Y172="S",6,0), IF(K172:Y172="F",7,0))</f>
        <v>21</v>
      </c>
      <c r="AA172" s="289" t="str">
        <f>_xlfn.XLOOKUP(F6Results_2026[[#This Row],[Full_Name]],tblF42023[FULL_NAME],tblF42023[POINTS],"",0,1)</f>
        <v/>
      </c>
      <c r="AB172" s="289" t="str">
        <f>_xlfn.XLOOKUP(F6Results_2026[[#This Row],[Full_Name]],tblF42023[FULL_NAME],tblF42023[DIVISION],"",0,1)</f>
        <v/>
      </c>
      <c r="AC172" s="289" t="str">
        <f>_xlfn.XLOOKUP(F6Results_2026[[#This Row],[Full_Name]],tblF42023[FULL_NAME],tblF42023[POINTS],"",0,1)</f>
        <v/>
      </c>
      <c r="AD17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2" s="299" t="str">
        <f>_xlfn.XLOOKUP(F6Results_2026[[#This Row],[Full_Name]],tblF22021[FULL_NAME],tblF22021[POINTS],"",0,1)</f>
        <v/>
      </c>
      <c r="AG172" s="299" t="str">
        <f>_xlfn.XLOOKUP(F6Results_2026[[#This Row],[Full_Name]],tblF42023[FULL_NAME],tblF42023[DIVISION],"",0,1)</f>
        <v/>
      </c>
      <c r="AH172" s="300" t="str">
        <f>_xlfn.XLOOKUP(F6Results_2026[[#This Row],[Full_Name]],tblF42023[FULL_NAME],tblF42023[TOTAL A''S],"",0,1)</f>
        <v/>
      </c>
      <c r="AI172" s="259"/>
    </row>
    <row r="173" spans="1:35" x14ac:dyDescent="0.3">
      <c r="A173" s="301" t="s">
        <v>971</v>
      </c>
      <c r="B173" s="299">
        <v>2026</v>
      </c>
      <c r="C173" s="299">
        <v>20131009061</v>
      </c>
      <c r="D173" s="297" t="s">
        <v>972</v>
      </c>
      <c r="E173" s="299" t="s">
        <v>289</v>
      </c>
      <c r="F173" s="299" t="s">
        <v>896</v>
      </c>
      <c r="G173" s="299" t="s">
        <v>84</v>
      </c>
      <c r="H173" s="93" cm="1">
        <f t="array" ref="H17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73" s="289" t="str">
        <f t="shared" si="12"/>
        <v>I</v>
      </c>
      <c r="J173" s="296" t="s">
        <v>94</v>
      </c>
      <c r="K173" s="289" t="s">
        <v>6</v>
      </c>
      <c r="L173" s="289" t="s">
        <v>8</v>
      </c>
      <c r="M173" s="299"/>
      <c r="N173" s="299"/>
      <c r="O173" s="299"/>
      <c r="P173" s="299"/>
      <c r="Q173" s="299"/>
      <c r="R173" s="299" t="s">
        <v>4</v>
      </c>
      <c r="S173" s="299" t="s">
        <v>4</v>
      </c>
      <c r="T173" s="299" t="s">
        <v>4</v>
      </c>
      <c r="U173" s="299"/>
      <c r="V173" s="299"/>
      <c r="W173" s="299"/>
      <c r="X173" s="299"/>
      <c r="Y173" s="299"/>
      <c r="Z173" s="299"/>
      <c r="AA173" s="302" t="str">
        <f>_xlfn.XLOOKUP(F6Results_2026[[#This Row],[Full_Name]],tblF42023[FULL_NAME],tblF42023[POINTS],"",0,1)</f>
        <v/>
      </c>
      <c r="AB173" s="302" t="str">
        <f>_xlfn.XLOOKUP(F6Results_2026[[#This Row],[Full_Name]],tblF42023[FULL_NAME],tblF42023[DIVISION],"",0,1)</f>
        <v/>
      </c>
      <c r="AC173" s="302" t="str">
        <f>_xlfn.XLOOKUP(F6Results_2026[[#This Row],[Full_Name]],tblF42023[FULL_NAME],tblF42023[POINTS],"",0,1)</f>
        <v/>
      </c>
      <c r="AD173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3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73" s="304" t="str">
        <f>_xlfn.XLOOKUP(F6Results_2026[[#This Row],[Full_Name]],tblF22021[FULL_NAME],tblF22021[POINTS],"",0,1)</f>
        <v/>
      </c>
      <c r="AG173" s="304" t="str">
        <f>_xlfn.XLOOKUP(F6Results_2026[[#This Row],[Full_Name]],tblF42023[FULL_NAME],tblF42023[DIVISION],"",0,1)</f>
        <v/>
      </c>
      <c r="AH173" s="305" t="str">
        <f>_xlfn.XLOOKUP(F6Results_2026[[#This Row],[Full_Name]],tblF42023[FULL_NAME],tblF42023[TOTAL A''S],"",0,1)</f>
        <v/>
      </c>
      <c r="AI173" s="259"/>
    </row>
    <row r="174" spans="1:35" x14ac:dyDescent="0.3">
      <c r="A174" s="284" t="s">
        <v>248</v>
      </c>
      <c r="B174" s="296">
        <v>2026</v>
      </c>
      <c r="C174" s="285">
        <v>20131012405</v>
      </c>
      <c r="D174" s="297" t="s">
        <v>925</v>
      </c>
      <c r="E174" s="296" t="s">
        <v>240</v>
      </c>
      <c r="F174" s="296" t="s">
        <v>896</v>
      </c>
      <c r="G174" s="296" t="s">
        <v>8</v>
      </c>
      <c r="H174" s="93" cm="1">
        <f t="array" ref="H17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18</v>
      </c>
      <c r="I174" s="298" t="str">
        <f t="shared" si="12"/>
        <v>IV</v>
      </c>
      <c r="J174" s="296" t="s">
        <v>94</v>
      </c>
      <c r="K174" s="298" t="s">
        <v>8</v>
      </c>
      <c r="L174" s="298" t="s">
        <v>5</v>
      </c>
      <c r="M174" s="296"/>
      <c r="N174" s="296"/>
      <c r="O174" s="296"/>
      <c r="P174" s="296"/>
      <c r="Q174" s="296" t="s">
        <v>5</v>
      </c>
      <c r="R174" s="296" t="s">
        <v>8</v>
      </c>
      <c r="S174" s="296" t="s">
        <v>8</v>
      </c>
      <c r="T174" s="296"/>
      <c r="U174" s="296"/>
      <c r="V174" s="296"/>
      <c r="W174" s="296"/>
      <c r="X174" s="296"/>
      <c r="Y174" s="296"/>
      <c r="Z174" s="296">
        <f t="array" ref="Z174">SUM(IF(K174:Y174="A",1,0), IF(K174:Y174="B",2,0), IF(K174:Y174="C",3,0), IF(K174:Y174="D",4,0), IF(K174:Y174="E",5,0), IF(K174:Y174="S",6,0), IF(K174:Y174="F",7,0))</f>
        <v>29</v>
      </c>
      <c r="AA174" s="289" t="str">
        <f>_xlfn.XLOOKUP(F6Results_2026[[#This Row],[Full_Name]],tblF42023[FULL_NAME],tblF42023[POINTS],"",0,1)</f>
        <v/>
      </c>
      <c r="AB174" s="289" t="str">
        <f>_xlfn.XLOOKUP(F6Results_2026[[#This Row],[Full_Name]],tblF42023[FULL_NAME],tblF42023[DIVISION],"",0,1)</f>
        <v/>
      </c>
      <c r="AC174" s="289" t="str">
        <f>_xlfn.XLOOKUP(F6Results_2026[[#This Row],[Full_Name]],tblF42023[FULL_NAME],tblF42023[POINTS],"",0,1)</f>
        <v/>
      </c>
      <c r="AD174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4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4" s="299" t="str">
        <f>_xlfn.XLOOKUP(F6Results_2026[[#This Row],[Full_Name]],tblF22021[FULL_NAME],tblF22021[POINTS],"",0,1)</f>
        <v/>
      </c>
      <c r="AG174" s="299" t="str">
        <f>_xlfn.XLOOKUP(F6Results_2026[[#This Row],[Full_Name]],tblF42023[FULL_NAME],tblF42023[DIVISION],"",0,1)</f>
        <v/>
      </c>
      <c r="AH174" s="300" t="str">
        <f>_xlfn.XLOOKUP(F6Results_2026[[#This Row],[Full_Name]],tblF42023[FULL_NAME],tblF42023[TOTAL A''S],"",0,1)</f>
        <v/>
      </c>
      <c r="AI174" s="259"/>
    </row>
    <row r="175" spans="1:35" x14ac:dyDescent="0.3">
      <c r="A175" s="301" t="s">
        <v>958</v>
      </c>
      <c r="B175" s="299">
        <v>2026</v>
      </c>
      <c r="C175" s="299">
        <v>20131012425</v>
      </c>
      <c r="D175" s="297" t="s">
        <v>959</v>
      </c>
      <c r="E175" s="299" t="s">
        <v>289</v>
      </c>
      <c r="F175" s="299" t="s">
        <v>896</v>
      </c>
      <c r="G175" s="299" t="s">
        <v>8</v>
      </c>
      <c r="H175" s="93" cm="1">
        <f t="array" ref="H17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75" s="289" t="str">
        <f t="shared" si="12"/>
        <v>II</v>
      </c>
      <c r="J175" s="296" t="s">
        <v>94</v>
      </c>
      <c r="K175" s="289" t="s">
        <v>8</v>
      </c>
      <c r="L175" s="289" t="s">
        <v>8</v>
      </c>
      <c r="M175" s="299"/>
      <c r="N175" s="299"/>
      <c r="O175" s="299"/>
      <c r="P175" s="299"/>
      <c r="Q175" s="299"/>
      <c r="R175" s="299" t="s">
        <v>5</v>
      </c>
      <c r="S175" s="299" t="s">
        <v>4</v>
      </c>
      <c r="T175" s="299" t="s">
        <v>5</v>
      </c>
      <c r="U175" s="299"/>
      <c r="V175" s="299"/>
      <c r="W175" s="299"/>
      <c r="X175" s="299"/>
      <c r="Y175" s="299"/>
      <c r="Z175" s="299"/>
      <c r="AA175" s="302" t="str">
        <f>_xlfn.XLOOKUP(F6Results_2026[[#This Row],[Full_Name]],tblF42023[FULL_NAME],tblF42023[POINTS],"",0,1)</f>
        <v/>
      </c>
      <c r="AB175" s="302" t="str">
        <f>_xlfn.XLOOKUP(F6Results_2026[[#This Row],[Full_Name]],tblF42023[FULL_NAME],tblF42023[DIVISION],"",0,1)</f>
        <v/>
      </c>
      <c r="AC175" s="302" t="str">
        <f>_xlfn.XLOOKUP(F6Results_2026[[#This Row],[Full_Name]],tblF42023[FULL_NAME],tblF42023[POINTS],"",0,1)</f>
        <v/>
      </c>
      <c r="AD175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5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75" s="304" t="str">
        <f>_xlfn.XLOOKUP(F6Results_2026[[#This Row],[Full_Name]],tblF22021[FULL_NAME],tblF22021[POINTS],"",0,1)</f>
        <v/>
      </c>
      <c r="AG175" s="304" t="str">
        <f>_xlfn.XLOOKUP(F6Results_2026[[#This Row],[Full_Name]],tblF42023[FULL_NAME],tblF42023[DIVISION],"",0,1)</f>
        <v/>
      </c>
      <c r="AH175" s="305" t="str">
        <f>_xlfn.XLOOKUP(F6Results_2026[[#This Row],[Full_Name]],tblF42023[FULL_NAME],tblF42023[TOTAL A''S],"",0,1)</f>
        <v/>
      </c>
      <c r="AI175" s="259"/>
    </row>
    <row r="176" spans="1:35" x14ac:dyDescent="0.3">
      <c r="A176" s="284" t="s">
        <v>135</v>
      </c>
      <c r="B176" s="296">
        <v>2026</v>
      </c>
      <c r="C176" s="285">
        <v>20131013703</v>
      </c>
      <c r="D176" s="297" t="s">
        <v>909</v>
      </c>
      <c r="E176" s="298" t="s">
        <v>40</v>
      </c>
      <c r="F176" s="298" t="s">
        <v>41</v>
      </c>
      <c r="G176" s="298" t="s">
        <v>84</v>
      </c>
      <c r="H176" s="93" cm="1">
        <f t="array" ref="H17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76" s="298" t="str">
        <f t="shared" si="12"/>
        <v>I</v>
      </c>
      <c r="J176" s="296" t="s">
        <v>94</v>
      </c>
      <c r="K176" s="296" t="s">
        <v>6</v>
      </c>
      <c r="L176" s="296"/>
      <c r="M176" s="298" t="s">
        <v>4</v>
      </c>
      <c r="N176" s="298" t="s">
        <v>4</v>
      </c>
      <c r="O176" s="298" t="s">
        <v>2</v>
      </c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6">
        <f t="array" ref="Z176">SUM(IF(K176:Y176="A",1,0), IF(K176:Y176="B",2,0), IF(K176:Y176="C",3,0), IF(K176:Y176="D",4,0), IF(K176:Y176="E",5,0), IF(K176:Y176="S",6,0), IF(K176:Y176="F",7,0))</f>
        <v>12</v>
      </c>
      <c r="AA176" s="289" t="str">
        <f>_xlfn.XLOOKUP(F6Results_2026[[#This Row],[Full_Name]],tblF42023[FULL_NAME],tblF42023[POINTS],"",0,1)</f>
        <v/>
      </c>
      <c r="AB176" s="289" t="str">
        <f>_xlfn.XLOOKUP(F6Results_2026[[#This Row],[Full_Name]],tblF42023[FULL_NAME],tblF42023[DIVISION],"",0,1)</f>
        <v/>
      </c>
      <c r="AC176" s="289" t="str">
        <f>_xlfn.XLOOKUP(F6Results_2026[[#This Row],[Full_Name]],tblF42023[FULL_NAME],tblF42023[POINTS],"",0,1)</f>
        <v/>
      </c>
      <c r="AD176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6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6" s="299" t="str">
        <f>_xlfn.XLOOKUP(F6Results_2026[[#This Row],[Full_Name]],tblF22021[FULL_NAME],tblF22021[POINTS],"",0,1)</f>
        <v/>
      </c>
      <c r="AG176" s="299" t="str">
        <f>_xlfn.XLOOKUP(F6Results_2026[[#This Row],[Full_Name]],tblF42023[FULL_NAME],tblF42023[DIVISION],"",0,1)</f>
        <v/>
      </c>
      <c r="AH176" s="300" t="str">
        <f>_xlfn.XLOOKUP(F6Results_2026[[#This Row],[Full_Name]],tblF42023[FULL_NAME],tblF42023[TOTAL A''S],"",0,1)</f>
        <v/>
      </c>
      <c r="AI176" s="259"/>
    </row>
    <row r="177" spans="1:37" x14ac:dyDescent="0.3">
      <c r="A177" s="284" t="s">
        <v>297</v>
      </c>
      <c r="B177" s="296">
        <v>2026</v>
      </c>
      <c r="C177" s="285">
        <v>20131013970</v>
      </c>
      <c r="D177" s="297" t="s">
        <v>949</v>
      </c>
      <c r="E177" s="296" t="s">
        <v>240</v>
      </c>
      <c r="F177" s="296" t="s">
        <v>896</v>
      </c>
      <c r="G177" s="296" t="s">
        <v>84</v>
      </c>
      <c r="H177" s="93" cm="1">
        <f t="array" ref="H17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177" s="298" t="str">
        <f t="shared" si="12"/>
        <v>III</v>
      </c>
      <c r="J177" s="296" t="s">
        <v>94</v>
      </c>
      <c r="K177" s="298" t="s">
        <v>7</v>
      </c>
      <c r="L177" s="298" t="s">
        <v>8</v>
      </c>
      <c r="M177" s="296"/>
      <c r="N177" s="296"/>
      <c r="O177" s="296"/>
      <c r="P177" s="296"/>
      <c r="Q177" s="296" t="s">
        <v>8</v>
      </c>
      <c r="R177" s="296" t="s">
        <v>4</v>
      </c>
      <c r="S177" s="296" t="s">
        <v>8</v>
      </c>
      <c r="T177" s="296"/>
      <c r="U177" s="296"/>
      <c r="V177" s="296"/>
      <c r="W177" s="296"/>
      <c r="X177" s="296"/>
      <c r="Y177" s="296"/>
      <c r="Z177" s="296">
        <f t="array" ref="Z177">SUM(IF(K177:Y177="A",1,0), IF(K177:Y177="B",2,0), IF(K177:Y177="C",3,0), IF(K177:Y177="D",4,0), IF(K177:Y177="E",5,0), IF(K177:Y177="S",6,0), IF(K177:Y177="F",7,0))</f>
        <v>30</v>
      </c>
      <c r="AA177" s="289" t="str">
        <f>_xlfn.XLOOKUP(F6Results_2026[[#This Row],[Full_Name]],tblF42023[FULL_NAME],tblF42023[POINTS],"",0,1)</f>
        <v/>
      </c>
      <c r="AB177" s="289" t="str">
        <f>_xlfn.XLOOKUP(F6Results_2026[[#This Row],[Full_Name]],tblF42023[FULL_NAME],tblF42023[DIVISION],"",0,1)</f>
        <v/>
      </c>
      <c r="AC177" s="289" t="str">
        <f>_xlfn.XLOOKUP(F6Results_2026[[#This Row],[Full_Name]],tblF42023[FULL_NAME],tblF42023[POINTS],"",0,1)</f>
        <v/>
      </c>
      <c r="AD17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7" s="299" t="str">
        <f>_xlfn.XLOOKUP(F6Results_2026[[#This Row],[Full_Name]],tblF22021[FULL_NAME],tblF22021[POINTS],"",0,1)</f>
        <v/>
      </c>
      <c r="AG177" s="299" t="str">
        <f>_xlfn.XLOOKUP(F6Results_2026[[#This Row],[Full_Name]],tblF42023[FULL_NAME],tblF42023[DIVISION],"",0,1)</f>
        <v/>
      </c>
      <c r="AH177" s="300" t="str">
        <f>_xlfn.XLOOKUP(F6Results_2026[[#This Row],[Full_Name]],tblF42023[FULL_NAME],tblF42023[TOTAL A''S],"",0,1)</f>
        <v/>
      </c>
      <c r="AI177" s="259"/>
      <c r="AJ177" s="252"/>
      <c r="AK177" s="252"/>
    </row>
    <row r="178" spans="1:37" x14ac:dyDescent="0.3">
      <c r="A178" s="284" t="s">
        <v>287</v>
      </c>
      <c r="B178" s="296">
        <v>2026</v>
      </c>
      <c r="C178" s="285">
        <v>20131014699</v>
      </c>
      <c r="D178" s="297" t="s">
        <v>942</v>
      </c>
      <c r="E178" s="296" t="s">
        <v>240</v>
      </c>
      <c r="F178" s="296" t="s">
        <v>896</v>
      </c>
      <c r="G178" s="296" t="s">
        <v>84</v>
      </c>
      <c r="H178" s="93" cm="1">
        <f t="array" ref="H17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178" s="298" t="str">
        <f t="shared" si="12"/>
        <v>III</v>
      </c>
      <c r="J178" s="296" t="s">
        <v>94</v>
      </c>
      <c r="K178" s="298" t="s">
        <v>6</v>
      </c>
      <c r="L178" s="298" t="s">
        <v>6</v>
      </c>
      <c r="M178" s="296"/>
      <c r="N178" s="296"/>
      <c r="O178" s="296"/>
      <c r="P178" s="296"/>
      <c r="Q178" s="296" t="s">
        <v>8</v>
      </c>
      <c r="R178" s="296" t="s">
        <v>4</v>
      </c>
      <c r="S178" s="296" t="s">
        <v>8</v>
      </c>
      <c r="T178" s="296"/>
      <c r="U178" s="296"/>
      <c r="V178" s="296"/>
      <c r="W178" s="296"/>
      <c r="X178" s="296"/>
      <c r="Y178" s="296"/>
      <c r="Z178" s="296">
        <f t="array" ref="Z178">SUM(IF(K178:Y178="A",1,0), IF(K178:Y178="B",2,0), IF(K178:Y178="C",3,0), IF(K178:Y178="D",4,0), IF(K178:Y178="E",5,0), IF(K178:Y178="S",6,0), IF(K178:Y178="F",7,0))</f>
        <v>27</v>
      </c>
      <c r="AA178" s="289" t="str">
        <f>_xlfn.XLOOKUP(F6Results_2026[[#This Row],[Full_Name]],tblF42023[FULL_NAME],tblF42023[POINTS],"",0,1)</f>
        <v/>
      </c>
      <c r="AB178" s="289" t="str">
        <f>_xlfn.XLOOKUP(F6Results_2026[[#This Row],[Full_Name]],tblF42023[FULL_NAME],tblF42023[DIVISION],"",0,1)</f>
        <v/>
      </c>
      <c r="AC178" s="289" t="str">
        <f>_xlfn.XLOOKUP(F6Results_2026[[#This Row],[Full_Name]],tblF42023[FULL_NAME],tblF42023[POINTS],"",0,1)</f>
        <v/>
      </c>
      <c r="AD17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8" s="299" t="str">
        <f>_xlfn.XLOOKUP(F6Results_2026[[#This Row],[Full_Name]],tblF22021[FULL_NAME],tblF22021[POINTS],"",0,1)</f>
        <v/>
      </c>
      <c r="AG178" s="299" t="str">
        <f>_xlfn.XLOOKUP(F6Results_2026[[#This Row],[Full_Name]],tblF42023[FULL_NAME],tblF42023[DIVISION],"",0,1)</f>
        <v/>
      </c>
      <c r="AH178" s="300" t="str">
        <f>_xlfn.XLOOKUP(F6Results_2026[[#This Row],[Full_Name]],tblF42023[FULL_NAME],tblF42023[TOTAL A''S],"",0,1)</f>
        <v/>
      </c>
      <c r="AI178" s="259"/>
      <c r="AJ178" s="252"/>
      <c r="AK178" s="252"/>
    </row>
    <row r="179" spans="1:37" x14ac:dyDescent="0.3">
      <c r="A179" s="284" t="s">
        <v>93</v>
      </c>
      <c r="B179" s="296">
        <v>2026</v>
      </c>
      <c r="C179" s="285">
        <v>20131020830</v>
      </c>
      <c r="D179" s="297" t="s">
        <v>898</v>
      </c>
      <c r="E179" s="298" t="s">
        <v>40</v>
      </c>
      <c r="F179" s="298" t="s">
        <v>41</v>
      </c>
      <c r="G179" s="298" t="s">
        <v>8</v>
      </c>
      <c r="H179" s="93" cm="1">
        <f t="array" ref="H17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6</v>
      </c>
      <c r="I179" s="298" t="str">
        <f t="shared" si="12"/>
        <v>I</v>
      </c>
      <c r="J179" s="296" t="s">
        <v>94</v>
      </c>
      <c r="K179" s="296" t="s">
        <v>5</v>
      </c>
      <c r="L179" s="296"/>
      <c r="M179" s="298" t="s">
        <v>4</v>
      </c>
      <c r="N179" s="298" t="s">
        <v>3</v>
      </c>
      <c r="O179" s="298" t="s">
        <v>2</v>
      </c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6">
        <f t="array" ref="Z179">SUM(IF(K179:Y179="A",1,0), IF(K179:Y179="B",2,0), IF(K179:Y179="C",3,0), IF(K179:Y179="D",4,0), IF(K179:Y179="E",5,0), IF(K179:Y179="S",6,0), IF(K179:Y179="F",7,0))</f>
        <v>10</v>
      </c>
      <c r="AA179" s="289" t="str">
        <f>_xlfn.XLOOKUP(F6Results_2026[[#This Row],[Full_Name]],tblF42023[FULL_NAME],tblF42023[POINTS],"",0,1)</f>
        <v/>
      </c>
      <c r="AB179" s="289" t="str">
        <f>_xlfn.XLOOKUP(F6Results_2026[[#This Row],[Full_Name]],tblF42023[FULL_NAME],tblF42023[DIVISION],"",0,1)</f>
        <v/>
      </c>
      <c r="AC179" s="289" t="str">
        <f>_xlfn.XLOOKUP(F6Results_2026[[#This Row],[Full_Name]],tblF42023[FULL_NAME],tblF42023[POINTS],"",0,1)</f>
        <v/>
      </c>
      <c r="AD179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79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79" s="299" t="str">
        <f>_xlfn.XLOOKUP(F6Results_2026[[#This Row],[Full_Name]],tblF22021[FULL_NAME],tblF22021[POINTS],"",0,1)</f>
        <v/>
      </c>
      <c r="AG179" s="299" t="str">
        <f>_xlfn.XLOOKUP(F6Results_2026[[#This Row],[Full_Name]],tblF42023[FULL_NAME],tblF42023[DIVISION],"",0,1)</f>
        <v/>
      </c>
      <c r="AH179" s="300" t="str">
        <f>_xlfn.XLOOKUP(F6Results_2026[[#This Row],[Full_Name]],tblF42023[FULL_NAME],tblF42023[TOTAL A''S],"",0,1)</f>
        <v/>
      </c>
      <c r="AI179" s="259"/>
      <c r="AJ179" s="252"/>
      <c r="AK179" s="252"/>
    </row>
    <row r="180" spans="1:37" x14ac:dyDescent="0.3">
      <c r="A180" s="284" t="s">
        <v>274</v>
      </c>
      <c r="B180" s="296">
        <v>2026</v>
      </c>
      <c r="C180" s="285">
        <v>20131026011</v>
      </c>
      <c r="D180" s="297" t="s">
        <v>931</v>
      </c>
      <c r="E180" s="296" t="s">
        <v>240</v>
      </c>
      <c r="F180" s="296" t="s">
        <v>896</v>
      </c>
      <c r="G180" s="296" t="s">
        <v>84</v>
      </c>
      <c r="H180" s="93" cm="1">
        <f t="array" ref="H18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80" s="298" t="str">
        <f t="shared" si="12"/>
        <v>II</v>
      </c>
      <c r="J180" s="296" t="s">
        <v>94</v>
      </c>
      <c r="K180" s="298" t="s">
        <v>6</v>
      </c>
      <c r="L180" s="298" t="s">
        <v>3</v>
      </c>
      <c r="M180" s="296"/>
      <c r="N180" s="296"/>
      <c r="O180" s="296"/>
      <c r="P180" s="296"/>
      <c r="Q180" s="296" t="s">
        <v>5</v>
      </c>
      <c r="R180" s="296" t="s">
        <v>4</v>
      </c>
      <c r="S180" s="296" t="s">
        <v>5</v>
      </c>
      <c r="T180" s="296"/>
      <c r="U180" s="296"/>
      <c r="V180" s="296"/>
      <c r="W180" s="296"/>
      <c r="X180" s="296"/>
      <c r="Y180" s="296"/>
      <c r="Z180" s="296">
        <f t="array" ref="Z180">SUM(IF(K180:Y180="A",1,0), IF(K180:Y180="B",2,0), IF(K180:Y180="C",3,0), IF(K180:Y180="D",4,0), IF(K180:Y180="E",5,0), IF(K180:Y180="S",6,0), IF(K180:Y180="F",7,0))</f>
        <v>18</v>
      </c>
      <c r="AA180" s="289" t="str">
        <f>_xlfn.XLOOKUP(F6Results_2026[[#This Row],[Full_Name]],tblF42023[FULL_NAME],tblF42023[POINTS],"",0,1)</f>
        <v/>
      </c>
      <c r="AB180" s="289" t="str">
        <f>_xlfn.XLOOKUP(F6Results_2026[[#This Row],[Full_Name]],tblF42023[FULL_NAME],tblF42023[DIVISION],"",0,1)</f>
        <v/>
      </c>
      <c r="AC180" s="289" t="str">
        <f>_xlfn.XLOOKUP(F6Results_2026[[#This Row],[Full_Name]],tblF42023[FULL_NAME],tblF42023[POINTS],"",0,1)</f>
        <v/>
      </c>
      <c r="AD180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0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0" s="299" t="str">
        <f>_xlfn.XLOOKUP(F6Results_2026[[#This Row],[Full_Name]],tblF22021[FULL_NAME],tblF22021[POINTS],"",0,1)</f>
        <v/>
      </c>
      <c r="AG180" s="299" t="str">
        <f>_xlfn.XLOOKUP(F6Results_2026[[#This Row],[Full_Name]],tblF42023[FULL_NAME],tblF42023[DIVISION],"",0,1)</f>
        <v/>
      </c>
      <c r="AH180" s="300" t="str">
        <f>_xlfn.XLOOKUP(F6Results_2026[[#This Row],[Full_Name]],tblF42023[FULL_NAME],tblF42023[TOTAL A''S],"",0,1)</f>
        <v/>
      </c>
      <c r="AI180" s="259"/>
      <c r="AJ180" s="252"/>
      <c r="AK180" s="252"/>
    </row>
    <row r="181" spans="1:37" x14ac:dyDescent="0.3">
      <c r="A181" s="284" t="s">
        <v>249</v>
      </c>
      <c r="B181" s="296">
        <v>2026</v>
      </c>
      <c r="C181" s="285">
        <v>20131029758</v>
      </c>
      <c r="D181" s="297" t="s">
        <v>926</v>
      </c>
      <c r="E181" s="298" t="s">
        <v>240</v>
      </c>
      <c r="F181" s="298" t="s">
        <v>896</v>
      </c>
      <c r="G181" s="298" t="s">
        <v>8</v>
      </c>
      <c r="H181" s="93" cm="1">
        <f t="array" ref="H18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81" s="298" t="str">
        <f t="shared" si="12"/>
        <v>III</v>
      </c>
      <c r="J181" s="296" t="s">
        <v>94</v>
      </c>
      <c r="K181" s="296" t="s">
        <v>5</v>
      </c>
      <c r="L181" s="296" t="s">
        <v>8</v>
      </c>
      <c r="M181" s="298"/>
      <c r="N181" s="298"/>
      <c r="O181" s="298"/>
      <c r="P181" s="298"/>
      <c r="Q181" s="298" t="s">
        <v>6</v>
      </c>
      <c r="R181" s="298" t="s">
        <v>6</v>
      </c>
      <c r="S181" s="298" t="s">
        <v>4</v>
      </c>
      <c r="T181" s="298"/>
      <c r="U181" s="298"/>
      <c r="V181" s="298"/>
      <c r="W181" s="298"/>
      <c r="X181" s="298"/>
      <c r="Y181" s="298"/>
      <c r="Z181" s="296">
        <f t="array" ref="Z181">SUM(IF(K181:Y181="A",1,0), IF(K181:Y181="B",2,0), IF(K181:Y181="C",3,0), IF(K181:Y181="D",4,0), IF(K181:Y181="E",5,0), IF(K181:Y181="S",6,0), IF(K181:Y181="F",7,0))</f>
        <v>24</v>
      </c>
      <c r="AA181" s="289" t="str">
        <f>_xlfn.XLOOKUP(F6Results_2026[[#This Row],[Full_Name]],tblF42023[FULL_NAME],tblF42023[POINTS],"",0,1)</f>
        <v/>
      </c>
      <c r="AB181" s="289" t="str">
        <f>_xlfn.XLOOKUP(F6Results_2026[[#This Row],[Full_Name]],tblF42023[FULL_NAME],tblF42023[DIVISION],"",0,1)</f>
        <v/>
      </c>
      <c r="AC181" s="289" t="str">
        <f>_xlfn.XLOOKUP(F6Results_2026[[#This Row],[Full_Name]],tblF42023[FULL_NAME],tblF42023[POINTS],"",0,1)</f>
        <v/>
      </c>
      <c r="AD181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1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1" s="299" t="str">
        <f>_xlfn.XLOOKUP(F6Results_2026[[#This Row],[Full_Name]],tblF22021[FULL_NAME],tblF22021[POINTS],"",0,1)</f>
        <v/>
      </c>
      <c r="AG181" s="299" t="str">
        <f>_xlfn.XLOOKUP(F6Results_2026[[#This Row],[Full_Name]],tblF42023[FULL_NAME],tblF42023[DIVISION],"",0,1)</f>
        <v/>
      </c>
      <c r="AH181" s="300" t="str">
        <f>_xlfn.XLOOKUP(F6Results_2026[[#This Row],[Full_Name]],tblF42023[FULL_NAME],tblF42023[TOTAL A''S],"",0,1)</f>
        <v/>
      </c>
      <c r="AI181" s="259"/>
      <c r="AJ181" s="252"/>
      <c r="AK181" s="252"/>
    </row>
    <row r="182" spans="1:37" x14ac:dyDescent="0.3">
      <c r="A182" s="284" t="s">
        <v>313</v>
      </c>
      <c r="B182" s="296">
        <v>2026</v>
      </c>
      <c r="C182" s="285">
        <v>20131029772</v>
      </c>
      <c r="D182" s="297" t="s">
        <v>314</v>
      </c>
      <c r="E182" s="298" t="s">
        <v>304</v>
      </c>
      <c r="F182" s="298" t="s">
        <v>895</v>
      </c>
      <c r="G182" s="298" t="s">
        <v>8</v>
      </c>
      <c r="H182" s="93" cm="1">
        <f t="array" ref="H18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17</v>
      </c>
      <c r="I182" s="298" t="str">
        <f t="shared" si="12"/>
        <v>III</v>
      </c>
      <c r="J182" s="296" t="s">
        <v>42</v>
      </c>
      <c r="K182" s="296" t="s">
        <v>6</v>
      </c>
      <c r="L182" s="296" t="s">
        <v>5</v>
      </c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 t="s">
        <v>8</v>
      </c>
      <c r="X182" s="298" t="s">
        <v>8</v>
      </c>
      <c r="Y182" s="298" t="s">
        <v>4</v>
      </c>
      <c r="Z182" s="296">
        <f t="array" ref="Z182">SUM(IF(K182:Y182="A",1,0), IF(K182:Y182="B",2,0), IF(K182:Y182="C",3,0), IF(K182:Y182="D",4,0), IF(K182:Y182="E",5,0), IF(K182:Y182="S",6,0), IF(K182:Y182="F",7,0))</f>
        <v>26</v>
      </c>
      <c r="AA182" s="289">
        <f>_xlfn.XLOOKUP(F6Results_2026[[#This Row],[Full_Name]],tblF42023[FULL_NAME],tblF42023[POINTS],"",0,1)</f>
        <v>7</v>
      </c>
      <c r="AB182" s="289" t="str">
        <f>_xlfn.XLOOKUP(F6Results_2026[[#This Row],[Full_Name]],tblF42023[FULL_NAME],tblF42023[DIVISION],"",0,1)</f>
        <v>I</v>
      </c>
      <c r="AC182" s="289">
        <f>_xlfn.XLOOKUP(F6Results_2026[[#This Row],[Full_Name]],tblF42023[FULL_NAME],tblF42023[POINTS],"",0,1)</f>
        <v>7</v>
      </c>
      <c r="AD182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2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2" s="299">
        <f>_xlfn.XLOOKUP(F6Results_2026[[#This Row],[Full_Name]],tblF22021[FULL_NAME],tblF22021[POINTS],"",0,1)</f>
        <v>7</v>
      </c>
      <c r="AG182" s="299" t="str">
        <f>_xlfn.XLOOKUP(F6Results_2026[[#This Row],[Full_Name]],tblF42023[FULL_NAME],tblF42023[DIVISION],"",0,1)</f>
        <v>I</v>
      </c>
      <c r="AH182" s="300">
        <f>_xlfn.XLOOKUP(F6Results_2026[[#This Row],[Full_Name]],tblF42023[FULL_NAME],tblF42023[TOTAL A''S],"",0,1)</f>
        <v>7</v>
      </c>
      <c r="AI182" s="259"/>
      <c r="AJ182" s="252"/>
      <c r="AK182" s="252"/>
    </row>
    <row r="183" spans="1:37" x14ac:dyDescent="0.3">
      <c r="A183" s="284" t="s">
        <v>323</v>
      </c>
      <c r="B183" s="296">
        <v>2026</v>
      </c>
      <c r="C183" s="285">
        <v>20131037705</v>
      </c>
      <c r="D183" s="297" t="s">
        <v>324</v>
      </c>
      <c r="E183" s="296" t="s">
        <v>304</v>
      </c>
      <c r="F183" s="296" t="s">
        <v>895</v>
      </c>
      <c r="G183" s="296" t="s">
        <v>84</v>
      </c>
      <c r="H183" s="93" cm="1">
        <f t="array" ref="H18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83" s="298" t="str">
        <f t="shared" si="12"/>
        <v>III</v>
      </c>
      <c r="J183" s="296" t="s">
        <v>42</v>
      </c>
      <c r="K183" s="298" t="s">
        <v>6</v>
      </c>
      <c r="L183" s="298" t="s">
        <v>4</v>
      </c>
      <c r="M183" s="296"/>
      <c r="N183" s="296"/>
      <c r="O183" s="296"/>
      <c r="P183" s="296"/>
      <c r="Q183" s="296"/>
      <c r="R183" s="296"/>
      <c r="S183" s="298"/>
      <c r="T183" s="296"/>
      <c r="U183" s="296"/>
      <c r="V183" s="296"/>
      <c r="W183" s="296" t="s">
        <v>4</v>
      </c>
      <c r="X183" s="296" t="s">
        <v>8</v>
      </c>
      <c r="Y183" s="296" t="s">
        <v>4</v>
      </c>
      <c r="Z183" s="296">
        <f t="array" ref="Z183">SUM(IF(K183:Y183="A",1,0), IF(K183:Y183="B",2,0), IF(K183:Y183="C",3,0), IF(K183:Y183="D",4,0), IF(K183:Y183="E",5,0), IF(K183:Y183="S",6,0), IF(K183:Y183="F",7,0))</f>
        <v>21</v>
      </c>
      <c r="AA183" s="289">
        <f>_xlfn.XLOOKUP(F6Results_2026[[#This Row],[Full_Name]],tblF42023[FULL_NAME],tblF42023[POINTS],"",0,1)</f>
        <v>12</v>
      </c>
      <c r="AB183" s="289" t="str">
        <f>_xlfn.XLOOKUP(F6Results_2026[[#This Row],[Full_Name]],tblF42023[FULL_NAME],tblF42023[DIVISION],"",0,1)</f>
        <v>I</v>
      </c>
      <c r="AC183" s="289">
        <f>_xlfn.XLOOKUP(F6Results_2026[[#This Row],[Full_Name]],tblF42023[FULL_NAME],tblF42023[POINTS],"",0,1)</f>
        <v>12</v>
      </c>
      <c r="AD183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3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3" s="299">
        <f>_xlfn.XLOOKUP(F6Results_2026[[#This Row],[Full_Name]],tblF22021[FULL_NAME],tblF22021[POINTS],"",0,1)</f>
        <v>9</v>
      </c>
      <c r="AG183" s="299" t="str">
        <f>_xlfn.XLOOKUP(F6Results_2026[[#This Row],[Full_Name]],tblF42023[FULL_NAME],tblF42023[DIVISION],"",0,1)</f>
        <v>I</v>
      </c>
      <c r="AH183" s="300">
        <f>_xlfn.XLOOKUP(F6Results_2026[[#This Row],[Full_Name]],tblF42023[FULL_NAME],tblF42023[TOTAL A''S],"",0,1)</f>
        <v>2</v>
      </c>
      <c r="AI183" s="259"/>
      <c r="AJ183" s="252"/>
      <c r="AK183" s="252"/>
    </row>
    <row r="184" spans="1:37" x14ac:dyDescent="0.3">
      <c r="A184" s="284" t="s">
        <v>115</v>
      </c>
      <c r="B184" s="296">
        <v>2026</v>
      </c>
      <c r="C184" s="285">
        <v>20131037880</v>
      </c>
      <c r="D184" s="297" t="s">
        <v>116</v>
      </c>
      <c r="E184" s="296" t="s">
        <v>40</v>
      </c>
      <c r="F184" s="296" t="s">
        <v>41</v>
      </c>
      <c r="G184" s="296" t="s">
        <v>8</v>
      </c>
      <c r="H184" s="93" cm="1">
        <f t="array" ref="H18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3</v>
      </c>
      <c r="I184" s="298" t="str">
        <f t="shared" si="12"/>
        <v>I</v>
      </c>
      <c r="J184" s="296" t="s">
        <v>42</v>
      </c>
      <c r="K184" s="298" t="s">
        <v>2</v>
      </c>
      <c r="L184" s="298"/>
      <c r="M184" s="446" t="s">
        <v>2</v>
      </c>
      <c r="N184" s="446" t="s">
        <v>2</v>
      </c>
      <c r="O184" s="296" t="s">
        <v>2</v>
      </c>
      <c r="P184" s="296"/>
      <c r="Q184" s="296"/>
      <c r="R184" s="296"/>
      <c r="S184" s="296"/>
      <c r="T184" s="296"/>
      <c r="U184" s="296"/>
      <c r="V184" s="296"/>
      <c r="W184" s="296"/>
      <c r="X184" s="296"/>
      <c r="Y184" s="296"/>
      <c r="Z184" s="296">
        <f t="array" ref="Z184">SUM(IF(K184:Y184="A",1,0), IF(K184:Y184="B",2,0), IF(K184:Y184="C",3,0), IF(K184:Y184="D",4,0), IF(K184:Y184="E",5,0), IF(K184:Y184="S",6,0), IF(K184:Y184="F",7,0))</f>
        <v>4</v>
      </c>
      <c r="AA184" s="289">
        <f>_xlfn.XLOOKUP(F6Results_2026[[#This Row],[Full_Name]],tblF42023[FULL_NAME],tblF42023[POINTS],"",0,1)</f>
        <v>16</v>
      </c>
      <c r="AB184" s="289" t="str">
        <f>_xlfn.XLOOKUP(F6Results_2026[[#This Row],[Full_Name]],tblF42023[FULL_NAME],tblF42023[DIVISION],"",0,1)</f>
        <v>I</v>
      </c>
      <c r="AC184" s="289">
        <f>_xlfn.XLOOKUP(F6Results_2026[[#This Row],[Full_Name]],tblF42023[FULL_NAME],tblF42023[POINTS],"",0,1)</f>
        <v>16</v>
      </c>
      <c r="AD184" s="299">
        <f>IFERROR(
   INDEX(tblF42023[[HKL]:[CBA]],
         MATCH(F6Results_2026[[#This Row],[Full_Name]], tblF42023[FULL_NAME], 0),
         MATCH(F6Results_2026[[#This Row],[Comb]], tblF42023[[#Headers],[HKL]:[CBA]], 0)
   ),
   ""
)</f>
        <v>8</v>
      </c>
      <c r="AE184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84" s="299">
        <f>_xlfn.XLOOKUP(F6Results_2026[[#This Row],[Full_Name]],tblF22021[FULL_NAME],tblF22021[POINTS],"",0,1)</f>
        <v>14</v>
      </c>
      <c r="AG184" s="299" t="str">
        <f>_xlfn.XLOOKUP(F6Results_2026[[#This Row],[Full_Name]],tblF42023[FULL_NAME],tblF42023[DIVISION],"",0,1)</f>
        <v>I</v>
      </c>
      <c r="AH184" s="300">
        <f>_xlfn.XLOOKUP(F6Results_2026[[#This Row],[Full_Name]],tblF42023[FULL_NAME],tblF42023[TOTAL A''S],"",0,1)</f>
        <v>2</v>
      </c>
      <c r="AI184" s="259"/>
      <c r="AJ184" s="252"/>
      <c r="AK184" s="252"/>
    </row>
    <row r="185" spans="1:37" x14ac:dyDescent="0.3">
      <c r="A185" s="284" t="s">
        <v>117</v>
      </c>
      <c r="B185" s="296">
        <v>2026</v>
      </c>
      <c r="C185" s="285">
        <v>20131037888</v>
      </c>
      <c r="D185" s="297" t="s">
        <v>118</v>
      </c>
      <c r="E185" s="298" t="s">
        <v>40</v>
      </c>
      <c r="F185" s="298" t="s">
        <v>41</v>
      </c>
      <c r="G185" s="298" t="s">
        <v>8</v>
      </c>
      <c r="H185" s="93" cm="1">
        <f t="array" ref="H18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85" s="298" t="str">
        <f t="shared" si="12"/>
        <v>I</v>
      </c>
      <c r="J185" s="296" t="s">
        <v>42</v>
      </c>
      <c r="K185" s="296" t="s">
        <v>6</v>
      </c>
      <c r="L185" s="296"/>
      <c r="M185" s="298" t="s">
        <v>5</v>
      </c>
      <c r="N185" s="296" t="s">
        <v>5</v>
      </c>
      <c r="O185" s="298" t="s">
        <v>2</v>
      </c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6">
        <f t="array" ref="Z185">SUM(IF(K185:Y185="A",1,0), IF(K185:Y185="B",2,0), IF(K185:Y185="C",3,0), IF(K185:Y185="D",4,0), IF(K185:Y185="E",5,0), IF(K185:Y185="S",6,0), IF(K185:Y185="F",7,0))</f>
        <v>14</v>
      </c>
      <c r="AA185" s="289">
        <f>_xlfn.XLOOKUP(F6Results_2026[[#This Row],[Full_Name]],tblF42023[FULL_NAME],tblF42023[POINTS],"",0,1)</f>
        <v>17</v>
      </c>
      <c r="AB185" s="289" t="str">
        <f>_xlfn.XLOOKUP(F6Results_2026[[#This Row],[Full_Name]],tblF42023[FULL_NAME],tblF42023[DIVISION],"",0,1)</f>
        <v>I</v>
      </c>
      <c r="AC185" s="289">
        <f>_xlfn.XLOOKUP(F6Results_2026[[#This Row],[Full_Name]],tblF42023[FULL_NAME],tblF42023[POINTS],"",0,1)</f>
        <v>17</v>
      </c>
      <c r="AD185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85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85" s="299">
        <f>_xlfn.XLOOKUP(F6Results_2026[[#This Row],[Full_Name]],tblF22021[FULL_NAME],tblF22021[POINTS],"",0,1)</f>
        <v>10</v>
      </c>
      <c r="AG185" s="299" t="str">
        <f>_xlfn.XLOOKUP(F6Results_2026[[#This Row],[Full_Name]],tblF42023[FULL_NAME],tblF42023[DIVISION],"",0,1)</f>
        <v>I</v>
      </c>
      <c r="AH185" s="300">
        <f>_xlfn.XLOOKUP(F6Results_2026[[#This Row],[Full_Name]],tblF42023[FULL_NAME],tblF42023[TOTAL A''S],"",0,1)</f>
        <v>2</v>
      </c>
      <c r="AI185" s="259"/>
      <c r="AJ185" s="252"/>
      <c r="AK185" s="252"/>
    </row>
    <row r="186" spans="1:37" x14ac:dyDescent="0.3">
      <c r="A186" s="284" t="s">
        <v>251</v>
      </c>
      <c r="B186" s="296">
        <v>2026</v>
      </c>
      <c r="C186" s="285">
        <v>20131048380</v>
      </c>
      <c r="D186" s="297" t="s">
        <v>928</v>
      </c>
      <c r="E186" s="298" t="s">
        <v>240</v>
      </c>
      <c r="F186" s="298" t="s">
        <v>896</v>
      </c>
      <c r="G186" s="298" t="s">
        <v>8</v>
      </c>
      <c r="H186" s="93" cm="1">
        <f t="array" ref="H18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86" s="298" t="str">
        <f t="shared" si="12"/>
        <v>III</v>
      </c>
      <c r="J186" s="296" t="s">
        <v>94</v>
      </c>
      <c r="K186" s="296" t="s">
        <v>5</v>
      </c>
      <c r="L186" s="296" t="s">
        <v>5</v>
      </c>
      <c r="M186" s="298"/>
      <c r="N186" s="298"/>
      <c r="O186" s="298"/>
      <c r="P186" s="298"/>
      <c r="Q186" s="298" t="s">
        <v>4</v>
      </c>
      <c r="R186" s="298" t="s">
        <v>4</v>
      </c>
      <c r="S186" s="298" t="s">
        <v>8</v>
      </c>
      <c r="T186" s="298"/>
      <c r="U186" s="298"/>
      <c r="V186" s="298"/>
      <c r="W186" s="298"/>
      <c r="X186" s="298"/>
      <c r="Y186" s="298"/>
      <c r="Z186" s="296">
        <f t="array" ref="Z186">SUM(IF(K186:Y186="A",1,0), IF(K186:Y186="B",2,0), IF(K186:Y186="C",3,0), IF(K186:Y186="D",4,0), IF(K186:Y186="E",5,0), IF(K186:Y186="S",6,0), IF(K186:Y186="F",7,0))</f>
        <v>21</v>
      </c>
      <c r="AA186" s="289" t="str">
        <f>_xlfn.XLOOKUP(F6Results_2026[[#This Row],[Full_Name]],tblF42023[FULL_NAME],tblF42023[POINTS],"",0,1)</f>
        <v/>
      </c>
      <c r="AB186" s="289" t="str">
        <f>_xlfn.XLOOKUP(F6Results_2026[[#This Row],[Full_Name]],tblF42023[FULL_NAME],tblF42023[DIVISION],"",0,1)</f>
        <v/>
      </c>
      <c r="AC186" s="289" t="str">
        <f>_xlfn.XLOOKUP(F6Results_2026[[#This Row],[Full_Name]],tblF42023[FULL_NAME],tblF42023[POINTS],"",0,1)</f>
        <v/>
      </c>
      <c r="AD186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6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6" s="299" t="str">
        <f>_xlfn.XLOOKUP(F6Results_2026[[#This Row],[Full_Name]],tblF22021[FULL_NAME],tblF22021[POINTS],"",0,1)</f>
        <v/>
      </c>
      <c r="AG186" s="299" t="str">
        <f>_xlfn.XLOOKUP(F6Results_2026[[#This Row],[Full_Name]],tblF42023[FULL_NAME],tblF42023[DIVISION],"",0,1)</f>
        <v/>
      </c>
      <c r="AH186" s="300" t="str">
        <f>_xlfn.XLOOKUP(F6Results_2026[[#This Row],[Full_Name]],tblF42023[FULL_NAME],tblF42023[TOTAL A''S],"",0,1)</f>
        <v/>
      </c>
      <c r="AI186" s="259"/>
      <c r="AJ186" s="252"/>
      <c r="AK186" s="252"/>
    </row>
    <row r="187" spans="1:37" x14ac:dyDescent="0.3">
      <c r="A187" s="284" t="s">
        <v>214</v>
      </c>
      <c r="B187" s="296">
        <v>2026</v>
      </c>
      <c r="C187" s="285">
        <v>20131056793</v>
      </c>
      <c r="D187" s="297" t="s">
        <v>912</v>
      </c>
      <c r="E187" s="298" t="s">
        <v>194</v>
      </c>
      <c r="F187" s="298" t="s">
        <v>896</v>
      </c>
      <c r="G187" s="298" t="s">
        <v>84</v>
      </c>
      <c r="H187" s="93" cm="1">
        <f t="array" ref="H18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10</v>
      </c>
      <c r="I187" s="298" t="str">
        <f t="shared" si="12"/>
        <v>II</v>
      </c>
      <c r="J187" s="296" t="s">
        <v>94</v>
      </c>
      <c r="K187" s="296" t="s">
        <v>8</v>
      </c>
      <c r="L187" s="296"/>
      <c r="M187" s="298"/>
      <c r="N187" s="298"/>
      <c r="O187" s="298"/>
      <c r="P187" s="298"/>
      <c r="Q187" s="298" t="s">
        <v>5</v>
      </c>
      <c r="R187" s="298" t="s">
        <v>4</v>
      </c>
      <c r="S187" s="298"/>
      <c r="T187" s="298"/>
      <c r="U187" s="298" t="s">
        <v>4</v>
      </c>
      <c r="V187" s="298"/>
      <c r="W187" s="298"/>
      <c r="X187" s="298"/>
      <c r="Y187" s="298"/>
      <c r="Z187" s="296">
        <f t="array" ref="Z187">SUM(IF(K187:Y187="A",1,0), IF(K187:Y187="B",2,0), IF(K187:Y187="C",3,0), IF(K187:Y187="D",4,0), IF(K187:Y187="E",5,0), IF(K187:Y187="S",6,0), IF(K187:Y187="F",7,0))</f>
        <v>17</v>
      </c>
      <c r="AA187" s="289" t="str">
        <f>_xlfn.XLOOKUP(F6Results_2026[[#This Row],[Full_Name]],tblF42023[FULL_NAME],tblF42023[POINTS],"",0,1)</f>
        <v/>
      </c>
      <c r="AB187" s="289" t="str">
        <f>_xlfn.XLOOKUP(F6Results_2026[[#This Row],[Full_Name]],tblF42023[FULL_NAME],tblF42023[DIVISION],"",0,1)</f>
        <v/>
      </c>
      <c r="AC187" s="289" t="str">
        <f>_xlfn.XLOOKUP(F6Results_2026[[#This Row],[Full_Name]],tblF42023[FULL_NAME],tblF42023[POINTS],"",0,1)</f>
        <v/>
      </c>
      <c r="AD18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7" s="299" t="str">
        <f>_xlfn.XLOOKUP(F6Results_2026[[#This Row],[Full_Name]],tblF22021[FULL_NAME],tblF22021[POINTS],"",0,1)</f>
        <v/>
      </c>
      <c r="AG187" s="299" t="str">
        <f>_xlfn.XLOOKUP(F6Results_2026[[#This Row],[Full_Name]],tblF42023[FULL_NAME],tblF42023[DIVISION],"",0,1)</f>
        <v/>
      </c>
      <c r="AH187" s="300" t="str">
        <f>_xlfn.XLOOKUP(F6Results_2026[[#This Row],[Full_Name]],tblF42023[FULL_NAME],tblF42023[TOTAL A''S],"",0,1)</f>
        <v/>
      </c>
      <c r="AI187" s="259"/>
      <c r="AJ187" s="252"/>
      <c r="AK187" s="252"/>
    </row>
    <row r="188" spans="1:37" x14ac:dyDescent="0.3">
      <c r="A188" s="284" t="s">
        <v>254</v>
      </c>
      <c r="B188" s="296">
        <v>2026</v>
      </c>
      <c r="C188" s="285">
        <v>20131152590</v>
      </c>
      <c r="D188" s="297" t="s">
        <v>929</v>
      </c>
      <c r="E188" s="298" t="s">
        <v>240</v>
      </c>
      <c r="F188" s="298" t="s">
        <v>896</v>
      </c>
      <c r="G188" s="298" t="s">
        <v>8</v>
      </c>
      <c r="H188" s="93" cm="1">
        <f t="array" ref="H18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88" s="298" t="str">
        <f t="shared" si="12"/>
        <v>III</v>
      </c>
      <c r="J188" s="296" t="s">
        <v>94</v>
      </c>
      <c r="K188" s="296" t="s">
        <v>6</v>
      </c>
      <c r="L188" s="296" t="s">
        <v>8</v>
      </c>
      <c r="M188" s="298"/>
      <c r="N188" s="298"/>
      <c r="O188" s="298"/>
      <c r="P188" s="298"/>
      <c r="Q188" s="298" t="s">
        <v>6</v>
      </c>
      <c r="R188" s="298" t="s">
        <v>6</v>
      </c>
      <c r="S188" s="298" t="s">
        <v>4</v>
      </c>
      <c r="T188" s="298"/>
      <c r="U188" s="298"/>
      <c r="V188" s="298"/>
      <c r="W188" s="298"/>
      <c r="X188" s="298"/>
      <c r="Y188" s="298"/>
      <c r="Z188" s="296">
        <f t="array" ref="Z188">SUM(IF(K188:Y188="A",1,0), IF(K188:Y188="B",2,0), IF(K188:Y188="C",3,0), IF(K188:Y188="D",4,0), IF(K188:Y188="E",5,0), IF(K188:Y188="S",6,0), IF(K188:Y188="F",7,0))</f>
        <v>25</v>
      </c>
      <c r="AA188" s="289" t="str">
        <f>_xlfn.XLOOKUP(F6Results_2026[[#This Row],[Full_Name]],tblF42023[FULL_NAME],tblF42023[POINTS],"",0,1)</f>
        <v/>
      </c>
      <c r="AB188" s="289" t="str">
        <f>_xlfn.XLOOKUP(F6Results_2026[[#This Row],[Full_Name]],tblF42023[FULL_NAME],tblF42023[DIVISION],"",0,1)</f>
        <v/>
      </c>
      <c r="AC188" s="289" t="str">
        <f>_xlfn.XLOOKUP(F6Results_2026[[#This Row],[Full_Name]],tblF42023[FULL_NAME],tblF42023[POINTS],"",0,1)</f>
        <v/>
      </c>
      <c r="AD188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8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88" s="299" t="str">
        <f>_xlfn.XLOOKUP(F6Results_2026[[#This Row],[Full_Name]],tblF22021[FULL_NAME],tblF22021[POINTS],"",0,1)</f>
        <v/>
      </c>
      <c r="AG188" s="299" t="str">
        <f>_xlfn.XLOOKUP(F6Results_2026[[#This Row],[Full_Name]],tblF42023[FULL_NAME],tblF42023[DIVISION],"",0,1)</f>
        <v/>
      </c>
      <c r="AH188" s="300" t="str">
        <f>_xlfn.XLOOKUP(F6Results_2026[[#This Row],[Full_Name]],tblF42023[FULL_NAME],tblF42023[TOTAL A''S],"",0,1)</f>
        <v/>
      </c>
      <c r="AI188" s="259"/>
      <c r="AJ188" s="252"/>
      <c r="AK188" s="252"/>
    </row>
    <row r="189" spans="1:37" x14ac:dyDescent="0.3">
      <c r="A189" s="301" t="s">
        <v>960</v>
      </c>
      <c r="B189" s="299">
        <v>2026</v>
      </c>
      <c r="C189" s="299">
        <v>20131879454</v>
      </c>
      <c r="D189" s="297" t="s">
        <v>961</v>
      </c>
      <c r="E189" s="299" t="s">
        <v>289</v>
      </c>
      <c r="F189" s="299" t="s">
        <v>896</v>
      </c>
      <c r="G189" s="299" t="s">
        <v>8</v>
      </c>
      <c r="H189" s="93" cm="1">
        <f t="array" ref="H18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189" s="289" t="str">
        <f t="shared" si="12"/>
        <v>II</v>
      </c>
      <c r="J189" s="296" t="s">
        <v>94</v>
      </c>
      <c r="K189" s="289" t="s">
        <v>6</v>
      </c>
      <c r="L189" s="289" t="s">
        <v>8</v>
      </c>
      <c r="M189" s="299"/>
      <c r="N189" s="299"/>
      <c r="O189" s="299"/>
      <c r="P189" s="299"/>
      <c r="Q189" s="299"/>
      <c r="R189" s="299" t="s">
        <v>6</v>
      </c>
      <c r="S189" s="299" t="s">
        <v>4</v>
      </c>
      <c r="T189" s="299" t="s">
        <v>5</v>
      </c>
      <c r="U189" s="299"/>
      <c r="V189" s="299"/>
      <c r="W189" s="299"/>
      <c r="X189" s="299"/>
      <c r="Y189" s="299"/>
      <c r="Z189" s="299"/>
      <c r="AA189" s="302" t="str">
        <f>_xlfn.XLOOKUP(F6Results_2026[[#This Row],[Full_Name]],tblF42023[FULL_NAME],tblF42023[POINTS],"",0,1)</f>
        <v/>
      </c>
      <c r="AB189" s="302" t="str">
        <f>_xlfn.XLOOKUP(F6Results_2026[[#This Row],[Full_Name]],tblF42023[FULL_NAME],tblF42023[DIVISION],"",0,1)</f>
        <v/>
      </c>
      <c r="AC189" s="302" t="str">
        <f>_xlfn.XLOOKUP(F6Results_2026[[#This Row],[Full_Name]],tblF42023[FULL_NAME],tblF42023[POINTS],"",0,1)</f>
        <v/>
      </c>
      <c r="AD189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89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89" s="304" t="str">
        <f>_xlfn.XLOOKUP(F6Results_2026[[#This Row],[Full_Name]],tblF22021[FULL_NAME],tblF22021[POINTS],"",0,1)</f>
        <v/>
      </c>
      <c r="AG189" s="304" t="str">
        <f>_xlfn.XLOOKUP(F6Results_2026[[#This Row],[Full_Name]],tblF42023[FULL_NAME],tblF42023[DIVISION],"",0,1)</f>
        <v/>
      </c>
      <c r="AH189" s="305" t="str">
        <f>_xlfn.XLOOKUP(F6Results_2026[[#This Row],[Full_Name]],tblF42023[FULL_NAME],tblF42023[TOTAL A''S],"",0,1)</f>
        <v/>
      </c>
      <c r="AI189" s="259"/>
      <c r="AJ189" s="252"/>
      <c r="AK189" s="252"/>
    </row>
    <row r="190" spans="1:37" x14ac:dyDescent="0.3">
      <c r="A190" s="284" t="s">
        <v>46</v>
      </c>
      <c r="B190" s="296">
        <v>2026</v>
      </c>
      <c r="C190" s="285">
        <v>20170428296</v>
      </c>
      <c r="D190" s="297" t="s">
        <v>47</v>
      </c>
      <c r="E190" s="296" t="s">
        <v>45</v>
      </c>
      <c r="F190" s="296" t="s">
        <v>41</v>
      </c>
      <c r="G190" s="296" t="s">
        <v>8</v>
      </c>
      <c r="H190" s="93" cm="1">
        <f t="array" ref="H190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90" s="298" t="str">
        <f t="shared" si="12"/>
        <v>I</v>
      </c>
      <c r="J190" s="296" t="s">
        <v>42</v>
      </c>
      <c r="K190" s="298" t="s">
        <v>5</v>
      </c>
      <c r="L190" s="298"/>
      <c r="M190" s="296" t="s">
        <v>4</v>
      </c>
      <c r="N190" s="296" t="s">
        <v>4</v>
      </c>
      <c r="O190" s="296"/>
      <c r="P190" s="296" t="s">
        <v>4</v>
      </c>
      <c r="Q190" s="296"/>
      <c r="R190" s="296"/>
      <c r="S190" s="296"/>
      <c r="T190" s="296"/>
      <c r="U190" s="296"/>
      <c r="V190" s="296"/>
      <c r="W190" s="296"/>
      <c r="X190" s="296"/>
      <c r="Y190" s="296"/>
      <c r="Z190" s="296">
        <f t="array" ref="Z190">SUM(IF(K190:Y190="A",1,0), IF(K190:Y190="B",2,0), IF(K190:Y190="C",3,0), IF(K190:Y190="D",4,0), IF(K190:Y190="E",5,0), IF(K190:Y190="S",6,0), IF(K190:Y190="F",7,0))</f>
        <v>13</v>
      </c>
      <c r="AA190" s="289">
        <f>_xlfn.XLOOKUP(F6Results_2026[[#This Row],[Full_Name]],tblF42023[FULL_NAME],tblF42023[POINTS],"",0,1)</f>
        <v>14</v>
      </c>
      <c r="AB190" s="289" t="str">
        <f>_xlfn.XLOOKUP(F6Results_2026[[#This Row],[Full_Name]],tblF42023[FULL_NAME],tblF42023[DIVISION],"",0,1)</f>
        <v>I</v>
      </c>
      <c r="AC190" s="289">
        <f>_xlfn.XLOOKUP(F6Results_2026[[#This Row],[Full_Name]],tblF42023[FULL_NAME],tblF42023[POINTS],"",0,1)</f>
        <v>14</v>
      </c>
      <c r="AD190" s="299">
        <f>IFERROR(
   INDEX(tblF42023[[HKL]:[CBA]],
         MATCH(F6Results_2026[[#This Row],[Full_Name]], tblF42023[FULL_NAME], 0),
         MATCH(F6Results_2026[[#This Row],[Comb]], tblF42023[[#Headers],[HKL]:[CBA]], 0)
   ),
   ""
)</f>
        <v>7</v>
      </c>
      <c r="AE190" s="299" t="str">
        <f>IFERROR(
   INDEX(tblF42023[],
         MATCH(F6Results_2026[[#This Row],[Full_Name]], tblF42023[FULL_NAME], 0),
         MATCH(F6Results_2026[[#This Row],[Comb]] &amp; "_Q", tblF42023[#Headers], 0)
   ),
   ""
)</f>
        <v>N</v>
      </c>
      <c r="AF190" s="299">
        <f>_xlfn.XLOOKUP(F6Results_2026[[#This Row],[Full_Name]],tblF22021[FULL_NAME],tblF22021[POINTS],"",0,1)</f>
        <v>11</v>
      </c>
      <c r="AG190" s="299" t="str">
        <f>_xlfn.XLOOKUP(F6Results_2026[[#This Row],[Full_Name]],tblF42023[FULL_NAME],tblF42023[DIVISION],"",0,1)</f>
        <v>I</v>
      </c>
      <c r="AH190" s="300">
        <f>_xlfn.XLOOKUP(F6Results_2026[[#This Row],[Full_Name]],tblF42023[FULL_NAME],tblF42023[TOTAL A''S],"",0,1)</f>
        <v>1</v>
      </c>
      <c r="AI190" s="259"/>
      <c r="AJ190" s="252"/>
      <c r="AK190" s="252"/>
    </row>
    <row r="191" spans="1:37" x14ac:dyDescent="0.3">
      <c r="A191" s="284" t="s">
        <v>199</v>
      </c>
      <c r="B191" s="296">
        <v>2026</v>
      </c>
      <c r="C191" s="285">
        <v>20170473877</v>
      </c>
      <c r="D191" s="297" t="s">
        <v>200</v>
      </c>
      <c r="E191" s="298" t="s">
        <v>194</v>
      </c>
      <c r="F191" s="298" t="s">
        <v>896</v>
      </c>
      <c r="G191" s="298" t="s">
        <v>8</v>
      </c>
      <c r="H191" s="93" cm="1">
        <f t="array" ref="H191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13</v>
      </c>
      <c r="I191" s="298" t="str">
        <f t="shared" si="12"/>
        <v>III</v>
      </c>
      <c r="J191" s="296" t="s">
        <v>42</v>
      </c>
      <c r="K191" s="296" t="s">
        <v>8</v>
      </c>
      <c r="L191" s="296"/>
      <c r="M191" s="298"/>
      <c r="N191" s="298"/>
      <c r="O191" s="298"/>
      <c r="P191" s="298"/>
      <c r="Q191" s="298" t="s">
        <v>4</v>
      </c>
      <c r="R191" s="298" t="s">
        <v>4</v>
      </c>
      <c r="S191" s="298"/>
      <c r="T191" s="298"/>
      <c r="U191" s="298" t="s">
        <v>8</v>
      </c>
      <c r="V191" s="298"/>
      <c r="W191" s="298"/>
      <c r="X191" s="298"/>
      <c r="Y191" s="298"/>
      <c r="Z191" s="296">
        <f t="array" ref="Z191">SUM(IF(K191:Y191="A",1,0), IF(K191:Y191="B",2,0), IF(K191:Y191="C",3,0), IF(K191:Y191="D",4,0), IF(K191:Y191="E",5,0), IF(K191:Y191="S",6,0), IF(K191:Y191="F",7,0))</f>
        <v>20</v>
      </c>
      <c r="AA191" s="289">
        <f>_xlfn.XLOOKUP(F6Results_2026[[#This Row],[Full_Name]],tblF42023[FULL_NAME],tblF42023[POINTS],"",0,1)</f>
        <v>9</v>
      </c>
      <c r="AB191" s="289" t="str">
        <f>_xlfn.XLOOKUP(F6Results_2026[[#This Row],[Full_Name]],tblF42023[FULL_NAME],tblF42023[DIVISION],"",0,1)</f>
        <v>I</v>
      </c>
      <c r="AC191" s="289">
        <f>_xlfn.XLOOKUP(F6Results_2026[[#This Row],[Full_Name]],tblF42023[FULL_NAME],tblF42023[POINTS],"",0,1)</f>
        <v>9</v>
      </c>
      <c r="AD191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91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91" s="299">
        <f>_xlfn.XLOOKUP(F6Results_2026[[#This Row],[Full_Name]],tblF22021[FULL_NAME],tblF22021[POINTS],"",0,1)</f>
        <v>7</v>
      </c>
      <c r="AG191" s="299" t="str">
        <f>_xlfn.XLOOKUP(F6Results_2026[[#This Row],[Full_Name]],tblF42023[FULL_NAME],tblF42023[DIVISION],"",0,1)</f>
        <v>I</v>
      </c>
      <c r="AH191" s="300">
        <f>_xlfn.XLOOKUP(F6Results_2026[[#This Row],[Full_Name]],tblF42023[FULL_NAME],tblF42023[TOTAL A''S],"",0,1)</f>
        <v>5</v>
      </c>
      <c r="AI191" s="259"/>
      <c r="AJ191" s="252"/>
      <c r="AK191" s="252"/>
    </row>
    <row r="192" spans="1:37" x14ac:dyDescent="0.3">
      <c r="A192" s="301" t="s">
        <v>956</v>
      </c>
      <c r="B192" s="299">
        <v>2026</v>
      </c>
      <c r="C192" s="299">
        <v>20170720122</v>
      </c>
      <c r="D192" s="297" t="s">
        <v>957</v>
      </c>
      <c r="E192" s="299" t="s">
        <v>289</v>
      </c>
      <c r="F192" s="299" t="s">
        <v>896</v>
      </c>
      <c r="G192" s="299" t="s">
        <v>8</v>
      </c>
      <c r="H192" s="93" cm="1">
        <f t="array" ref="H192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92" s="289" t="str">
        <f t="shared" si="12"/>
        <v>II</v>
      </c>
      <c r="J192" s="296" t="s">
        <v>94</v>
      </c>
      <c r="K192" s="289" t="s">
        <v>7</v>
      </c>
      <c r="L192" s="289" t="s">
        <v>8</v>
      </c>
      <c r="M192" s="299"/>
      <c r="N192" s="299"/>
      <c r="O192" s="299"/>
      <c r="P192" s="299"/>
      <c r="Q192" s="299"/>
      <c r="R192" s="299" t="s">
        <v>5</v>
      </c>
      <c r="S192" s="299" t="s">
        <v>4</v>
      </c>
      <c r="T192" s="299" t="s">
        <v>5</v>
      </c>
      <c r="U192" s="299"/>
      <c r="V192" s="299"/>
      <c r="W192" s="299"/>
      <c r="X192" s="299"/>
      <c r="Y192" s="299"/>
      <c r="Z192" s="299"/>
      <c r="AA192" s="302" t="str">
        <f>_xlfn.XLOOKUP(F6Results_2026[[#This Row],[Full_Name]],tblF42023[FULL_NAME],tblF42023[POINTS],"",0,1)</f>
        <v/>
      </c>
      <c r="AB192" s="302" t="str">
        <f>_xlfn.XLOOKUP(F6Results_2026[[#This Row],[Full_Name]],tblF42023[FULL_NAME],tblF42023[DIVISION],"",0,1)</f>
        <v/>
      </c>
      <c r="AC192" s="302" t="str">
        <f>_xlfn.XLOOKUP(F6Results_2026[[#This Row],[Full_Name]],tblF42023[FULL_NAME],tblF42023[POINTS],"",0,1)</f>
        <v/>
      </c>
      <c r="AD192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92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92" s="304" t="str">
        <f>_xlfn.XLOOKUP(F6Results_2026[[#This Row],[Full_Name]],tblF22021[FULL_NAME],tblF22021[POINTS],"",0,1)</f>
        <v/>
      </c>
      <c r="AG192" s="304" t="str">
        <f>_xlfn.XLOOKUP(F6Results_2026[[#This Row],[Full_Name]],tblF42023[FULL_NAME],tblF42023[DIVISION],"",0,1)</f>
        <v/>
      </c>
      <c r="AH192" s="305" t="str">
        <f>_xlfn.XLOOKUP(F6Results_2026[[#This Row],[Full_Name]],tblF42023[FULL_NAME],tblF42023[TOTAL A''S],"",0,1)</f>
        <v/>
      </c>
      <c r="AI192" s="259"/>
      <c r="AJ192" s="252"/>
      <c r="AK192" s="252"/>
    </row>
    <row r="193" spans="1:52" x14ac:dyDescent="0.3">
      <c r="A193" s="301" t="s">
        <v>984</v>
      </c>
      <c r="B193" s="299">
        <v>2026</v>
      </c>
      <c r="C193" s="299">
        <v>20170761332</v>
      </c>
      <c r="D193" s="297" t="s">
        <v>342</v>
      </c>
      <c r="E193" s="299" t="s">
        <v>978</v>
      </c>
      <c r="F193" s="299" t="s">
        <v>896</v>
      </c>
      <c r="G193" s="299" t="s">
        <v>84</v>
      </c>
      <c r="H193" s="93" cm="1">
        <f t="array" ref="H193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15</v>
      </c>
      <c r="I193" s="289" t="str">
        <f t="shared" si="12"/>
        <v>III</v>
      </c>
      <c r="J193" s="296" t="s">
        <v>42</v>
      </c>
      <c r="K193" s="289" t="s">
        <v>6</v>
      </c>
      <c r="L193" s="289"/>
      <c r="M193" s="299"/>
      <c r="N193" s="299"/>
      <c r="O193" s="299"/>
      <c r="P193" s="299"/>
      <c r="Q193" s="299" t="s">
        <v>8</v>
      </c>
      <c r="R193" s="299"/>
      <c r="S193" s="299"/>
      <c r="T193" s="299"/>
      <c r="U193" s="299" t="s">
        <v>6</v>
      </c>
      <c r="V193" s="299" t="s">
        <v>4</v>
      </c>
      <c r="W193" s="299"/>
      <c r="X193" s="299"/>
      <c r="Y193" s="299"/>
      <c r="Z193" s="299"/>
      <c r="AA193" s="302">
        <f>_xlfn.XLOOKUP(F6Results_2026[[#This Row],[Full_Name]],tblF42023[FULL_NAME],tblF42023[POINTS],"",0,1)</f>
        <v>9</v>
      </c>
      <c r="AB193" s="302" t="str">
        <f>_xlfn.XLOOKUP(F6Results_2026[[#This Row],[Full_Name]],tblF42023[FULL_NAME],tblF42023[DIVISION],"",0,1)</f>
        <v>I</v>
      </c>
      <c r="AC193" s="302">
        <f>_xlfn.XLOOKUP(F6Results_2026[[#This Row],[Full_Name]],tblF42023[FULL_NAME],tblF42023[POINTS],"",0,1)</f>
        <v>9</v>
      </c>
      <c r="AD193" s="303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93" s="303" t="str">
        <f>IFERROR(
   INDEX(tblF42023[],
         MATCH(F6Results_2026[[#This Row],[Full_Name]], tblF42023[FULL_NAME], 0),
         MATCH(F6Results_2026[[#This Row],[Comb]] &amp; "_Q", tblF42023[#Headers], 0)
   ),
   ""
)</f>
        <v/>
      </c>
      <c r="AF193" s="304">
        <f>_xlfn.XLOOKUP(F6Results_2026[[#This Row],[Full_Name]],tblF22021[FULL_NAME],tblF22021[POINTS],"",0,1)</f>
        <v>7</v>
      </c>
      <c r="AG193" s="304" t="str">
        <f>_xlfn.XLOOKUP(F6Results_2026[[#This Row],[Full_Name]],tblF42023[FULL_NAME],tblF42023[DIVISION],"",0,1)</f>
        <v>I</v>
      </c>
      <c r="AH193" s="305">
        <f>_xlfn.XLOOKUP(F6Results_2026[[#This Row],[Full_Name]],tblF42023[FULL_NAME],tblF42023[TOTAL A''S],"",0,1)</f>
        <v>5</v>
      </c>
      <c r="AI193" s="259"/>
      <c r="AJ193" s="252"/>
      <c r="AK193" s="252"/>
    </row>
    <row r="194" spans="1:52" x14ac:dyDescent="0.3">
      <c r="A194" s="284" t="s">
        <v>255</v>
      </c>
      <c r="B194" s="296">
        <v>2026</v>
      </c>
      <c r="C194" s="285">
        <v>20170782442</v>
      </c>
      <c r="D194" s="297" t="s">
        <v>256</v>
      </c>
      <c r="E194" s="296" t="s">
        <v>240</v>
      </c>
      <c r="F194" s="296" t="s">
        <v>896</v>
      </c>
      <c r="G194" s="296" t="s">
        <v>8</v>
      </c>
      <c r="H194" s="93" cm="1">
        <f t="array" ref="H194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94" s="298" t="str">
        <f t="shared" si="12"/>
        <v>II</v>
      </c>
      <c r="J194" s="296" t="s">
        <v>42</v>
      </c>
      <c r="K194" s="298" t="s">
        <v>6</v>
      </c>
      <c r="L194" s="298" t="s">
        <v>6</v>
      </c>
      <c r="M194" s="296"/>
      <c r="N194" s="296"/>
      <c r="O194" s="296"/>
      <c r="P194" s="296"/>
      <c r="Q194" s="296" t="s">
        <v>6</v>
      </c>
      <c r="R194" s="296" t="s">
        <v>4</v>
      </c>
      <c r="S194" s="296" t="s">
        <v>4</v>
      </c>
      <c r="T194" s="296"/>
      <c r="U194" s="296"/>
      <c r="V194" s="296"/>
      <c r="W194" s="296"/>
      <c r="X194" s="296"/>
      <c r="Y194" s="296"/>
      <c r="Z194" s="296">
        <f t="array" ref="Z194">SUM(IF(K194:Y194="A",1,0), IF(K194:Y194="B",2,0), IF(K194:Y194="C",3,0), IF(K194:Y194="D",4,0), IF(K194:Y194="E",5,0), IF(K194:Y194="S",6,0), IF(K194:Y194="F",7,0))</f>
        <v>21</v>
      </c>
      <c r="AA194" s="289">
        <f>_xlfn.XLOOKUP(F6Results_2026[[#This Row],[Full_Name]],tblF42023[FULL_NAME],tblF42023[POINTS],"",0,1)</f>
        <v>8</v>
      </c>
      <c r="AB194" s="289" t="str">
        <f>_xlfn.XLOOKUP(F6Results_2026[[#This Row],[Full_Name]],tblF42023[FULL_NAME],tblF42023[DIVISION],"",0,1)</f>
        <v>I</v>
      </c>
      <c r="AC194" s="289">
        <f>_xlfn.XLOOKUP(F6Results_2026[[#This Row],[Full_Name]],tblF42023[FULL_NAME],tblF42023[POINTS],"",0,1)</f>
        <v>8</v>
      </c>
      <c r="AD194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94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94" s="299">
        <f>_xlfn.XLOOKUP(F6Results_2026[[#This Row],[Full_Name]],tblF22021[FULL_NAME],tblF22021[POINTS],"",0,1)</f>
        <v>7</v>
      </c>
      <c r="AG194" s="299" t="str">
        <f>_xlfn.XLOOKUP(F6Results_2026[[#This Row],[Full_Name]],tblF42023[FULL_NAME],tblF42023[DIVISION],"",0,1)</f>
        <v>I</v>
      </c>
      <c r="AH194" s="300">
        <f>_xlfn.XLOOKUP(F6Results_2026[[#This Row],[Full_Name]],tblF42023[FULL_NAME],tblF42023[TOTAL A''S],"",0,1)</f>
        <v>6</v>
      </c>
      <c r="AI194" s="259"/>
      <c r="AJ194" s="252"/>
      <c r="AK194" s="252"/>
    </row>
    <row r="195" spans="1:52" x14ac:dyDescent="0.3">
      <c r="A195" s="284" t="s">
        <v>184</v>
      </c>
      <c r="B195" s="296">
        <v>2026</v>
      </c>
      <c r="C195" s="285">
        <v>20170993524</v>
      </c>
      <c r="D195" s="297" t="s">
        <v>185</v>
      </c>
      <c r="E195" s="296" t="s">
        <v>139</v>
      </c>
      <c r="F195" s="296" t="s">
        <v>895</v>
      </c>
      <c r="G195" s="296" t="s">
        <v>84</v>
      </c>
      <c r="H195" s="93" cm="1">
        <f t="array" ref="H195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9</v>
      </c>
      <c r="I195" s="298" t="str">
        <f t="shared" si="12"/>
        <v>I</v>
      </c>
      <c r="J195" s="296" t="s">
        <v>42</v>
      </c>
      <c r="K195" s="298" t="s">
        <v>6</v>
      </c>
      <c r="L195" s="298"/>
      <c r="M195" s="296"/>
      <c r="N195" s="296" t="s">
        <v>3</v>
      </c>
      <c r="O195" s="296"/>
      <c r="P195" s="296"/>
      <c r="Q195" s="296"/>
      <c r="R195" s="296"/>
      <c r="S195" s="296"/>
      <c r="T195" s="296"/>
      <c r="U195" s="296" t="s">
        <v>5</v>
      </c>
      <c r="V195" s="296"/>
      <c r="W195" s="296" t="s">
        <v>4</v>
      </c>
      <c r="X195" s="296"/>
      <c r="Y195" s="296"/>
      <c r="Z195" s="296">
        <f t="array" ref="Z195">SUM(IF(K195:Y195="A",1,0), IF(K195:Y195="B",2,0), IF(K195:Y195="C",3,0), IF(K195:Y195="D",4,0), IF(K195:Y195="E",5,0), IF(K195:Y195="S",6,0), IF(K195:Y195="F",7,0))</f>
        <v>14</v>
      </c>
      <c r="AA195" s="289">
        <f>_xlfn.XLOOKUP(F6Results_2026[[#This Row],[Full_Name]],tblF42023[FULL_NAME],tblF42023[POINTS],"",0,1)</f>
        <v>11</v>
      </c>
      <c r="AB195" s="289" t="str">
        <f>_xlfn.XLOOKUP(F6Results_2026[[#This Row],[Full_Name]],tblF42023[FULL_NAME],tblF42023[DIVISION],"",0,1)</f>
        <v>I</v>
      </c>
      <c r="AC195" s="289">
        <f>_xlfn.XLOOKUP(F6Results_2026[[#This Row],[Full_Name]],tblF42023[FULL_NAME],tblF42023[POINTS],"",0,1)</f>
        <v>11</v>
      </c>
      <c r="AD195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95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95" s="299">
        <f>_xlfn.XLOOKUP(F6Results_2026[[#This Row],[Full_Name]],tblF22021[FULL_NAME],tblF22021[POINTS],"",0,1)</f>
        <v>7</v>
      </c>
      <c r="AG195" s="299" t="str">
        <f>_xlfn.XLOOKUP(F6Results_2026[[#This Row],[Full_Name]],tblF42023[FULL_NAME],tblF42023[DIVISION],"",0,1)</f>
        <v>I</v>
      </c>
      <c r="AH195" s="300">
        <f>_xlfn.XLOOKUP(F6Results_2026[[#This Row],[Full_Name]],tblF42023[FULL_NAME],tblF42023[TOTAL A''S],"",0,1)</f>
        <v>3</v>
      </c>
      <c r="AI195" s="259"/>
      <c r="AJ195" s="252"/>
      <c r="AK195" s="252"/>
    </row>
    <row r="196" spans="1:52" x14ac:dyDescent="0.3">
      <c r="A196" s="284" t="s">
        <v>201</v>
      </c>
      <c r="B196" s="296">
        <v>2026</v>
      </c>
      <c r="C196" s="285">
        <v>20170993586</v>
      </c>
      <c r="D196" s="297" t="s">
        <v>202</v>
      </c>
      <c r="E196" s="296" t="s">
        <v>194</v>
      </c>
      <c r="F196" s="296" t="s">
        <v>896</v>
      </c>
      <c r="G196" s="296" t="s">
        <v>8</v>
      </c>
      <c r="H196" s="93" cm="1">
        <f t="array" ref="H196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12</v>
      </c>
      <c r="I196" s="298" t="str">
        <f t="shared" si="12"/>
        <v>II</v>
      </c>
      <c r="J196" s="296" t="s">
        <v>42</v>
      </c>
      <c r="K196" s="298" t="s">
        <v>6</v>
      </c>
      <c r="L196" s="298"/>
      <c r="M196" s="296"/>
      <c r="N196" s="296"/>
      <c r="O196" s="296"/>
      <c r="P196" s="296"/>
      <c r="Q196" s="296" t="s">
        <v>5</v>
      </c>
      <c r="R196" s="296" t="s">
        <v>4</v>
      </c>
      <c r="S196" s="296"/>
      <c r="T196" s="296"/>
      <c r="U196" s="296" t="s">
        <v>6</v>
      </c>
      <c r="V196" s="296"/>
      <c r="W196" s="296"/>
      <c r="X196" s="296"/>
      <c r="Y196" s="296"/>
      <c r="Z196" s="296">
        <f t="array" ref="Z196">SUM(IF(K196:Y196="A",1,0), IF(K196:Y196="B",2,0), IF(K196:Y196="C",3,0), IF(K196:Y196="D",4,0), IF(K196:Y196="E",5,0), IF(K196:Y196="S",6,0), IF(K196:Y196="F",7,0))</f>
        <v>17</v>
      </c>
      <c r="AA196" s="289">
        <f>_xlfn.XLOOKUP(F6Results_2026[[#This Row],[Full_Name]],tblF42023[FULL_NAME],tblF42023[POINTS],"",0,1)</f>
        <v>12</v>
      </c>
      <c r="AB196" s="289" t="str">
        <f>_xlfn.XLOOKUP(F6Results_2026[[#This Row],[Full_Name]],tblF42023[FULL_NAME],tblF42023[DIVISION],"",0,1)</f>
        <v>I</v>
      </c>
      <c r="AC196" s="289">
        <f>_xlfn.XLOOKUP(F6Results_2026[[#This Row],[Full_Name]],tblF42023[FULL_NAME],tblF42023[POINTS],"",0,1)</f>
        <v>12</v>
      </c>
      <c r="AD196" s="299">
        <f>IFERROR(
   INDEX(tblF42023[[HKL]:[CBA]],
         MATCH(F6Results_2026[[#This Row],[Full_Name]], tblF42023[FULL_NAME], 0),
         MATCH(F6Results_2026[[#This Row],[Comb]], tblF42023[[#Headers],[HKL]:[CBA]], 0)
   ),
   ""
)</f>
        <v>6</v>
      </c>
      <c r="AE196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96" s="299">
        <f>_xlfn.XLOOKUP(F6Results_2026[[#This Row],[Full_Name]],tblF22021[FULL_NAME],tblF22021[POINTS],"",0,1)</f>
        <v>7</v>
      </c>
      <c r="AG196" s="299" t="str">
        <f>_xlfn.XLOOKUP(F6Results_2026[[#This Row],[Full_Name]],tblF42023[FULL_NAME],tblF42023[DIVISION],"",0,1)</f>
        <v>I</v>
      </c>
      <c r="AH196" s="300">
        <f>_xlfn.XLOOKUP(F6Results_2026[[#This Row],[Full_Name]],tblF42023[FULL_NAME],tblF42023[TOTAL A''S],"",0,1)</f>
        <v>2</v>
      </c>
      <c r="AI196" s="259"/>
      <c r="AJ196" s="252"/>
      <c r="AK196" s="252"/>
    </row>
    <row r="197" spans="1:52" x14ac:dyDescent="0.3">
      <c r="A197" s="284" t="s">
        <v>101</v>
      </c>
      <c r="B197" s="296">
        <v>2026</v>
      </c>
      <c r="C197" s="285">
        <v>20170993592</v>
      </c>
      <c r="D197" s="297" t="s">
        <v>901</v>
      </c>
      <c r="E197" s="296" t="s">
        <v>40</v>
      </c>
      <c r="F197" s="296" t="s">
        <v>41</v>
      </c>
      <c r="G197" s="296" t="s">
        <v>8</v>
      </c>
      <c r="H197" s="93" cm="1">
        <f t="array" ref="H197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7</v>
      </c>
      <c r="I197" s="298" t="str">
        <f t="shared" si="12"/>
        <v>I</v>
      </c>
      <c r="J197" s="296" t="s">
        <v>94</v>
      </c>
      <c r="K197" s="298" t="s">
        <v>5</v>
      </c>
      <c r="L197" s="298"/>
      <c r="M197" s="298" t="s">
        <v>4</v>
      </c>
      <c r="N197" s="296" t="s">
        <v>4</v>
      </c>
      <c r="O197" s="296" t="s">
        <v>2</v>
      </c>
      <c r="P197" s="296"/>
      <c r="Q197" s="296"/>
      <c r="R197" s="296"/>
      <c r="S197" s="296"/>
      <c r="T197" s="296"/>
      <c r="U197" s="296"/>
      <c r="V197" s="296"/>
      <c r="W197" s="296"/>
      <c r="X197" s="296"/>
      <c r="Y197" s="296"/>
      <c r="Z197" s="296">
        <f t="array" ref="Z197">SUM(IF(K197:Y197="A",1,0), IF(K197:Y197="B",2,0), IF(K197:Y197="C",3,0), IF(K197:Y197="D",4,0), IF(K197:Y197="E",5,0), IF(K197:Y197="S",6,0), IF(K197:Y197="F",7,0))</f>
        <v>11</v>
      </c>
      <c r="AA197" s="289" t="str">
        <f>_xlfn.XLOOKUP(F6Results_2026[[#This Row],[Full_Name]],tblF42023[FULL_NAME],tblF42023[POINTS],"",0,1)</f>
        <v/>
      </c>
      <c r="AB197" s="289" t="str">
        <f>_xlfn.XLOOKUP(F6Results_2026[[#This Row],[Full_Name]],tblF42023[FULL_NAME],tblF42023[DIVISION],"",0,1)</f>
        <v/>
      </c>
      <c r="AC197" s="289" t="str">
        <f>_xlfn.XLOOKUP(F6Results_2026[[#This Row],[Full_Name]],tblF42023[FULL_NAME],tblF42023[POINTS],"",0,1)</f>
        <v/>
      </c>
      <c r="AD197" s="299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97" s="299" t="str">
        <f>IFERROR(
   INDEX(tblF42023[],
         MATCH(F6Results_2026[[#This Row],[Full_Name]], tblF42023[FULL_NAME], 0),
         MATCH(F6Results_2026[[#This Row],[Comb]] &amp; "_Q", tblF42023[#Headers], 0)
   ),
   ""
)</f>
        <v/>
      </c>
      <c r="AF197" s="299" t="str">
        <f>_xlfn.XLOOKUP(F6Results_2026[[#This Row],[Full_Name]],tblF22021[FULL_NAME],tblF22021[POINTS],"",0,1)</f>
        <v/>
      </c>
      <c r="AG197" s="299" t="str">
        <f>_xlfn.XLOOKUP(F6Results_2026[[#This Row],[Full_Name]],tblF42023[FULL_NAME],tblF42023[DIVISION],"",0,1)</f>
        <v/>
      </c>
      <c r="AH197" s="300" t="str">
        <f>_xlfn.XLOOKUP(F6Results_2026[[#This Row],[Full_Name]],tblF42023[FULL_NAME],tblF42023[TOTAL A''S],"",0,1)</f>
        <v/>
      </c>
      <c r="AI197" s="259"/>
      <c r="AJ197" s="252"/>
      <c r="AK197" s="252"/>
    </row>
    <row r="198" spans="1:52" x14ac:dyDescent="0.3">
      <c r="A198" s="284" t="s">
        <v>205</v>
      </c>
      <c r="B198" s="296">
        <v>2026</v>
      </c>
      <c r="C198" s="285">
        <v>20170993645</v>
      </c>
      <c r="D198" s="297" t="s">
        <v>206</v>
      </c>
      <c r="E198" s="296" t="s">
        <v>194</v>
      </c>
      <c r="F198" s="296" t="s">
        <v>896</v>
      </c>
      <c r="G198" s="296" t="s">
        <v>8</v>
      </c>
      <c r="H198" s="93" cm="1">
        <f t="array" ref="H198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11</v>
      </c>
      <c r="I198" s="298" t="str">
        <f t="shared" si="12"/>
        <v>II</v>
      </c>
      <c r="J198" s="296" t="s">
        <v>42</v>
      </c>
      <c r="K198" s="298" t="s">
        <v>6</v>
      </c>
      <c r="L198" s="298"/>
      <c r="M198" s="296"/>
      <c r="N198" s="296"/>
      <c r="O198" s="296"/>
      <c r="P198" s="296"/>
      <c r="Q198" s="296" t="s">
        <v>5</v>
      </c>
      <c r="R198" s="296" t="s">
        <v>4</v>
      </c>
      <c r="S198" s="296"/>
      <c r="T198" s="296"/>
      <c r="U198" s="296" t="s">
        <v>5</v>
      </c>
      <c r="V198" s="296"/>
      <c r="W198" s="296"/>
      <c r="X198" s="296"/>
      <c r="Y198" s="296"/>
      <c r="Z198" s="296">
        <f t="array" ref="Z198">SUM(IF(K198:Y198="A",1,0), IF(K198:Y198="B",2,0), IF(K198:Y198="C",3,0), IF(K198:Y198="D",4,0), IF(K198:Y198="E",5,0), IF(K198:Y198="S",6,0), IF(K198:Y198="F",7,0))</f>
        <v>16</v>
      </c>
      <c r="AA198" s="289">
        <f>_xlfn.XLOOKUP(F6Results_2026[[#This Row],[Full_Name]],tblF42023[FULL_NAME],tblF42023[POINTS],"",0,1)</f>
        <v>7</v>
      </c>
      <c r="AB198" s="289" t="str">
        <f>_xlfn.XLOOKUP(F6Results_2026[[#This Row],[Full_Name]],tblF42023[FULL_NAME],tblF42023[DIVISION],"",0,1)</f>
        <v>I</v>
      </c>
      <c r="AC198" s="289">
        <f>_xlfn.XLOOKUP(F6Results_2026[[#This Row],[Full_Name]],tblF42023[FULL_NAME],tblF42023[POINTS],"",0,1)</f>
        <v>7</v>
      </c>
      <c r="AD198" s="299">
        <f>IFERROR(
   INDEX(tblF42023[[HKL]:[CBA]],
         MATCH(F6Results_2026[[#This Row],[Full_Name]], tblF42023[FULL_NAME], 0),
         MATCH(F6Results_2026[[#This Row],[Comb]], tblF42023[[#Headers],[HKL]:[CBA]], 0)
   ),
   ""
)</f>
        <v>5</v>
      </c>
      <c r="AE198" s="299" t="str">
        <f>IFERROR(
   INDEX(tblF42023[],
         MATCH(F6Results_2026[[#This Row],[Full_Name]], tblF42023[FULL_NAME], 0),
         MATCH(F6Results_2026[[#This Row],[Comb]] &amp; "_Q", tblF42023[#Headers], 0)
   ),
   ""
)</f>
        <v>Y</v>
      </c>
      <c r="AF198" s="299">
        <f>_xlfn.XLOOKUP(F6Results_2026[[#This Row],[Full_Name]],tblF22021[FULL_NAME],tblF22021[POINTS],"",0,1)</f>
        <v>7</v>
      </c>
      <c r="AG198" s="299" t="str">
        <f>_xlfn.XLOOKUP(F6Results_2026[[#This Row],[Full_Name]],tblF42023[FULL_NAME],tblF42023[DIVISION],"",0,1)</f>
        <v>I</v>
      </c>
      <c r="AH198" s="300">
        <f>_xlfn.XLOOKUP(F6Results_2026[[#This Row],[Full_Name]],tblF42023[FULL_NAME],tblF42023[TOTAL A''S],"",0,1)</f>
        <v>8</v>
      </c>
      <c r="AI198" s="259"/>
      <c r="AJ198" s="252"/>
      <c r="AK198" s="252"/>
    </row>
    <row r="199" spans="1:52" x14ac:dyDescent="0.3">
      <c r="A199" s="287" t="s">
        <v>128</v>
      </c>
      <c r="B199" s="307">
        <v>2026</v>
      </c>
      <c r="C199" s="288">
        <v>20170993736</v>
      </c>
      <c r="D199" s="308" t="s">
        <v>904</v>
      </c>
      <c r="E199" s="309" t="s">
        <v>40</v>
      </c>
      <c r="F199" s="309" t="s">
        <v>41</v>
      </c>
      <c r="G199" s="309" t="s">
        <v>8</v>
      </c>
      <c r="H199" s="310" cm="1">
        <f t="array" ref="H199">_xlfn.LET(
    _xlpm.g, F6Results_2026[[#This Row],[Hist]:[Acco]],
    _xlpm.pts, _xlfn.MAP(_xlpm.g, _xlfn.LAMBDA(_xlpm.x, IFERROR(VLOOKUP(_xlpm.x, AlevelPts, 2, FALSE), ""))),
    _xlpm.validPts, _xlfn._xlws.FILTER(_xlpm.pts, ISNUMBER(_xlpm.pts)),
    _xlpm.allBlank, SUM(--(_xlpm.g=""))=COLUMNS(_xlpm.g),
    IF(
        _xlpm.allBlank,
        "ABS",
        IFERROR(SUM(_xlpm.validPts), "")
    )
)</f>
        <v>6</v>
      </c>
      <c r="I199" s="309" t="str">
        <f t="shared" si="12"/>
        <v>I</v>
      </c>
      <c r="J199" s="307" t="s">
        <v>94</v>
      </c>
      <c r="K199" s="307" t="s">
        <v>7</v>
      </c>
      <c r="L199" s="307"/>
      <c r="M199" s="307" t="s">
        <v>3</v>
      </c>
      <c r="N199" s="309" t="s">
        <v>4</v>
      </c>
      <c r="O199" s="309" t="s">
        <v>2</v>
      </c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7">
        <f t="array" ref="Z199">SUM(IF(K199:Y199="A",1,0), IF(K199:Y199="B",2,0), IF(K199:Y199="C",3,0), IF(K199:Y199="D",4,0), IF(K199:Y199="E",5,0), IF(K199:Y199="S",6,0), IF(K199:Y199="F",7,0))</f>
        <v>12</v>
      </c>
      <c r="AA199" s="311" t="str">
        <f>_xlfn.XLOOKUP(F6Results_2026[[#This Row],[Full_Name]],tblF42023[FULL_NAME],tblF42023[POINTS],"",0,1)</f>
        <v/>
      </c>
      <c r="AB199" s="311" t="str">
        <f>_xlfn.XLOOKUP(F6Results_2026[[#This Row],[Full_Name]],tblF42023[FULL_NAME],tblF42023[DIVISION],"",0,1)</f>
        <v/>
      </c>
      <c r="AC199" s="311" t="str">
        <f>_xlfn.XLOOKUP(F6Results_2026[[#This Row],[Full_Name]],tblF42023[FULL_NAME],tblF42023[POINTS],"",0,1)</f>
        <v/>
      </c>
      <c r="AD199" s="312" t="str">
        <f>IFERROR(
   INDEX(tblF42023[[HKL]:[CBA]],
         MATCH(F6Results_2026[[#This Row],[Full_Name]], tblF42023[FULL_NAME], 0),
         MATCH(F6Results_2026[[#This Row],[Comb]], tblF42023[[#Headers],[HKL]:[CBA]], 0)
   ),
   ""
)</f>
        <v/>
      </c>
      <c r="AE199" s="312" t="str">
        <f>IFERROR(
   INDEX(tblF42023[],
         MATCH(F6Results_2026[[#This Row],[Full_Name]], tblF42023[FULL_NAME], 0),
         MATCH(F6Results_2026[[#This Row],[Comb]] &amp; "_Q", tblF42023[#Headers], 0)
   ),
   ""
)</f>
        <v/>
      </c>
      <c r="AF199" s="312" t="str">
        <f>_xlfn.XLOOKUP(F6Results_2026[[#This Row],[Full_Name]],tblF22021[FULL_NAME],tblF22021[POINTS],"",0,1)</f>
        <v/>
      </c>
      <c r="AG199" s="312" t="str">
        <f>_xlfn.XLOOKUP(F6Results_2026[[#This Row],[Full_Name]],tblF42023[FULL_NAME],tblF42023[DIVISION],"",0,1)</f>
        <v/>
      </c>
      <c r="AH199" s="313" t="str">
        <f>_xlfn.XLOOKUP(F6Results_2026[[#This Row],[Full_Name]],tblF42023[FULL_NAME],tblF42023[TOTAL A''S],"",0,1)</f>
        <v/>
      </c>
      <c r="AI199" s="259"/>
      <c r="AJ199" s="252"/>
      <c r="AK199" s="252"/>
    </row>
    <row r="204" spans="1:52" x14ac:dyDescent="0.3">
      <c r="AV204" s="210"/>
      <c r="AW204" s="210"/>
      <c r="AX204" s="210"/>
      <c r="AY204" s="210"/>
      <c r="AZ204" s="210"/>
    </row>
    <row r="205" spans="1:52" x14ac:dyDescent="0.3">
      <c r="S205" s="280"/>
    </row>
    <row r="206" spans="1:52" x14ac:dyDescent="0.3">
      <c r="S206" s="258"/>
    </row>
    <row r="207" spans="1:52" x14ac:dyDescent="0.3">
      <c r="S207" s="258"/>
    </row>
    <row r="208" spans="1:52" x14ac:dyDescent="0.3">
      <c r="S208" s="258"/>
    </row>
    <row r="209" spans="19:52" x14ac:dyDescent="0.3">
      <c r="S209" s="258"/>
    </row>
    <row r="210" spans="19:52" x14ac:dyDescent="0.3">
      <c r="S210" s="258"/>
    </row>
    <row r="211" spans="19:52" x14ac:dyDescent="0.3">
      <c r="S211" s="258"/>
    </row>
    <row r="212" spans="19:52" x14ac:dyDescent="0.3">
      <c r="S212" s="258"/>
    </row>
    <row r="216" spans="19:52" x14ac:dyDescent="0.3">
      <c r="AV216" s="210"/>
      <c r="AW216" s="210"/>
      <c r="AX216" s="210"/>
      <c r="AY216" s="210"/>
      <c r="AZ216" s="210"/>
    </row>
    <row r="217" spans="19:52" x14ac:dyDescent="0.3">
      <c r="AV217" s="210"/>
      <c r="AW217" s="210"/>
      <c r="AX217" s="210"/>
      <c r="AY217" s="210"/>
      <c r="AZ217" s="210"/>
    </row>
    <row r="218" spans="19:52" x14ac:dyDescent="0.3">
      <c r="AV218" s="210"/>
      <c r="AW218" s="210"/>
      <c r="AX218" s="210"/>
      <c r="AY218" s="210"/>
      <c r="AZ218" s="210"/>
    </row>
    <row r="219" spans="19:52" x14ac:dyDescent="0.3">
      <c r="AV219" s="210"/>
      <c r="AW219" s="210"/>
      <c r="AX219" s="210"/>
      <c r="AY219" s="210"/>
      <c r="AZ219" s="210"/>
    </row>
    <row r="220" spans="19:52" x14ac:dyDescent="0.3">
      <c r="AV220" s="210"/>
      <c r="AW220" s="210"/>
      <c r="AX220" s="210"/>
      <c r="AY220" s="210"/>
      <c r="AZ220" s="210"/>
    </row>
    <row r="221" spans="19:52" x14ac:dyDescent="0.3">
      <c r="AI221" s="210"/>
      <c r="AS221" s="210"/>
      <c r="AT221" s="210"/>
      <c r="AU221" s="210"/>
      <c r="AV221" s="210"/>
      <c r="AW221" s="210"/>
      <c r="AX221" s="210"/>
      <c r="AY221" s="210"/>
      <c r="AZ221" s="210"/>
    </row>
  </sheetData>
  <mergeCells count="8">
    <mergeCell ref="AK49:AN49"/>
    <mergeCell ref="A1:Z1"/>
    <mergeCell ref="A8:F8"/>
    <mergeCell ref="AF8:AH8"/>
    <mergeCell ref="K8:Z8"/>
    <mergeCell ref="AA8:AE8"/>
    <mergeCell ref="G8:J8"/>
    <mergeCell ref="AK20:AW20"/>
  </mergeCells>
  <conditionalFormatting sqref="C20">
    <cfRule type="duplicateValues" dxfId="342" priority="23"/>
  </conditionalFormatting>
  <conditionalFormatting sqref="C165">
    <cfRule type="duplicateValues" dxfId="341" priority="22"/>
  </conditionalFormatting>
  <conditionalFormatting sqref="I10:I199">
    <cfRule type="cellIs" dxfId="340" priority="39" operator="equal">
      <formula>"I"</formula>
    </cfRule>
    <cfRule type="cellIs" dxfId="339" priority="40" operator="equal">
      <formula>"II"</formula>
    </cfRule>
    <cfRule type="cellIs" dxfId="338" priority="41" operator="equal">
      <formula>"III"</formula>
    </cfRule>
    <cfRule type="cellIs" dxfId="337" priority="42" operator="equal">
      <formula>"IV"</formula>
    </cfRule>
    <cfRule type="cellIs" dxfId="336" priority="43" operator="equal">
      <formula>"0"</formula>
    </cfRule>
  </conditionalFormatting>
  <conditionalFormatting sqref="K10:K175">
    <cfRule type="cellIs" dxfId="335" priority="8" operator="equal">
      <formula>"A"</formula>
    </cfRule>
    <cfRule type="cellIs" dxfId="334" priority="9" operator="equal">
      <formula>"B"</formula>
    </cfRule>
    <cfRule type="cellIs" dxfId="333" priority="10" operator="equal">
      <formula>"C"</formula>
    </cfRule>
    <cfRule type="cellIs" dxfId="332" priority="11" operator="equal">
      <formula>"D"</formula>
    </cfRule>
    <cfRule type="cellIs" dxfId="331" priority="12" operator="equal">
      <formula>"E"</formula>
    </cfRule>
    <cfRule type="cellIs" dxfId="330" priority="13" operator="equal">
      <formula>"F"</formula>
    </cfRule>
    <cfRule type="cellIs" dxfId="329" priority="14" operator="equal">
      <formula>"S"</formula>
    </cfRule>
  </conditionalFormatting>
  <conditionalFormatting sqref="L10:L175">
    <cfRule type="cellIs" dxfId="328" priority="1" operator="equal">
      <formula>"A"</formula>
    </cfRule>
    <cfRule type="cellIs" dxfId="327" priority="2" operator="equal">
      <formula>"B"</formula>
    </cfRule>
    <cfRule type="cellIs" dxfId="326" priority="3" operator="equal">
      <formula>"C"</formula>
    </cfRule>
    <cfRule type="cellIs" dxfId="325" priority="4" operator="equal">
      <formula>"D"</formula>
    </cfRule>
    <cfRule type="cellIs" dxfId="324" priority="5" operator="equal">
      <formula>"E"</formula>
    </cfRule>
    <cfRule type="cellIs" dxfId="323" priority="6" operator="equal">
      <formula>"F"</formula>
    </cfRule>
    <cfRule type="cellIs" dxfId="322" priority="7" operator="equal">
      <formula>"S"</formula>
    </cfRule>
  </conditionalFormatting>
  <conditionalFormatting sqref="M10:M199">
    <cfRule type="cellIs" dxfId="321" priority="51" operator="equal">
      <formula>"A"</formula>
    </cfRule>
    <cfRule type="cellIs" dxfId="320" priority="52" operator="equal">
      <formula>"B"</formula>
    </cfRule>
    <cfRule type="cellIs" dxfId="319" priority="53" operator="equal">
      <formula>"C"</formula>
    </cfRule>
    <cfRule type="cellIs" dxfId="318" priority="54" operator="equal">
      <formula>"D"</formula>
    </cfRule>
    <cfRule type="cellIs" dxfId="317" priority="55" operator="equal">
      <formula>"E"</formula>
    </cfRule>
    <cfRule type="cellIs" dxfId="316" priority="56" operator="equal">
      <formula>"F"</formula>
    </cfRule>
    <cfRule type="cellIs" dxfId="315" priority="57" operator="equal">
      <formula>"S"</formula>
    </cfRule>
  </conditionalFormatting>
  <conditionalFormatting sqref="N10:N199">
    <cfRule type="cellIs" dxfId="314" priority="58" operator="equal">
      <formula>"A"</formula>
    </cfRule>
    <cfRule type="cellIs" dxfId="313" priority="59" operator="equal">
      <formula>"B"</formula>
    </cfRule>
    <cfRule type="cellIs" dxfId="312" priority="60" operator="equal">
      <formula>"C"</formula>
    </cfRule>
    <cfRule type="cellIs" dxfId="311" priority="61" operator="equal">
      <formula>"D"</formula>
    </cfRule>
    <cfRule type="cellIs" dxfId="310" priority="62" operator="equal">
      <formula>"E"</formula>
    </cfRule>
    <cfRule type="cellIs" dxfId="309" priority="63" operator="equal">
      <formula>"F"</formula>
    </cfRule>
    <cfRule type="cellIs" dxfId="308" priority="64" operator="equal">
      <formula>"S"</formula>
    </cfRule>
  </conditionalFormatting>
  <conditionalFormatting sqref="O10:O199">
    <cfRule type="cellIs" dxfId="307" priority="65" operator="equal">
      <formula>"A"</formula>
    </cfRule>
    <cfRule type="cellIs" dxfId="306" priority="66" operator="equal">
      <formula>"B"</formula>
    </cfRule>
    <cfRule type="cellIs" dxfId="305" priority="67" operator="equal">
      <formula>"C"</formula>
    </cfRule>
    <cfRule type="cellIs" dxfId="304" priority="68" operator="equal">
      <formula>"D"</formula>
    </cfRule>
    <cfRule type="cellIs" dxfId="303" priority="69" operator="equal">
      <formula>"E"</formula>
    </cfRule>
    <cfRule type="cellIs" dxfId="302" priority="70" operator="equal">
      <formula>"F"</formula>
    </cfRule>
    <cfRule type="cellIs" dxfId="301" priority="71" operator="equal">
      <formula>"S"</formula>
    </cfRule>
  </conditionalFormatting>
  <conditionalFormatting sqref="P10:P199">
    <cfRule type="cellIs" dxfId="300" priority="72" operator="equal">
      <formula>"A"</formula>
    </cfRule>
    <cfRule type="cellIs" dxfId="299" priority="73" operator="equal">
      <formula>"B"</formula>
    </cfRule>
    <cfRule type="cellIs" dxfId="298" priority="74" operator="equal">
      <formula>"C"</formula>
    </cfRule>
    <cfRule type="cellIs" dxfId="297" priority="75" operator="equal">
      <formula>"D"</formula>
    </cfRule>
    <cfRule type="cellIs" dxfId="296" priority="76" operator="equal">
      <formula>"E"</formula>
    </cfRule>
    <cfRule type="cellIs" dxfId="295" priority="77" operator="equal">
      <formula>"F"</formula>
    </cfRule>
    <cfRule type="cellIs" dxfId="294" priority="78" operator="equal">
      <formula>"S"</formula>
    </cfRule>
  </conditionalFormatting>
  <conditionalFormatting sqref="Q10:Q199">
    <cfRule type="cellIs" dxfId="293" priority="79" operator="equal">
      <formula>"A"</formula>
    </cfRule>
    <cfRule type="cellIs" dxfId="292" priority="80" operator="equal">
      <formula>"B"</formula>
    </cfRule>
    <cfRule type="cellIs" dxfId="291" priority="81" operator="equal">
      <formula>"C"</formula>
    </cfRule>
    <cfRule type="cellIs" dxfId="290" priority="82" operator="equal">
      <formula>"D"</formula>
    </cfRule>
    <cfRule type="cellIs" dxfId="289" priority="83" operator="equal">
      <formula>"E"</formula>
    </cfRule>
    <cfRule type="cellIs" dxfId="288" priority="84" operator="equal">
      <formula>"F"</formula>
    </cfRule>
    <cfRule type="cellIs" dxfId="287" priority="85" operator="equal">
      <formula>"S"</formula>
    </cfRule>
  </conditionalFormatting>
  <conditionalFormatting sqref="R10:R199">
    <cfRule type="cellIs" dxfId="286" priority="86" operator="equal">
      <formula>"A"</formula>
    </cfRule>
    <cfRule type="cellIs" dxfId="285" priority="87" operator="equal">
      <formula>"B"</formula>
    </cfRule>
    <cfRule type="cellIs" dxfId="284" priority="88" operator="equal">
      <formula>"C"</formula>
    </cfRule>
    <cfRule type="cellIs" dxfId="283" priority="89" operator="equal">
      <formula>"D"</formula>
    </cfRule>
    <cfRule type="cellIs" dxfId="282" priority="90" operator="equal">
      <formula>"E"</formula>
    </cfRule>
    <cfRule type="cellIs" dxfId="281" priority="91" operator="equal">
      <formula>"F"</formula>
    </cfRule>
    <cfRule type="cellIs" dxfId="280" priority="92" operator="equal">
      <formula>"S"</formula>
    </cfRule>
  </conditionalFormatting>
  <conditionalFormatting sqref="S10:S199">
    <cfRule type="cellIs" dxfId="279" priority="32" operator="equal">
      <formula>"A"</formula>
    </cfRule>
    <cfRule type="cellIs" dxfId="278" priority="33" operator="equal">
      <formula>"B"</formula>
    </cfRule>
    <cfRule type="cellIs" dxfId="277" priority="34" operator="equal">
      <formula>"C"</formula>
    </cfRule>
    <cfRule type="cellIs" dxfId="276" priority="35" operator="equal">
      <formula>"D"</formula>
    </cfRule>
    <cfRule type="cellIs" dxfId="275" priority="36" operator="equal">
      <formula>"E"</formula>
    </cfRule>
    <cfRule type="cellIs" dxfId="274" priority="37" operator="equal">
      <formula>"F"</formula>
    </cfRule>
    <cfRule type="cellIs" dxfId="273" priority="38" operator="equal">
      <formula>"S"</formula>
    </cfRule>
  </conditionalFormatting>
  <conditionalFormatting sqref="T10:T199">
    <cfRule type="cellIs" dxfId="272" priority="93" operator="equal">
      <formula>"A"</formula>
    </cfRule>
    <cfRule type="cellIs" dxfId="271" priority="94" operator="equal">
      <formula>"B"</formula>
    </cfRule>
    <cfRule type="cellIs" dxfId="270" priority="95" operator="equal">
      <formula>"C"</formula>
    </cfRule>
    <cfRule type="cellIs" dxfId="269" priority="96" operator="equal">
      <formula>"D"</formula>
    </cfRule>
    <cfRule type="cellIs" dxfId="268" priority="97" operator="equal">
      <formula>"E"</formula>
    </cfRule>
    <cfRule type="cellIs" dxfId="267" priority="98" operator="equal">
      <formula>"F"</formula>
    </cfRule>
    <cfRule type="cellIs" dxfId="266" priority="99" operator="equal">
      <formula>"S"</formula>
    </cfRule>
  </conditionalFormatting>
  <conditionalFormatting sqref="U10:U199">
    <cfRule type="cellIs" dxfId="265" priority="100" operator="equal">
      <formula>"A"</formula>
    </cfRule>
    <cfRule type="cellIs" dxfId="264" priority="101" operator="equal">
      <formula>"B"</formula>
    </cfRule>
    <cfRule type="cellIs" dxfId="263" priority="102" operator="equal">
      <formula>"C"</formula>
    </cfRule>
    <cfRule type="cellIs" dxfId="262" priority="103" operator="equal">
      <formula>"D"</formula>
    </cfRule>
    <cfRule type="cellIs" dxfId="261" priority="104" operator="equal">
      <formula>"E"</formula>
    </cfRule>
    <cfRule type="cellIs" dxfId="260" priority="105" operator="equal">
      <formula>"F"</formula>
    </cfRule>
    <cfRule type="cellIs" dxfId="259" priority="106" operator="equal">
      <formula>"S"</formula>
    </cfRule>
  </conditionalFormatting>
  <conditionalFormatting sqref="V10:V199">
    <cfRule type="cellIs" dxfId="258" priority="107" operator="equal">
      <formula>"A"</formula>
    </cfRule>
    <cfRule type="cellIs" dxfId="257" priority="108" operator="equal">
      <formula>"B"</formula>
    </cfRule>
    <cfRule type="cellIs" dxfId="256" priority="109" operator="equal">
      <formula>"C"</formula>
    </cfRule>
    <cfRule type="cellIs" dxfId="255" priority="110" operator="equal">
      <formula>"D"</formula>
    </cfRule>
    <cfRule type="cellIs" dxfId="254" priority="111" operator="equal">
      <formula>"E"</formula>
    </cfRule>
    <cfRule type="cellIs" dxfId="253" priority="112" operator="equal">
      <formula>"F"</formula>
    </cfRule>
    <cfRule type="cellIs" dxfId="252" priority="113" operator="equal">
      <formula>"S"</formula>
    </cfRule>
  </conditionalFormatting>
  <conditionalFormatting sqref="W10:W199">
    <cfRule type="cellIs" dxfId="251" priority="114" operator="equal">
      <formula>"A"</formula>
    </cfRule>
    <cfRule type="cellIs" dxfId="250" priority="115" operator="equal">
      <formula>"B"</formula>
    </cfRule>
    <cfRule type="cellIs" dxfId="249" priority="116" operator="equal">
      <formula>"C"</formula>
    </cfRule>
    <cfRule type="cellIs" dxfId="248" priority="117" operator="equal">
      <formula>"D"</formula>
    </cfRule>
    <cfRule type="cellIs" dxfId="247" priority="118" operator="equal">
      <formula>"E"</formula>
    </cfRule>
    <cfRule type="cellIs" dxfId="246" priority="119" operator="equal">
      <formula>"F"</formula>
    </cfRule>
    <cfRule type="cellIs" dxfId="245" priority="120" operator="equal">
      <formula>"S"</formula>
    </cfRule>
  </conditionalFormatting>
  <conditionalFormatting sqref="X10:X199">
    <cfRule type="cellIs" dxfId="244" priority="121" operator="equal">
      <formula>"A"</formula>
    </cfRule>
    <cfRule type="cellIs" dxfId="243" priority="122" operator="equal">
      <formula>"B"</formula>
    </cfRule>
    <cfRule type="cellIs" dxfId="242" priority="123" operator="equal">
      <formula>"C"</formula>
    </cfRule>
    <cfRule type="cellIs" dxfId="241" priority="124" operator="equal">
      <formula>"D"</formula>
    </cfRule>
    <cfRule type="cellIs" dxfId="240" priority="125" operator="equal">
      <formula>"E"</formula>
    </cfRule>
    <cfRule type="cellIs" dxfId="239" priority="126" operator="equal">
      <formula>"F"</formula>
    </cfRule>
    <cfRule type="cellIs" dxfId="238" priority="127" operator="equal">
      <formula>"S"</formula>
    </cfRule>
  </conditionalFormatting>
  <conditionalFormatting sqref="Y10:Y199">
    <cfRule type="cellIs" dxfId="237" priority="128" operator="equal">
      <formula>"A"</formula>
    </cfRule>
    <cfRule type="cellIs" dxfId="236" priority="129" operator="equal">
      <formula>"B"</formula>
    </cfRule>
    <cfRule type="cellIs" dxfId="235" priority="130" operator="equal">
      <formula>"C"</formula>
    </cfRule>
    <cfRule type="cellIs" dxfId="234" priority="131" operator="equal">
      <formula>"D"</formula>
    </cfRule>
    <cfRule type="cellIs" dxfId="233" priority="132" operator="equal">
      <formula>"E"</formula>
    </cfRule>
    <cfRule type="cellIs" dxfId="232" priority="133" operator="equal">
      <formula>"F"</formula>
    </cfRule>
    <cfRule type="cellIs" dxfId="231" priority="134" operator="equal">
      <formula>"S"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23F7-1968-43F4-AF00-600860248A92}">
  <dimension ref="A1:N108"/>
  <sheetViews>
    <sheetView topLeftCell="A21" workbookViewId="0">
      <selection activeCell="A24" sqref="A24:F32"/>
    </sheetView>
  </sheetViews>
  <sheetFormatPr defaultColWidth="8.6640625" defaultRowHeight="14.4" x14ac:dyDescent="0.3"/>
  <cols>
    <col min="1" max="1" width="8.21875" style="281" bestFit="1" customWidth="1"/>
    <col min="2" max="2" width="3.77734375" style="281" bestFit="1" customWidth="1"/>
    <col min="3" max="3" width="4.33203125" style="281" bestFit="1" customWidth="1"/>
    <col min="4" max="4" width="4.88671875" style="281" bestFit="1" customWidth="1"/>
    <col min="5" max="5" width="5" style="281" bestFit="1" customWidth="1"/>
    <col min="6" max="6" width="4.5546875" style="281" bestFit="1" customWidth="1"/>
    <col min="7" max="7" width="7.44140625" style="375" bestFit="1" customWidth="1"/>
    <col min="8" max="11" width="14" style="281" customWidth="1"/>
    <col min="12" max="12" width="8.21875" style="281" bestFit="1" customWidth="1"/>
    <col min="13" max="13" width="3.77734375" style="281" bestFit="1" customWidth="1"/>
    <col min="14" max="14" width="4.33203125" style="281" bestFit="1" customWidth="1"/>
    <col min="15" max="15" width="4.88671875" style="281" bestFit="1" customWidth="1"/>
    <col min="16" max="16" width="5" style="281" bestFit="1" customWidth="1"/>
    <col min="17" max="17" width="7.44140625" style="281" bestFit="1" customWidth="1"/>
    <col min="18" max="16384" width="8.6640625" style="281"/>
  </cols>
  <sheetData>
    <row r="1" spans="1:11" ht="21.75" customHeight="1" x14ac:dyDescent="0.3">
      <c r="A1" s="403" t="s">
        <v>995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</row>
    <row r="3" spans="1:11" ht="21.75" customHeight="1" x14ac:dyDescent="0.3">
      <c r="A3" s="404" t="s">
        <v>996</v>
      </c>
      <c r="B3" s="404"/>
      <c r="C3" s="404"/>
      <c r="D3" s="404"/>
      <c r="E3" s="404"/>
    </row>
    <row r="4" spans="1:11" x14ac:dyDescent="0.3">
      <c r="A4" s="321" t="s">
        <v>997</v>
      </c>
      <c r="B4" s="376" t="s">
        <v>998</v>
      </c>
      <c r="C4" s="376" t="s">
        <v>999</v>
      </c>
      <c r="D4" s="376" t="s">
        <v>344</v>
      </c>
      <c r="E4" s="376" t="s">
        <v>1000</v>
      </c>
    </row>
    <row r="5" spans="1:11" ht="15" customHeight="1" x14ac:dyDescent="0.3">
      <c r="A5" s="322" t="s">
        <v>10</v>
      </c>
      <c r="B5" s="128">
        <f>COUNTIFS(F6Results_2026[[Sex]:[Sex]],"F",F6Results_2026[[Div]:[Div]],"I")</f>
        <v>26</v>
      </c>
      <c r="C5" s="128">
        <f>COUNTIFS(F6Results_2026[[Sex]:[Sex]],"M",F6Results_2026[[Div]:[Div]],"I")</f>
        <v>12</v>
      </c>
      <c r="D5" s="379">
        <f>SUM(B5:C5)</f>
        <v>38</v>
      </c>
      <c r="E5" s="380">
        <f>IF(D5=0,"-",D5/SUM(D5:D7))</f>
        <v>0.21839080459770116</v>
      </c>
    </row>
    <row r="6" spans="1:11" ht="15" customHeight="1" x14ac:dyDescent="0.3">
      <c r="A6" s="324" t="s">
        <v>11</v>
      </c>
      <c r="B6" s="128">
        <f>COUNTIFS(F6Results_2026[[Sex]:[Sex]],"F",F6Results_2026[[Div]:[Div]],"II")</f>
        <v>36</v>
      </c>
      <c r="C6" s="128">
        <f>COUNTIFS(F6Results_2026[[Sex]:[Sex]],"M",F6Results_2026[[Div]:[Div]],"II")</f>
        <v>29</v>
      </c>
      <c r="D6" s="379">
        <f t="shared" ref="D6:D7" si="0">SUM(B6:C6)</f>
        <v>65</v>
      </c>
      <c r="E6" s="381">
        <f>IF(D6=0,"-",D6/SUM(D5:D7))</f>
        <v>0.37356321839080459</v>
      </c>
    </row>
    <row r="7" spans="1:11" ht="15" customHeight="1" x14ac:dyDescent="0.3">
      <c r="A7" s="322" t="s">
        <v>12</v>
      </c>
      <c r="B7" s="128">
        <f>COUNTIFS(F6Results_2026[[Sex]:[Sex]],"F",F6Results_2026[[Div]:[Div]],"III")</f>
        <v>34</v>
      </c>
      <c r="C7" s="128">
        <f>COUNTIFS(F6Results_2026[[Sex]:[Sex]],"M",F6Results_2026[[Div]:[Div]],"III")</f>
        <v>37</v>
      </c>
      <c r="D7" s="379">
        <f t="shared" si="0"/>
        <v>71</v>
      </c>
      <c r="E7" s="380">
        <f>IF(D7=0,"-",D7/SUM(D5:D7))</f>
        <v>0.40804597701149425</v>
      </c>
    </row>
    <row r="8" spans="1:11" ht="15" customHeight="1" x14ac:dyDescent="0.3">
      <c r="A8" s="326" t="s">
        <v>350</v>
      </c>
      <c r="B8" s="377">
        <f>SUM(B5:B7)</f>
        <v>96</v>
      </c>
      <c r="C8" s="377">
        <f>SUM(C5:C7)</f>
        <v>78</v>
      </c>
      <c r="D8" s="377">
        <f>SUM(D5:D7)</f>
        <v>174</v>
      </c>
      <c r="E8" s="378">
        <f>D8/D8</f>
        <v>1</v>
      </c>
    </row>
    <row r="10" spans="1:11" ht="21.75" customHeight="1" x14ac:dyDescent="0.3">
      <c r="A10" s="404" t="s">
        <v>1001</v>
      </c>
      <c r="B10" s="404"/>
      <c r="C10" s="404"/>
      <c r="D10" s="404"/>
      <c r="E10" s="404"/>
      <c r="F10" s="404"/>
      <c r="G10" s="447"/>
    </row>
    <row r="11" spans="1:11" ht="15" customHeight="1" x14ac:dyDescent="0.3">
      <c r="A11" s="321" t="s">
        <v>20</v>
      </c>
      <c r="B11" s="321" t="s">
        <v>435</v>
      </c>
      <c r="C11" s="321" t="s">
        <v>437</v>
      </c>
      <c r="D11" s="321" t="s">
        <v>438</v>
      </c>
      <c r="E11" s="321" t="s">
        <v>344</v>
      </c>
      <c r="F11" s="321" t="s">
        <v>1002</v>
      </c>
      <c r="G11" s="448"/>
    </row>
    <row r="12" spans="1:11" ht="15" customHeight="1" x14ac:dyDescent="0.3">
      <c r="A12" s="324" t="s">
        <v>1003</v>
      </c>
      <c r="B12" s="128">
        <f>COUNTIFS(F6Results_2026[[Group]:[Group]],"Science",F6Results_2026[[Div]:[Div]],"I")</f>
        <v>3</v>
      </c>
      <c r="C12" s="128">
        <f>COUNTIFS(F6Results_2026[[Group]:[Group]],"Science",F6Results_2026[[Div]:[Div]],"II")</f>
        <v>36</v>
      </c>
      <c r="D12" s="128">
        <f>COUNTIFS(F6Results_2026[[Group]:[Group]],"Science",F6Results_2026[[Div]:[Div]],"III")</f>
        <v>49</v>
      </c>
      <c r="E12" s="379">
        <f>SUM(B12:D12)</f>
        <v>88</v>
      </c>
      <c r="F12" s="325">
        <f>IF(E12=0,"-",B12/E12)</f>
        <v>3.4090909090909088E-2</v>
      </c>
      <c r="G12" s="449"/>
    </row>
    <row r="13" spans="1:11" ht="15" customHeight="1" x14ac:dyDescent="0.3">
      <c r="A13" s="322" t="s">
        <v>41</v>
      </c>
      <c r="B13" s="128">
        <f>COUNTIFS(F6Results_2026[[Group]:[Group]],"Arts",F6Results_2026[[Div]:[Div]],"I")</f>
        <v>32</v>
      </c>
      <c r="C13" s="128">
        <f>COUNTIFS(F6Results_2026[[Group]:[Group]],"Arts",F6Results_2026[[Div]:[Div]],"II")</f>
        <v>17</v>
      </c>
      <c r="D13" s="128">
        <f>COUNTIFS(F6Results_2026[[Group]:[Group]],"Arts",F6Results_2026[[Div]:[Div]],"III")</f>
        <v>3</v>
      </c>
      <c r="E13" s="379">
        <f t="shared" ref="E13:E14" si="1">SUM(B13:D13)</f>
        <v>52</v>
      </c>
      <c r="F13" s="323">
        <f>IF(E13=0,"-",B13/E13)</f>
        <v>0.61538461538461542</v>
      </c>
      <c r="G13" s="450"/>
    </row>
    <row r="14" spans="1:11" ht="15" customHeight="1" x14ac:dyDescent="0.3">
      <c r="A14" s="324" t="s">
        <v>1004</v>
      </c>
      <c r="B14" s="128">
        <f>COUNTIFS(F6Results_2026[[Group]:[Group]],"Business",F6Results_2026[[Div]:[Div]],"I")</f>
        <v>3</v>
      </c>
      <c r="C14" s="128">
        <f>COUNTIFS(F6Results_2026[[Group]:[Group]],"Business",F6Results_2026[[Div]:[Div]],"II")</f>
        <v>12</v>
      </c>
      <c r="D14" s="128">
        <f>COUNTIFS(F6Results_2026[[Group]:[Group]],"Business",F6Results_2026[[Div]:[Div]],"III")</f>
        <v>19</v>
      </c>
      <c r="E14" s="379">
        <f t="shared" si="1"/>
        <v>34</v>
      </c>
      <c r="F14" s="325">
        <f>IF(E14=0,"-",B14/E14)</f>
        <v>8.8235294117647065E-2</v>
      </c>
      <c r="G14" s="449"/>
    </row>
    <row r="15" spans="1:11" ht="15" customHeight="1" x14ac:dyDescent="0.3">
      <c r="A15" s="281" t="s">
        <v>350</v>
      </c>
      <c r="B15" s="326">
        <f>SUM(B12:B14)</f>
        <v>38</v>
      </c>
      <c r="C15" s="326">
        <f>SUM(C12:C14)</f>
        <v>65</v>
      </c>
      <c r="D15" s="326">
        <f>SUM(D12:D14)</f>
        <v>71</v>
      </c>
      <c r="E15" s="326">
        <f>SUM(E12:E14)</f>
        <v>174</v>
      </c>
      <c r="F15" s="327">
        <f>IF(E15=0,"-",B15/E15)</f>
        <v>0.21839080459770116</v>
      </c>
      <c r="G15" s="451"/>
    </row>
    <row r="17" spans="1:10" ht="21.75" customHeight="1" x14ac:dyDescent="0.3">
      <c r="A17" s="404" t="s">
        <v>1005</v>
      </c>
      <c r="B17" s="404"/>
      <c r="C17" s="404"/>
      <c r="D17" s="404"/>
      <c r="E17" s="404"/>
      <c r="F17" s="404"/>
      <c r="G17" s="447"/>
    </row>
    <row r="18" spans="1:10" ht="15" customHeight="1" x14ac:dyDescent="0.3">
      <c r="A18" s="321" t="s">
        <v>1006</v>
      </c>
      <c r="B18" s="321" t="s">
        <v>435</v>
      </c>
      <c r="C18" s="321" t="s">
        <v>437</v>
      </c>
      <c r="D18" s="321" t="s">
        <v>438</v>
      </c>
      <c r="E18" s="321" t="s">
        <v>344</v>
      </c>
      <c r="F18" s="321" t="s">
        <v>1002</v>
      </c>
      <c r="G18" s="448"/>
    </row>
    <row r="19" spans="1:10" ht="15" customHeight="1" x14ac:dyDescent="0.3">
      <c r="A19" s="322" t="s">
        <v>42</v>
      </c>
      <c r="B19" s="128">
        <f>COUNTIFS(F6Results_2026[[From]:[From]],"ST.JUDE",F6Results_2026[[Div]:[Div]],"I")</f>
        <v>23</v>
      </c>
      <c r="C19" s="128">
        <f>COUNTIFS(F6Results_2026[[From]:[From]],"ST.JUDE",F6Results_2026[[Div]:[Div]],"II")</f>
        <v>42</v>
      </c>
      <c r="D19" s="128">
        <f>COUNTIFS(F6Results_2026[[From]:[From]],"ST.JUDE",F6Results_2026[[Div]:[Div]],"III")</f>
        <v>50</v>
      </c>
      <c r="E19" s="379">
        <f>SUM(B19:D19)</f>
        <v>115</v>
      </c>
      <c r="F19" s="323">
        <f>IF(E19=0,"-",B19/E19)</f>
        <v>0.2</v>
      </c>
      <c r="G19" s="450"/>
    </row>
    <row r="20" spans="1:10" ht="15" customHeight="1" x14ac:dyDescent="0.3">
      <c r="A20" s="324" t="s">
        <v>94</v>
      </c>
      <c r="B20" s="128">
        <f>COUNTIFS(F6Results_2026[[From]:[From]],"GVT",F6Results_2026[[Div]:[Div]],"I")</f>
        <v>15</v>
      </c>
      <c r="C20" s="128">
        <f>COUNTIFS(F6Results_2026[[From]:[From]],"GVT",F6Results_2026[[Div]:[Div]],"II")</f>
        <v>23</v>
      </c>
      <c r="D20" s="128">
        <f>COUNTIFS(F6Results_2026[[From]:[From]],"GVT",F6Results_2026[[Div]:[Div]],"III")</f>
        <v>21</v>
      </c>
      <c r="E20" s="379">
        <f t="shared" ref="E20" si="2">SUM(B20:D20)</f>
        <v>59</v>
      </c>
      <c r="F20" s="325">
        <f>IF(E20=0,"-",B20/E20)</f>
        <v>0.25423728813559321</v>
      </c>
      <c r="G20" s="449"/>
    </row>
    <row r="21" spans="1:10" ht="15" customHeight="1" x14ac:dyDescent="0.3">
      <c r="A21" s="281" t="s">
        <v>350</v>
      </c>
      <c r="B21" s="326">
        <f>SUM(B19:B20)</f>
        <v>38</v>
      </c>
      <c r="C21" s="326">
        <f>SUM(C19:C20)</f>
        <v>65</v>
      </c>
      <c r="D21" s="326">
        <f>SUM(D19:D20)</f>
        <v>71</v>
      </c>
      <c r="E21" s="326">
        <f>SUM(E19:E20)</f>
        <v>174</v>
      </c>
      <c r="F21" s="327">
        <f>IF(E21=0,"-",B21/E21)</f>
        <v>0.21839080459770116</v>
      </c>
      <c r="G21" s="451"/>
    </row>
    <row r="24" spans="1:10" x14ac:dyDescent="0.3">
      <c r="A24" s="375" t="s">
        <v>858</v>
      </c>
      <c r="B24" s="375" t="s">
        <v>10</v>
      </c>
      <c r="C24" s="375" t="s">
        <v>11</v>
      </c>
      <c r="D24" s="375" t="s">
        <v>12</v>
      </c>
      <c r="E24" s="375" t="s">
        <v>13</v>
      </c>
      <c r="F24" t="s">
        <v>351</v>
      </c>
      <c r="G24" s="375" t="s">
        <v>344</v>
      </c>
      <c r="H24" s="382"/>
      <c r="I24" s="382"/>
      <c r="J24" s="382"/>
    </row>
    <row r="25" spans="1:10" x14ac:dyDescent="0.3">
      <c r="A25" s="375" t="s">
        <v>289</v>
      </c>
      <c r="B25" s="375">
        <v>2</v>
      </c>
      <c r="C25" s="375">
        <v>7</v>
      </c>
      <c r="D25" s="375">
        <v>7</v>
      </c>
      <c r="E25" s="375">
        <v>1</v>
      </c>
      <c r="F25">
        <v>0</v>
      </c>
      <c r="G25" s="375">
        <v>17</v>
      </c>
      <c r="H25" s="383"/>
      <c r="I25" s="383"/>
      <c r="J25" s="383"/>
    </row>
    <row r="26" spans="1:10" x14ac:dyDescent="0.3">
      <c r="A26" s="375" t="s">
        <v>304</v>
      </c>
      <c r="B26" s="375">
        <v>0</v>
      </c>
      <c r="C26" s="375">
        <v>0</v>
      </c>
      <c r="D26" s="375">
        <v>7</v>
      </c>
      <c r="E26" s="375">
        <v>3</v>
      </c>
      <c r="F26">
        <v>3</v>
      </c>
      <c r="G26" s="375">
        <v>13</v>
      </c>
      <c r="H26" s="128"/>
      <c r="I26" s="128"/>
      <c r="J26" s="385"/>
    </row>
    <row r="27" spans="1:10" x14ac:dyDescent="0.3">
      <c r="A27" s="375" t="s">
        <v>139</v>
      </c>
      <c r="B27" s="375">
        <v>3</v>
      </c>
      <c r="C27" s="375">
        <v>12</v>
      </c>
      <c r="D27" s="375">
        <v>12</v>
      </c>
      <c r="E27" s="375">
        <v>0</v>
      </c>
      <c r="F27">
        <v>0</v>
      </c>
      <c r="G27" s="375">
        <v>27</v>
      </c>
      <c r="H27" s="128"/>
      <c r="I27" s="128"/>
      <c r="J27" s="385"/>
    </row>
    <row r="28" spans="1:10" x14ac:dyDescent="0.3">
      <c r="A28" s="375" t="s">
        <v>40</v>
      </c>
      <c r="B28" s="375">
        <v>27</v>
      </c>
      <c r="C28" s="375">
        <v>2</v>
      </c>
      <c r="D28" s="375">
        <v>0</v>
      </c>
      <c r="E28" s="375">
        <v>0</v>
      </c>
      <c r="F28">
        <v>0</v>
      </c>
      <c r="G28" s="375">
        <v>29</v>
      </c>
      <c r="H28" s="128"/>
      <c r="I28" s="128"/>
      <c r="J28" s="385"/>
    </row>
    <row r="29" spans="1:10" x14ac:dyDescent="0.3">
      <c r="A29" s="375" t="s">
        <v>45</v>
      </c>
      <c r="B29" s="375">
        <v>5</v>
      </c>
      <c r="C29" s="375">
        <v>15</v>
      </c>
      <c r="D29" s="375">
        <v>3</v>
      </c>
      <c r="E29" s="375">
        <v>0</v>
      </c>
      <c r="F29">
        <v>0</v>
      </c>
      <c r="G29" s="375">
        <v>23</v>
      </c>
      <c r="H29" s="128"/>
      <c r="I29" s="128"/>
      <c r="J29" s="385"/>
    </row>
    <row r="30" spans="1:10" x14ac:dyDescent="0.3">
      <c r="A30" s="375" t="s">
        <v>240</v>
      </c>
      <c r="B30" s="375">
        <v>1</v>
      </c>
      <c r="C30" s="375">
        <v>12</v>
      </c>
      <c r="D30" s="375">
        <v>27</v>
      </c>
      <c r="E30" s="375">
        <v>1</v>
      </c>
      <c r="F30">
        <v>4</v>
      </c>
      <c r="G30" s="375">
        <v>45</v>
      </c>
      <c r="H30" s="384"/>
      <c r="I30" s="384"/>
      <c r="J30" s="385"/>
    </row>
    <row r="31" spans="1:10" x14ac:dyDescent="0.3">
      <c r="A31" s="375" t="s">
        <v>194</v>
      </c>
      <c r="B31" s="375">
        <v>0</v>
      </c>
      <c r="C31" s="375">
        <v>15</v>
      </c>
      <c r="D31" s="375">
        <v>10</v>
      </c>
      <c r="E31" s="375">
        <v>1</v>
      </c>
      <c r="F31">
        <v>2</v>
      </c>
      <c r="G31" s="375">
        <v>28</v>
      </c>
      <c r="H31" s="384"/>
      <c r="I31" s="384"/>
      <c r="J31" s="385"/>
    </row>
    <row r="32" spans="1:10" x14ac:dyDescent="0.3">
      <c r="A32" s="375" t="s">
        <v>978</v>
      </c>
      <c r="B32" s="375">
        <v>0</v>
      </c>
      <c r="C32" s="375">
        <v>2</v>
      </c>
      <c r="D32" s="375">
        <v>5</v>
      </c>
      <c r="E32" s="375">
        <v>0</v>
      </c>
      <c r="F32">
        <v>0</v>
      </c>
      <c r="G32" s="375">
        <v>7</v>
      </c>
      <c r="H32" s="384"/>
      <c r="I32" s="384"/>
      <c r="J32" s="385"/>
    </row>
    <row r="33" spans="1:10" x14ac:dyDescent="0.3">
      <c r="A33" s="384"/>
      <c r="B33" s="384"/>
      <c r="C33" s="384"/>
      <c r="D33" s="384"/>
      <c r="E33" s="384"/>
      <c r="F33" s="384"/>
      <c r="G33" s="384"/>
      <c r="H33" s="384"/>
      <c r="I33" s="384"/>
      <c r="J33" s="385"/>
    </row>
    <row r="34" spans="1:10" x14ac:dyDescent="0.3">
      <c r="A34" s="386"/>
      <c r="B34" s="386"/>
      <c r="C34" s="387"/>
      <c r="D34" s="387"/>
      <c r="E34" s="387"/>
      <c r="F34" s="387"/>
      <c r="G34" s="387"/>
      <c r="H34" s="387"/>
      <c r="I34" s="387"/>
      <c r="J34" s="387"/>
    </row>
    <row r="36" spans="1:10" x14ac:dyDescent="0.3">
      <c r="A36" s="403" t="s">
        <v>1007</v>
      </c>
      <c r="B36" s="403"/>
      <c r="C36" s="403"/>
      <c r="D36" s="403"/>
      <c r="E36" s="403"/>
      <c r="F36" s="403"/>
      <c r="G36" s="403"/>
      <c r="H36" s="403"/>
      <c r="I36" s="403"/>
      <c r="J36" s="403"/>
    </row>
    <row r="38" spans="1:10" ht="52.8" x14ac:dyDescent="0.3">
      <c r="A38" s="328" t="s">
        <v>1008</v>
      </c>
      <c r="B38" s="328" t="s">
        <v>42</v>
      </c>
      <c r="C38" s="328" t="s">
        <v>94</v>
      </c>
      <c r="D38" s="328" t="s">
        <v>1009</v>
      </c>
      <c r="E38" s="328" t="s">
        <v>1010</v>
      </c>
    </row>
    <row r="39" spans="1:10" x14ac:dyDescent="0.3">
      <c r="A39" s="330" t="s">
        <v>1011</v>
      </c>
      <c r="B39" s="324"/>
      <c r="C39" s="324"/>
      <c r="D39" s="324"/>
      <c r="E39" s="324" t="str">
        <f t="shared" ref="E39:E47" si="3">IFERROR(IF(B39&gt;C39,"ST.JUDE",IF(C39&gt;B39,"GVT","TIE")),"-")</f>
        <v>TIE</v>
      </c>
    </row>
    <row r="40" spans="1:10" x14ac:dyDescent="0.3">
      <c r="A40" s="331" t="s">
        <v>1012</v>
      </c>
      <c r="B40" s="322"/>
      <c r="C40" s="322"/>
      <c r="D40" s="322"/>
      <c r="E40" s="322" t="str">
        <f t="shared" si="3"/>
        <v>TIE</v>
      </c>
    </row>
    <row r="41" spans="1:10" x14ac:dyDescent="0.3">
      <c r="A41" s="330" t="s">
        <v>1013</v>
      </c>
      <c r="B41" s="324"/>
      <c r="C41" s="324"/>
      <c r="D41" s="324"/>
      <c r="E41" s="324" t="str">
        <f t="shared" si="3"/>
        <v>TIE</v>
      </c>
    </row>
    <row r="42" spans="1:10" x14ac:dyDescent="0.3">
      <c r="A42" s="331" t="s">
        <v>1014</v>
      </c>
      <c r="B42" s="322"/>
      <c r="C42" s="322"/>
      <c r="D42" s="322"/>
      <c r="E42" s="322" t="str">
        <f t="shared" si="3"/>
        <v>TIE</v>
      </c>
    </row>
    <row r="43" spans="1:10" x14ac:dyDescent="0.3">
      <c r="A43" s="330" t="s">
        <v>1015</v>
      </c>
      <c r="B43" s="325"/>
      <c r="C43" s="325"/>
      <c r="D43" s="332"/>
      <c r="E43" s="324" t="str">
        <f t="shared" si="3"/>
        <v>TIE</v>
      </c>
    </row>
    <row r="44" spans="1:10" x14ac:dyDescent="0.3">
      <c r="A44" s="331" t="s">
        <v>1016</v>
      </c>
      <c r="B44" s="322"/>
      <c r="C44" s="322"/>
      <c r="D44" s="322"/>
      <c r="E44" s="322" t="str">
        <f t="shared" si="3"/>
        <v>TIE</v>
      </c>
    </row>
    <row r="45" spans="1:10" x14ac:dyDescent="0.3">
      <c r="A45" s="330" t="s">
        <v>1017</v>
      </c>
      <c r="B45" s="329"/>
      <c r="C45" s="329"/>
      <c r="D45" s="324"/>
      <c r="E45" s="324" t="str">
        <f t="shared" si="3"/>
        <v>TIE</v>
      </c>
    </row>
    <row r="46" spans="1:10" x14ac:dyDescent="0.3">
      <c r="A46" s="331" t="s">
        <v>1018</v>
      </c>
      <c r="B46" s="322"/>
      <c r="C46" s="322"/>
      <c r="D46" s="322"/>
      <c r="E46" s="322" t="str">
        <f t="shared" si="3"/>
        <v>TIE</v>
      </c>
    </row>
    <row r="47" spans="1:10" x14ac:dyDescent="0.3">
      <c r="A47" s="330" t="s">
        <v>1019</v>
      </c>
      <c r="B47" s="324"/>
      <c r="C47" s="324"/>
      <c r="D47" s="324"/>
      <c r="E47" s="324" t="str">
        <f t="shared" si="3"/>
        <v>TIE</v>
      </c>
    </row>
    <row r="49" spans="1:14" x14ac:dyDescent="0.3">
      <c r="A49" s="406" t="s">
        <v>1020</v>
      </c>
      <c r="B49" s="406"/>
      <c r="C49" s="406"/>
      <c r="D49" s="406"/>
      <c r="E49" s="406"/>
      <c r="F49" s="406"/>
      <c r="G49" s="406"/>
      <c r="H49" s="406"/>
      <c r="I49" s="406"/>
      <c r="J49" s="406"/>
      <c r="K49" s="406"/>
      <c r="L49" s="406"/>
      <c r="M49" s="406"/>
      <c r="N49" s="406"/>
    </row>
    <row r="50" spans="1:14" ht="69" x14ac:dyDescent="0.3">
      <c r="A50" s="333" t="s">
        <v>1021</v>
      </c>
      <c r="B50" s="334" t="s">
        <v>10</v>
      </c>
      <c r="C50" s="334" t="s">
        <v>11</v>
      </c>
      <c r="D50" s="334" t="s">
        <v>12</v>
      </c>
      <c r="E50" s="334" t="s">
        <v>13</v>
      </c>
      <c r="F50" s="334" t="s">
        <v>351</v>
      </c>
      <c r="G50" s="452"/>
      <c r="H50" s="335" t="s">
        <v>350</v>
      </c>
      <c r="I50" s="335"/>
      <c r="J50" s="335"/>
      <c r="K50" s="335" t="s">
        <v>345</v>
      </c>
      <c r="L50" s="335" t="s">
        <v>352</v>
      </c>
      <c r="M50" s="336" t="s">
        <v>1022</v>
      </c>
      <c r="N50" s="335" t="s">
        <v>1023</v>
      </c>
    </row>
    <row r="51" spans="1:14" x14ac:dyDescent="0.3">
      <c r="A51" s="334">
        <v>2019</v>
      </c>
      <c r="B51" s="337">
        <v>70</v>
      </c>
      <c r="C51" s="337">
        <v>84</v>
      </c>
      <c r="D51" s="337">
        <v>15</v>
      </c>
      <c r="E51" s="337">
        <v>0</v>
      </c>
      <c r="F51" s="337">
        <v>0</v>
      </c>
      <c r="G51" s="337"/>
      <c r="H51" s="337">
        <f t="shared" ref="H51:H56" si="4">SUM(B51:F51)</f>
        <v>169</v>
      </c>
      <c r="I51" s="337"/>
      <c r="J51" s="337"/>
      <c r="K51" s="338">
        <v>2.4961000000000002</v>
      </c>
      <c r="L51" s="339">
        <f t="shared" ref="L51:L56" si="5">IFERROR((B51 + C51) / H51 * 100, "")</f>
        <v>91.124260355029591</v>
      </c>
      <c r="M51" s="340" t="str">
        <f t="shared" ref="M51:M56" si="6">IF(L51="INC","INC",IF(L51="-","-",IF(L51="","INC",IF(L51&gt;=79.5,"A",IF(L51&gt;=69.5,"B",IF(L51&gt;=59.5,"C",IF(L51&gt;=49.5,"D",IF(L51&gt;=39.5,"E",IF(L51&gt;=34.5,"S",IF(L51&gt;=0,"F",))))))))))</f>
        <v>A</v>
      </c>
      <c r="N51" s="341"/>
    </row>
    <row r="52" spans="1:14" x14ac:dyDescent="0.3">
      <c r="A52" s="334">
        <v>2020</v>
      </c>
      <c r="B52" s="342">
        <v>51</v>
      </c>
      <c r="C52" s="342">
        <v>74</v>
      </c>
      <c r="D52" s="342">
        <v>23</v>
      </c>
      <c r="E52" s="342">
        <v>0</v>
      </c>
      <c r="F52" s="342">
        <v>0</v>
      </c>
      <c r="G52" s="342"/>
      <c r="H52" s="337">
        <f t="shared" si="4"/>
        <v>148</v>
      </c>
      <c r="I52" s="337"/>
      <c r="J52" s="337"/>
      <c r="K52" s="338">
        <v>2.6509</v>
      </c>
      <c r="L52" s="339">
        <f t="shared" si="5"/>
        <v>84.459459459459467</v>
      </c>
      <c r="M52" s="340" t="str">
        <f t="shared" si="6"/>
        <v>A</v>
      </c>
      <c r="N52" s="341">
        <f>L52-L51</f>
        <v>-6.6648008955701243</v>
      </c>
    </row>
    <row r="53" spans="1:14" x14ac:dyDescent="0.3">
      <c r="A53" s="334">
        <v>2021</v>
      </c>
      <c r="B53" s="337">
        <v>57</v>
      </c>
      <c r="C53" s="337">
        <v>64</v>
      </c>
      <c r="D53" s="337">
        <v>18</v>
      </c>
      <c r="E53" s="337">
        <v>0</v>
      </c>
      <c r="F53" s="337">
        <v>0</v>
      </c>
      <c r="G53" s="337"/>
      <c r="H53" s="337">
        <f t="shared" si="4"/>
        <v>139</v>
      </c>
      <c r="I53" s="337"/>
      <c r="J53" s="337"/>
      <c r="K53" s="338">
        <v>2.5419999999999998</v>
      </c>
      <c r="L53" s="339">
        <f t="shared" si="5"/>
        <v>87.050359712230218</v>
      </c>
      <c r="M53" s="340" t="str">
        <f t="shared" si="6"/>
        <v>A</v>
      </c>
      <c r="N53" s="341">
        <f>L53-L52</f>
        <v>2.5909002527707514</v>
      </c>
    </row>
    <row r="54" spans="1:14" x14ac:dyDescent="0.3">
      <c r="A54" s="334">
        <v>2022</v>
      </c>
      <c r="B54" s="337">
        <v>20</v>
      </c>
      <c r="C54" s="337">
        <v>53</v>
      </c>
      <c r="D54" s="337">
        <v>34</v>
      </c>
      <c r="E54" s="337">
        <v>0</v>
      </c>
      <c r="F54" s="337">
        <v>0</v>
      </c>
      <c r="G54" s="337"/>
      <c r="H54" s="337">
        <f t="shared" si="4"/>
        <v>107</v>
      </c>
      <c r="I54" s="337"/>
      <c r="J54" s="337"/>
      <c r="K54" s="338">
        <v>2.9750999999999999</v>
      </c>
      <c r="L54" s="339">
        <f t="shared" si="5"/>
        <v>68.224299065420553</v>
      </c>
      <c r="M54" s="340" t="str">
        <f t="shared" si="6"/>
        <v>C</v>
      </c>
      <c r="N54" s="341">
        <f>L54-L53</f>
        <v>-18.826060646809665</v>
      </c>
    </row>
    <row r="55" spans="1:14" x14ac:dyDescent="0.3">
      <c r="A55" s="334">
        <v>2023</v>
      </c>
      <c r="B55" s="343">
        <v>133</v>
      </c>
      <c r="C55" s="343">
        <v>65</v>
      </c>
      <c r="D55" s="343">
        <v>12</v>
      </c>
      <c r="E55" s="343">
        <v>0</v>
      </c>
      <c r="F55" s="343">
        <v>0</v>
      </c>
      <c r="G55" s="343"/>
      <c r="H55" s="337">
        <f t="shared" si="4"/>
        <v>210</v>
      </c>
      <c r="I55" s="337"/>
      <c r="J55" s="337"/>
      <c r="K55" s="344">
        <v>2.1745999999999999</v>
      </c>
      <c r="L55" s="339">
        <f t="shared" si="5"/>
        <v>94.285714285714278</v>
      </c>
      <c r="M55" s="340" t="str">
        <f t="shared" si="6"/>
        <v>A</v>
      </c>
      <c r="N55" s="341">
        <f>L55-L54</f>
        <v>26.061415220293725</v>
      </c>
    </row>
    <row r="56" spans="1:14" x14ac:dyDescent="0.3">
      <c r="A56" s="334">
        <v>2024</v>
      </c>
      <c r="B56" s="343">
        <v>165</v>
      </c>
      <c r="C56" s="343">
        <v>34</v>
      </c>
      <c r="D56" s="343">
        <v>1</v>
      </c>
      <c r="E56" s="343">
        <v>0</v>
      </c>
      <c r="F56" s="343">
        <v>0</v>
      </c>
      <c r="G56" s="343"/>
      <c r="H56" s="337">
        <f t="shared" si="4"/>
        <v>200</v>
      </c>
      <c r="I56" s="337"/>
      <c r="J56" s="337"/>
      <c r="K56" s="344">
        <v>1.9182999999999999</v>
      </c>
      <c r="L56" s="339">
        <f t="shared" si="5"/>
        <v>99.5</v>
      </c>
      <c r="M56" s="340" t="str">
        <f t="shared" si="6"/>
        <v>A</v>
      </c>
      <c r="N56" s="341">
        <f>L56-L55</f>
        <v>5.2142857142857224</v>
      </c>
    </row>
    <row r="57" spans="1:14" x14ac:dyDescent="0.3">
      <c r="A57" s="334">
        <v>2025</v>
      </c>
      <c r="B57" s="343">
        <v>97</v>
      </c>
      <c r="C57" s="343">
        <v>58</v>
      </c>
      <c r="D57" s="343">
        <v>12</v>
      </c>
      <c r="E57" s="343">
        <v>0</v>
      </c>
      <c r="F57" s="343">
        <v>0</v>
      </c>
      <c r="G57" s="343"/>
      <c r="H57" s="337">
        <v>167</v>
      </c>
      <c r="I57" s="337"/>
      <c r="J57" s="337"/>
      <c r="K57" s="345">
        <v>2.2684630738522999</v>
      </c>
      <c r="L57" s="339">
        <v>92.814371257485007</v>
      </c>
      <c r="M57" s="340" t="s">
        <v>2</v>
      </c>
      <c r="N57" s="341">
        <v>-6.6856287425149699</v>
      </c>
    </row>
    <row r="58" spans="1:14" x14ac:dyDescent="0.3">
      <c r="A58" s="334">
        <v>2026</v>
      </c>
      <c r="B58" s="343"/>
      <c r="C58" s="343"/>
      <c r="D58" s="343"/>
      <c r="E58" s="343"/>
      <c r="F58" s="343"/>
      <c r="G58" s="343"/>
      <c r="H58" s="337"/>
      <c r="I58" s="337"/>
      <c r="J58" s="337"/>
      <c r="K58" s="345"/>
      <c r="L58" s="339"/>
      <c r="M58" s="340"/>
      <c r="N58" s="341"/>
    </row>
    <row r="60" spans="1:14" x14ac:dyDescent="0.3">
      <c r="A60" s="407" t="s">
        <v>1024</v>
      </c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</row>
    <row r="61" spans="1:14" x14ac:dyDescent="0.3">
      <c r="A61" s="333" t="s">
        <v>1021</v>
      </c>
      <c r="B61" s="334" t="s">
        <v>10</v>
      </c>
      <c r="C61" s="334" t="s">
        <v>11</v>
      </c>
      <c r="D61" s="334" t="s">
        <v>12</v>
      </c>
      <c r="E61" s="334" t="s">
        <v>13</v>
      </c>
      <c r="F61" s="334" t="s">
        <v>351</v>
      </c>
      <c r="G61" s="452"/>
      <c r="H61" s="335" t="s">
        <v>350</v>
      </c>
      <c r="I61" s="346"/>
      <c r="J61" s="346"/>
    </row>
    <row r="62" spans="1:14" x14ac:dyDescent="0.3">
      <c r="A62" s="334">
        <v>2019</v>
      </c>
      <c r="B62" s="347">
        <f t="shared" ref="B62:B68" si="7">B51/H51</f>
        <v>0.41420118343195267</v>
      </c>
      <c r="C62" s="347">
        <f t="shared" ref="C62:C68" si="8">C51/H51</f>
        <v>0.49704142011834318</v>
      </c>
      <c r="D62" s="347">
        <f t="shared" ref="D62:D68" si="9">D51/H51</f>
        <v>8.8757396449704137E-2</v>
      </c>
      <c r="E62" s="347">
        <f t="shared" ref="E62:E68" si="10">E51/H51</f>
        <v>0</v>
      </c>
      <c r="F62" s="347">
        <f t="shared" ref="F62:F68" si="11">F51/H51</f>
        <v>0</v>
      </c>
      <c r="G62" s="347"/>
      <c r="H62" s="348">
        <f t="shared" ref="H62" si="12">SUM(B62:F62)</f>
        <v>1</v>
      </c>
      <c r="I62" s="349"/>
      <c r="J62" s="349"/>
    </row>
    <row r="63" spans="1:14" x14ac:dyDescent="0.3">
      <c r="A63" s="334">
        <v>2020</v>
      </c>
      <c r="B63" s="347">
        <f t="shared" si="7"/>
        <v>0.34459459459459457</v>
      </c>
      <c r="C63" s="347">
        <f t="shared" si="8"/>
        <v>0.5</v>
      </c>
      <c r="D63" s="347">
        <f t="shared" si="9"/>
        <v>0.1554054054054054</v>
      </c>
      <c r="E63" s="347">
        <f t="shared" si="10"/>
        <v>0</v>
      </c>
      <c r="F63" s="347">
        <f t="shared" si="11"/>
        <v>0</v>
      </c>
      <c r="G63" s="347"/>
      <c r="H63" s="348">
        <f t="shared" ref="H63:H68" si="13">SUM(B63:F63)</f>
        <v>0.99999999999999989</v>
      </c>
      <c r="I63" s="349"/>
      <c r="J63" s="349"/>
    </row>
    <row r="64" spans="1:14" x14ac:dyDescent="0.3">
      <c r="A64" s="334">
        <v>2021</v>
      </c>
      <c r="B64" s="347">
        <f t="shared" si="7"/>
        <v>0.41007194244604317</v>
      </c>
      <c r="C64" s="347">
        <f t="shared" si="8"/>
        <v>0.46043165467625902</v>
      </c>
      <c r="D64" s="347">
        <f t="shared" si="9"/>
        <v>0.12949640287769784</v>
      </c>
      <c r="E64" s="347">
        <f t="shared" si="10"/>
        <v>0</v>
      </c>
      <c r="F64" s="347">
        <f t="shared" si="11"/>
        <v>0</v>
      </c>
      <c r="G64" s="347"/>
      <c r="H64" s="348">
        <f t="shared" si="13"/>
        <v>1</v>
      </c>
      <c r="I64" s="349"/>
      <c r="J64" s="349"/>
    </row>
    <row r="65" spans="1:12" x14ac:dyDescent="0.3">
      <c r="A65" s="334">
        <v>2022</v>
      </c>
      <c r="B65" s="347">
        <f t="shared" si="7"/>
        <v>0.18691588785046728</v>
      </c>
      <c r="C65" s="347">
        <f t="shared" si="8"/>
        <v>0.49532710280373832</v>
      </c>
      <c r="D65" s="347">
        <f t="shared" si="9"/>
        <v>0.31775700934579437</v>
      </c>
      <c r="E65" s="347">
        <f t="shared" si="10"/>
        <v>0</v>
      </c>
      <c r="F65" s="347">
        <f t="shared" si="11"/>
        <v>0</v>
      </c>
      <c r="G65" s="347"/>
      <c r="H65" s="348">
        <f t="shared" si="13"/>
        <v>1</v>
      </c>
      <c r="I65" s="349"/>
      <c r="J65" s="349"/>
    </row>
    <row r="66" spans="1:12" x14ac:dyDescent="0.3">
      <c r="A66" s="334">
        <v>2023</v>
      </c>
      <c r="B66" s="347">
        <f t="shared" si="7"/>
        <v>0.6333333333333333</v>
      </c>
      <c r="C66" s="347">
        <f t="shared" si="8"/>
        <v>0.30952380952380953</v>
      </c>
      <c r="D66" s="347">
        <f t="shared" si="9"/>
        <v>5.7142857142857141E-2</v>
      </c>
      <c r="E66" s="347">
        <f t="shared" si="10"/>
        <v>0</v>
      </c>
      <c r="F66" s="347">
        <f t="shared" si="11"/>
        <v>0</v>
      </c>
      <c r="G66" s="347"/>
      <c r="H66" s="348">
        <f t="shared" si="13"/>
        <v>1</v>
      </c>
      <c r="I66" s="349"/>
      <c r="J66" s="349"/>
    </row>
    <row r="67" spans="1:12" x14ac:dyDescent="0.3">
      <c r="A67" s="334">
        <v>2024</v>
      </c>
      <c r="B67" s="347">
        <f t="shared" si="7"/>
        <v>0.82499999999999996</v>
      </c>
      <c r="C67" s="347">
        <f t="shared" si="8"/>
        <v>0.17</v>
      </c>
      <c r="D67" s="347">
        <f t="shared" si="9"/>
        <v>5.0000000000000001E-3</v>
      </c>
      <c r="E67" s="347">
        <f t="shared" si="10"/>
        <v>0</v>
      </c>
      <c r="F67" s="347">
        <f t="shared" si="11"/>
        <v>0</v>
      </c>
      <c r="G67" s="347"/>
      <c r="H67" s="348">
        <f t="shared" si="13"/>
        <v>1</v>
      </c>
      <c r="I67" s="349"/>
      <c r="J67" s="349"/>
    </row>
    <row r="68" spans="1:12" x14ac:dyDescent="0.3">
      <c r="A68" s="334">
        <v>2025</v>
      </c>
      <c r="B68" s="347">
        <f t="shared" si="7"/>
        <v>0.58083832335329344</v>
      </c>
      <c r="C68" s="347">
        <f t="shared" si="8"/>
        <v>0.3473053892215569</v>
      </c>
      <c r="D68" s="347">
        <f t="shared" si="9"/>
        <v>7.1856287425149698E-2</v>
      </c>
      <c r="E68" s="347">
        <f t="shared" si="10"/>
        <v>0</v>
      </c>
      <c r="F68" s="347">
        <f t="shared" si="11"/>
        <v>0</v>
      </c>
      <c r="G68" s="347"/>
      <c r="H68" s="348">
        <f t="shared" si="13"/>
        <v>1</v>
      </c>
      <c r="I68" s="349"/>
      <c r="J68" s="349"/>
    </row>
    <row r="69" spans="1:12" x14ac:dyDescent="0.3">
      <c r="A69" s="334">
        <v>2026</v>
      </c>
      <c r="B69" s="347" t="e">
        <f t="shared" ref="B69" si="14">B59/H59</f>
        <v>#DIV/0!</v>
      </c>
      <c r="C69" s="347" t="e">
        <f t="shared" ref="C69" si="15">C59/H59</f>
        <v>#DIV/0!</v>
      </c>
      <c r="D69" s="347" t="e">
        <f t="shared" ref="D69" si="16">D59/H59</f>
        <v>#DIV/0!</v>
      </c>
      <c r="E69" s="347" t="e">
        <f t="shared" ref="E69" si="17">E59/H59</f>
        <v>#DIV/0!</v>
      </c>
      <c r="F69" s="347" t="e">
        <f t="shared" ref="F69" si="18">F59/H59</f>
        <v>#DIV/0!</v>
      </c>
      <c r="G69" s="347"/>
      <c r="H69" s="348" t="e">
        <f t="shared" ref="H69" si="19">SUM(B69:F69)</f>
        <v>#DIV/0!</v>
      </c>
      <c r="I69" s="349"/>
      <c r="J69" s="349"/>
    </row>
    <row r="70" spans="1:12" x14ac:dyDescent="0.3">
      <c r="A70" s="372"/>
      <c r="B70" s="373"/>
      <c r="C70" s="373"/>
      <c r="D70" s="373"/>
      <c r="E70" s="373"/>
      <c r="F70" s="373"/>
      <c r="G70" s="373"/>
      <c r="H70" s="374"/>
      <c r="I70" s="349"/>
      <c r="J70" s="349"/>
    </row>
    <row r="72" spans="1:12" ht="15" thickBot="1" x14ac:dyDescent="0.35">
      <c r="A72" s="408" t="s">
        <v>1025</v>
      </c>
      <c r="B72" s="409"/>
      <c r="C72" s="409"/>
      <c r="D72" s="409"/>
      <c r="E72" s="409"/>
      <c r="F72" s="409"/>
      <c r="G72" s="409"/>
      <c r="H72" s="409"/>
      <c r="I72" s="409"/>
      <c r="J72" s="409"/>
      <c r="K72" s="409"/>
      <c r="L72" s="409"/>
    </row>
    <row r="73" spans="1:12" ht="15" thickBot="1" x14ac:dyDescent="0.35">
      <c r="A73" s="350" t="s">
        <v>22</v>
      </c>
      <c r="B73" s="351" t="s">
        <v>353</v>
      </c>
      <c r="C73" s="352">
        <v>2023</v>
      </c>
      <c r="D73" s="353">
        <v>2024</v>
      </c>
      <c r="E73" s="353">
        <v>2025</v>
      </c>
      <c r="F73" s="353">
        <v>2026</v>
      </c>
      <c r="G73" s="353"/>
      <c r="H73" s="353">
        <v>2027</v>
      </c>
      <c r="I73" s="353"/>
      <c r="J73" s="353"/>
      <c r="K73" s="353"/>
      <c r="L73" s="353"/>
    </row>
    <row r="74" spans="1:12" ht="15" thickBot="1" x14ac:dyDescent="0.35">
      <c r="A74" s="410" t="s">
        <v>10</v>
      </c>
      <c r="B74" s="354" t="s">
        <v>1026</v>
      </c>
      <c r="C74" s="355">
        <v>1</v>
      </c>
      <c r="D74" s="356">
        <v>1</v>
      </c>
      <c r="E74" s="357">
        <v>0</v>
      </c>
      <c r="F74" s="357"/>
      <c r="G74" s="357"/>
      <c r="H74" s="357"/>
      <c r="I74" s="357"/>
      <c r="J74" s="357"/>
      <c r="K74" s="357"/>
      <c r="L74" s="357"/>
    </row>
    <row r="75" spans="1:12" ht="15" thickBot="1" x14ac:dyDescent="0.35">
      <c r="A75" s="410"/>
      <c r="B75" s="358" t="s">
        <v>1027</v>
      </c>
      <c r="C75" s="359">
        <v>4</v>
      </c>
      <c r="D75" s="360">
        <v>2</v>
      </c>
      <c r="E75" s="361">
        <v>0</v>
      </c>
      <c r="F75" s="361"/>
      <c r="G75" s="361"/>
      <c r="H75" s="361"/>
      <c r="I75" s="361"/>
      <c r="J75" s="361"/>
      <c r="K75" s="361"/>
      <c r="L75" s="361"/>
    </row>
    <row r="76" spans="1:12" ht="15" thickBot="1" x14ac:dyDescent="0.35">
      <c r="A76" s="410"/>
      <c r="B76" s="358" t="s">
        <v>1028</v>
      </c>
      <c r="C76" s="359">
        <v>11</v>
      </c>
      <c r="D76" s="360">
        <v>9</v>
      </c>
      <c r="E76" s="361">
        <v>6</v>
      </c>
      <c r="F76" s="361"/>
      <c r="G76" s="361"/>
      <c r="H76" s="361"/>
      <c r="I76" s="361"/>
      <c r="J76" s="361"/>
      <c r="K76" s="361"/>
      <c r="L76" s="361"/>
    </row>
    <row r="77" spans="1:12" ht="15" thickBot="1" x14ac:dyDescent="0.35">
      <c r="A77" s="410"/>
      <c r="B77" s="358" t="s">
        <v>1029</v>
      </c>
      <c r="C77" s="359">
        <v>17</v>
      </c>
      <c r="D77" s="360">
        <v>25</v>
      </c>
      <c r="E77" s="361">
        <v>13</v>
      </c>
      <c r="F77" s="361"/>
      <c r="G77" s="361"/>
      <c r="H77" s="361"/>
      <c r="I77" s="361"/>
      <c r="J77" s="361"/>
      <c r="K77" s="361"/>
      <c r="L77" s="361"/>
    </row>
    <row r="78" spans="1:12" ht="15" thickBot="1" x14ac:dyDescent="0.35">
      <c r="A78" s="410"/>
      <c r="B78" s="358" t="s">
        <v>1030</v>
      </c>
      <c r="C78" s="359">
        <v>23</v>
      </c>
      <c r="D78" s="360">
        <v>39</v>
      </c>
      <c r="E78" s="361">
        <v>17</v>
      </c>
      <c r="F78" s="361"/>
      <c r="G78" s="361"/>
      <c r="H78" s="361"/>
      <c r="I78" s="361"/>
      <c r="J78" s="361"/>
      <c r="K78" s="361"/>
      <c r="L78" s="361"/>
    </row>
    <row r="79" spans="1:12" ht="15" thickBot="1" x14ac:dyDescent="0.35">
      <c r="A79" s="410"/>
      <c r="B79" s="358" t="s">
        <v>1031</v>
      </c>
      <c r="C79" s="359">
        <v>37</v>
      </c>
      <c r="D79" s="360">
        <v>51</v>
      </c>
      <c r="E79" s="361">
        <v>23</v>
      </c>
      <c r="F79" s="361"/>
      <c r="G79" s="361"/>
      <c r="H79" s="361"/>
      <c r="I79" s="361"/>
      <c r="J79" s="361"/>
      <c r="K79" s="361"/>
      <c r="L79" s="361"/>
    </row>
    <row r="80" spans="1:12" ht="15" thickBot="1" x14ac:dyDescent="0.35">
      <c r="A80" s="410"/>
      <c r="B80" s="362" t="s">
        <v>1032</v>
      </c>
      <c r="C80" s="363">
        <v>40</v>
      </c>
      <c r="D80" s="364">
        <v>38</v>
      </c>
      <c r="E80" s="365">
        <v>38</v>
      </c>
      <c r="F80" s="365"/>
      <c r="G80" s="365"/>
      <c r="H80" s="365"/>
      <c r="I80" s="365"/>
      <c r="J80" s="365"/>
      <c r="K80" s="365"/>
      <c r="L80" s="365"/>
    </row>
    <row r="81" spans="1:12" ht="15" thickBot="1" x14ac:dyDescent="0.35">
      <c r="A81" s="410" t="s">
        <v>11</v>
      </c>
      <c r="B81" s="354" t="s">
        <v>1033</v>
      </c>
      <c r="C81" s="355">
        <v>37</v>
      </c>
      <c r="D81" s="356">
        <v>23</v>
      </c>
      <c r="E81" s="357">
        <v>36</v>
      </c>
      <c r="F81" s="357"/>
      <c r="G81" s="357"/>
      <c r="H81" s="357"/>
      <c r="I81" s="357"/>
      <c r="J81" s="357"/>
      <c r="K81" s="357"/>
      <c r="L81" s="357"/>
    </row>
    <row r="82" spans="1:12" ht="15" thickBot="1" x14ac:dyDescent="0.35">
      <c r="A82" s="410"/>
      <c r="B82" s="358" t="s">
        <v>1034</v>
      </c>
      <c r="C82" s="359">
        <v>18</v>
      </c>
      <c r="D82" s="360">
        <v>10</v>
      </c>
      <c r="E82" s="361">
        <v>14</v>
      </c>
      <c r="F82" s="361"/>
      <c r="G82" s="361"/>
      <c r="H82" s="361"/>
      <c r="I82" s="361"/>
      <c r="J82" s="361"/>
      <c r="K82" s="361"/>
      <c r="L82" s="361"/>
    </row>
    <row r="83" spans="1:12" ht="15" thickBot="1" x14ac:dyDescent="0.35">
      <c r="A83" s="410"/>
      <c r="B83" s="362" t="s">
        <v>1035</v>
      </c>
      <c r="C83" s="363">
        <v>10</v>
      </c>
      <c r="D83" s="364">
        <v>1</v>
      </c>
      <c r="E83" s="365">
        <v>8</v>
      </c>
      <c r="F83" s="365"/>
      <c r="G83" s="365"/>
      <c r="H83" s="365"/>
      <c r="I83" s="365"/>
      <c r="J83" s="365"/>
      <c r="K83" s="365"/>
      <c r="L83" s="365"/>
    </row>
    <row r="84" spans="1:12" ht="15" thickBot="1" x14ac:dyDescent="0.35">
      <c r="A84" s="410" t="s">
        <v>12</v>
      </c>
      <c r="B84" s="354" t="s">
        <v>1036</v>
      </c>
      <c r="C84" s="355">
        <v>9</v>
      </c>
      <c r="D84" s="356">
        <v>1</v>
      </c>
      <c r="E84" s="357">
        <v>7</v>
      </c>
      <c r="F84" s="357"/>
      <c r="G84" s="357"/>
      <c r="H84" s="357"/>
      <c r="I84" s="357"/>
      <c r="J84" s="357"/>
      <c r="K84" s="357"/>
      <c r="L84" s="357"/>
    </row>
    <row r="85" spans="1:12" ht="15" thickBot="1" x14ac:dyDescent="0.35">
      <c r="A85" s="410"/>
      <c r="B85" s="358" t="s">
        <v>1037</v>
      </c>
      <c r="C85" s="359">
        <v>2</v>
      </c>
      <c r="D85" s="360">
        <v>0</v>
      </c>
      <c r="E85" s="361">
        <v>3</v>
      </c>
      <c r="F85" s="361"/>
      <c r="G85" s="361"/>
      <c r="H85" s="361"/>
      <c r="I85" s="361"/>
      <c r="J85" s="361"/>
      <c r="K85" s="361"/>
      <c r="L85" s="361"/>
    </row>
    <row r="86" spans="1:12" ht="15" thickBot="1" x14ac:dyDescent="0.35">
      <c r="A86" s="410"/>
      <c r="B86" s="358" t="s">
        <v>1038</v>
      </c>
      <c r="C86" s="359">
        <v>0</v>
      </c>
      <c r="D86" s="360">
        <v>0</v>
      </c>
      <c r="E86" s="361">
        <v>2</v>
      </c>
      <c r="F86" s="361"/>
      <c r="G86" s="361"/>
      <c r="H86" s="361"/>
      <c r="I86" s="361"/>
      <c r="J86" s="361"/>
      <c r="K86" s="361"/>
      <c r="L86" s="361"/>
    </row>
    <row r="87" spans="1:12" ht="15" thickBot="1" x14ac:dyDescent="0.35">
      <c r="A87" s="410"/>
      <c r="B87" s="358" t="s">
        <v>1039</v>
      </c>
      <c r="C87" s="359">
        <v>0</v>
      </c>
      <c r="D87" s="360">
        <v>0</v>
      </c>
      <c r="E87" s="361">
        <v>0</v>
      </c>
      <c r="F87" s="361"/>
      <c r="G87" s="361"/>
      <c r="H87" s="361"/>
      <c r="I87" s="361"/>
      <c r="J87" s="361"/>
      <c r="K87" s="361"/>
      <c r="L87" s="361"/>
    </row>
    <row r="88" spans="1:12" ht="15" thickBot="1" x14ac:dyDescent="0.35">
      <c r="A88" s="410"/>
      <c r="B88" s="362" t="s">
        <v>1040</v>
      </c>
      <c r="C88" s="363">
        <v>1</v>
      </c>
      <c r="D88" s="364">
        <v>0</v>
      </c>
      <c r="E88" s="365">
        <v>0</v>
      </c>
      <c r="F88" s="365"/>
      <c r="G88" s="365"/>
      <c r="H88" s="365"/>
      <c r="I88" s="365"/>
      <c r="J88" s="365"/>
      <c r="K88" s="365"/>
      <c r="L88" s="365"/>
    </row>
    <row r="89" spans="1:12" x14ac:dyDescent="0.3">
      <c r="A89" s="411" t="s">
        <v>350</v>
      </c>
      <c r="B89" s="411"/>
      <c r="C89" s="281">
        <f>SUM(C74:C88)</f>
        <v>210</v>
      </c>
      <c r="D89" s="281">
        <f t="shared" ref="D89:L89" si="20">SUM(D74:D88)</f>
        <v>200</v>
      </c>
      <c r="E89" s="281">
        <f t="shared" si="20"/>
        <v>167</v>
      </c>
      <c r="F89" s="281">
        <f t="shared" si="20"/>
        <v>0</v>
      </c>
      <c r="H89" s="281">
        <f t="shared" si="20"/>
        <v>0</v>
      </c>
      <c r="K89" s="281">
        <f t="shared" si="20"/>
        <v>0</v>
      </c>
      <c r="L89" s="281">
        <f t="shared" si="20"/>
        <v>0</v>
      </c>
    </row>
    <row r="91" spans="1:12" ht="15" thickBot="1" x14ac:dyDescent="0.35">
      <c r="A91" s="412" t="s">
        <v>1041</v>
      </c>
      <c r="B91" s="409"/>
      <c r="C91" s="409"/>
      <c r="D91" s="409"/>
      <c r="E91" s="409"/>
      <c r="F91" s="409"/>
      <c r="G91" s="409"/>
      <c r="H91" s="409"/>
      <c r="I91" s="409"/>
      <c r="J91" s="409"/>
      <c r="K91" s="409"/>
      <c r="L91" s="409"/>
    </row>
    <row r="92" spans="1:12" ht="15" thickBot="1" x14ac:dyDescent="0.35">
      <c r="A92" s="350" t="s">
        <v>22</v>
      </c>
      <c r="B92" s="351" t="s">
        <v>353</v>
      </c>
      <c r="C92" s="352">
        <v>2023</v>
      </c>
      <c r="D92" s="353">
        <v>2024</v>
      </c>
      <c r="E92" s="353">
        <v>2025</v>
      </c>
      <c r="F92" s="353">
        <v>2026</v>
      </c>
      <c r="G92" s="353"/>
      <c r="H92" s="353">
        <v>2027</v>
      </c>
      <c r="I92" s="353"/>
      <c r="J92" s="353"/>
      <c r="K92" s="353"/>
      <c r="L92" s="353"/>
    </row>
    <row r="93" spans="1:12" ht="15" thickBot="1" x14ac:dyDescent="0.35">
      <c r="A93" s="410" t="s">
        <v>10</v>
      </c>
      <c r="B93" s="367" t="s">
        <v>1026</v>
      </c>
      <c r="C93" s="371">
        <f>IFERROR(C74/C89, "")</f>
        <v>4.7619047619047623E-3</v>
      </c>
      <c r="D93" s="371">
        <f t="shared" ref="D93:H93" si="21">IFERROR(D74/D89, "")</f>
        <v>5.0000000000000001E-3</v>
      </c>
      <c r="E93" s="371">
        <f t="shared" si="21"/>
        <v>0</v>
      </c>
      <c r="F93" s="371" t="str">
        <f t="shared" si="21"/>
        <v/>
      </c>
      <c r="G93" s="371"/>
      <c r="H93" s="371" t="str">
        <f t="shared" si="21"/>
        <v/>
      </c>
      <c r="I93" s="371"/>
      <c r="J93" s="371"/>
      <c r="K93" s="371"/>
      <c r="L93" s="371"/>
    </row>
    <row r="94" spans="1:12" ht="15" thickBot="1" x14ac:dyDescent="0.35">
      <c r="A94" s="410"/>
      <c r="B94" s="368" t="s">
        <v>1027</v>
      </c>
      <c r="C94" s="371">
        <f>IFERROR(C75/C89, "")</f>
        <v>1.9047619047619049E-2</v>
      </c>
      <c r="D94" s="371">
        <f t="shared" ref="D94:H94" si="22">IFERROR(D75/D89, "")</f>
        <v>0.01</v>
      </c>
      <c r="E94" s="371">
        <f t="shared" si="22"/>
        <v>0</v>
      </c>
      <c r="F94" s="371" t="str">
        <f t="shared" si="22"/>
        <v/>
      </c>
      <c r="G94" s="371"/>
      <c r="H94" s="371" t="str">
        <f t="shared" si="22"/>
        <v/>
      </c>
      <c r="I94" s="371"/>
      <c r="J94" s="371"/>
      <c r="K94" s="371" t="str">
        <f t="shared" ref="K94:K107" si="23">IFERROR(K75/$K$160, "")</f>
        <v/>
      </c>
      <c r="L94" s="371" t="str">
        <f t="shared" ref="L94:L107" si="24">IFERROR(L75/$L$160, "")</f>
        <v/>
      </c>
    </row>
    <row r="95" spans="1:12" ht="15" thickBot="1" x14ac:dyDescent="0.35">
      <c r="A95" s="410"/>
      <c r="B95" s="368" t="s">
        <v>1028</v>
      </c>
      <c r="C95" s="371">
        <f>IFERROR(C76/C89, "")</f>
        <v>5.2380952380952382E-2</v>
      </c>
      <c r="D95" s="371">
        <f t="shared" ref="D95:H95" si="25">IFERROR(D76/D89, "")</f>
        <v>4.4999999999999998E-2</v>
      </c>
      <c r="E95" s="371">
        <f t="shared" si="25"/>
        <v>3.5928143712574849E-2</v>
      </c>
      <c r="F95" s="371" t="str">
        <f t="shared" si="25"/>
        <v/>
      </c>
      <c r="G95" s="371"/>
      <c r="H95" s="371" t="str">
        <f t="shared" si="25"/>
        <v/>
      </c>
      <c r="I95" s="371"/>
      <c r="J95" s="371"/>
      <c r="K95" s="371" t="str">
        <f t="shared" si="23"/>
        <v/>
      </c>
      <c r="L95" s="371" t="str">
        <f t="shared" si="24"/>
        <v/>
      </c>
    </row>
    <row r="96" spans="1:12" ht="15" thickBot="1" x14ac:dyDescent="0.35">
      <c r="A96" s="410"/>
      <c r="B96" s="368" t="s">
        <v>1029</v>
      </c>
      <c r="C96" s="371">
        <f>IFERROR(C77/C89, "")</f>
        <v>8.0952380952380956E-2</v>
      </c>
      <c r="D96" s="371">
        <f t="shared" ref="D96:H96" si="26">IFERROR(D77/D89, "")</f>
        <v>0.125</v>
      </c>
      <c r="E96" s="371">
        <f t="shared" si="26"/>
        <v>7.7844311377245512E-2</v>
      </c>
      <c r="F96" s="371" t="str">
        <f t="shared" si="26"/>
        <v/>
      </c>
      <c r="G96" s="371"/>
      <c r="H96" s="371" t="str">
        <f t="shared" si="26"/>
        <v/>
      </c>
      <c r="I96" s="371"/>
      <c r="J96" s="371"/>
      <c r="K96" s="371" t="str">
        <f t="shared" si="23"/>
        <v/>
      </c>
      <c r="L96" s="371" t="str">
        <f t="shared" si="24"/>
        <v/>
      </c>
    </row>
    <row r="97" spans="1:12" ht="15" thickBot="1" x14ac:dyDescent="0.35">
      <c r="A97" s="410"/>
      <c r="B97" s="368" t="s">
        <v>1030</v>
      </c>
      <c r="C97" s="371">
        <f>IFERROR(C78/C89, "")</f>
        <v>0.10952380952380952</v>
      </c>
      <c r="D97" s="371">
        <f t="shared" ref="D97:H97" si="27">IFERROR(D78/D89, "")</f>
        <v>0.19500000000000001</v>
      </c>
      <c r="E97" s="371">
        <f t="shared" si="27"/>
        <v>0.10179640718562874</v>
      </c>
      <c r="F97" s="371" t="str">
        <f t="shared" si="27"/>
        <v/>
      </c>
      <c r="G97" s="371"/>
      <c r="H97" s="371" t="str">
        <f t="shared" si="27"/>
        <v/>
      </c>
      <c r="I97" s="371"/>
      <c r="J97" s="371"/>
      <c r="K97" s="371" t="str">
        <f t="shared" si="23"/>
        <v/>
      </c>
      <c r="L97" s="371" t="str">
        <f t="shared" si="24"/>
        <v/>
      </c>
    </row>
    <row r="98" spans="1:12" ht="15" thickBot="1" x14ac:dyDescent="0.35">
      <c r="A98" s="410"/>
      <c r="B98" s="368" t="s">
        <v>1031</v>
      </c>
      <c r="C98" s="371">
        <f>IFERROR(C79/C89, "")</f>
        <v>0.1761904761904762</v>
      </c>
      <c r="D98" s="371">
        <f t="shared" ref="D98:H98" si="28">IFERROR(D79/D89, "")</f>
        <v>0.255</v>
      </c>
      <c r="E98" s="371">
        <f t="shared" si="28"/>
        <v>0.1377245508982036</v>
      </c>
      <c r="F98" s="371" t="str">
        <f t="shared" si="28"/>
        <v/>
      </c>
      <c r="G98" s="371"/>
      <c r="H98" s="371" t="str">
        <f t="shared" si="28"/>
        <v/>
      </c>
      <c r="I98" s="371"/>
      <c r="J98" s="371"/>
      <c r="K98" s="371" t="str">
        <f t="shared" si="23"/>
        <v/>
      </c>
      <c r="L98" s="371" t="str">
        <f t="shared" si="24"/>
        <v/>
      </c>
    </row>
    <row r="99" spans="1:12" ht="15" thickBot="1" x14ac:dyDescent="0.35">
      <c r="A99" s="410"/>
      <c r="B99" s="369" t="s">
        <v>1032</v>
      </c>
      <c r="C99" s="371">
        <f>IFERROR(C80/C89, "")</f>
        <v>0.19047619047619047</v>
      </c>
      <c r="D99" s="371">
        <f t="shared" ref="D99:H99" si="29">IFERROR(D80/D89, "")</f>
        <v>0.19</v>
      </c>
      <c r="E99" s="371">
        <f t="shared" si="29"/>
        <v>0.22754491017964071</v>
      </c>
      <c r="F99" s="371" t="str">
        <f t="shared" si="29"/>
        <v/>
      </c>
      <c r="G99" s="371"/>
      <c r="H99" s="371" t="str">
        <f t="shared" si="29"/>
        <v/>
      </c>
      <c r="I99" s="371"/>
      <c r="J99" s="371"/>
      <c r="K99" s="371" t="str">
        <f t="shared" si="23"/>
        <v/>
      </c>
      <c r="L99" s="371" t="str">
        <f t="shared" si="24"/>
        <v/>
      </c>
    </row>
    <row r="100" spans="1:12" ht="15" thickBot="1" x14ac:dyDescent="0.35">
      <c r="A100" s="410" t="s">
        <v>11</v>
      </c>
      <c r="B100" s="367" t="s">
        <v>1033</v>
      </c>
      <c r="C100" s="371">
        <f>IFERROR(C81/C89, "")</f>
        <v>0.1761904761904762</v>
      </c>
      <c r="D100" s="371">
        <f t="shared" ref="D100:H100" si="30">IFERROR(D81/D89, "")</f>
        <v>0.115</v>
      </c>
      <c r="E100" s="371">
        <f t="shared" si="30"/>
        <v>0.21556886227544911</v>
      </c>
      <c r="F100" s="371" t="str">
        <f t="shared" si="30"/>
        <v/>
      </c>
      <c r="G100" s="371"/>
      <c r="H100" s="371" t="str">
        <f t="shared" si="30"/>
        <v/>
      </c>
      <c r="I100" s="371"/>
      <c r="J100" s="371"/>
      <c r="K100" s="371" t="str">
        <f t="shared" si="23"/>
        <v/>
      </c>
      <c r="L100" s="371" t="str">
        <f t="shared" si="24"/>
        <v/>
      </c>
    </row>
    <row r="101" spans="1:12" ht="15" thickBot="1" x14ac:dyDescent="0.35">
      <c r="A101" s="410"/>
      <c r="B101" s="368" t="s">
        <v>1034</v>
      </c>
      <c r="C101" s="371">
        <f>IFERROR(C82/C89, "")</f>
        <v>8.5714285714285715E-2</v>
      </c>
      <c r="D101" s="371">
        <f t="shared" ref="D101:H101" si="31">IFERROR(D82/D89, "")</f>
        <v>0.05</v>
      </c>
      <c r="E101" s="371">
        <f t="shared" si="31"/>
        <v>8.3832335329341312E-2</v>
      </c>
      <c r="F101" s="371" t="str">
        <f t="shared" si="31"/>
        <v/>
      </c>
      <c r="G101" s="371"/>
      <c r="H101" s="371" t="str">
        <f t="shared" si="31"/>
        <v/>
      </c>
      <c r="I101" s="371"/>
      <c r="J101" s="371"/>
      <c r="K101" s="371" t="str">
        <f t="shared" si="23"/>
        <v/>
      </c>
      <c r="L101" s="371" t="str">
        <f t="shared" si="24"/>
        <v/>
      </c>
    </row>
    <row r="102" spans="1:12" ht="15" thickBot="1" x14ac:dyDescent="0.35">
      <c r="A102" s="410"/>
      <c r="B102" s="369" t="s">
        <v>1035</v>
      </c>
      <c r="C102" s="371">
        <f>IFERROR(C83/C89, "")</f>
        <v>4.7619047619047616E-2</v>
      </c>
      <c r="D102" s="371">
        <f t="shared" ref="D102:H102" si="32">IFERROR(D83/D89, "")</f>
        <v>5.0000000000000001E-3</v>
      </c>
      <c r="E102" s="371">
        <f t="shared" si="32"/>
        <v>4.790419161676647E-2</v>
      </c>
      <c r="F102" s="371" t="str">
        <f t="shared" si="32"/>
        <v/>
      </c>
      <c r="G102" s="371"/>
      <c r="H102" s="371" t="str">
        <f t="shared" si="32"/>
        <v/>
      </c>
      <c r="I102" s="371"/>
      <c r="J102" s="371"/>
      <c r="K102" s="371" t="str">
        <f t="shared" si="23"/>
        <v/>
      </c>
      <c r="L102" s="371" t="str">
        <f t="shared" si="24"/>
        <v/>
      </c>
    </row>
    <row r="103" spans="1:12" ht="15" thickBot="1" x14ac:dyDescent="0.35">
      <c r="A103" s="410" t="s">
        <v>12</v>
      </c>
      <c r="B103" s="367" t="s">
        <v>1036</v>
      </c>
      <c r="C103" s="371">
        <f>IFERROR(C84/C89, "")</f>
        <v>4.2857142857142858E-2</v>
      </c>
      <c r="D103" s="371">
        <f t="shared" ref="D103:H103" si="33">IFERROR(D84/D89, "")</f>
        <v>5.0000000000000001E-3</v>
      </c>
      <c r="E103" s="371">
        <f t="shared" si="33"/>
        <v>4.1916167664670656E-2</v>
      </c>
      <c r="F103" s="371" t="str">
        <f t="shared" si="33"/>
        <v/>
      </c>
      <c r="G103" s="371"/>
      <c r="H103" s="371" t="str">
        <f t="shared" si="33"/>
        <v/>
      </c>
      <c r="I103" s="371"/>
      <c r="J103" s="371"/>
      <c r="K103" s="371" t="str">
        <f t="shared" si="23"/>
        <v/>
      </c>
      <c r="L103" s="371" t="str">
        <f t="shared" si="24"/>
        <v/>
      </c>
    </row>
    <row r="104" spans="1:12" ht="15" thickBot="1" x14ac:dyDescent="0.35">
      <c r="A104" s="410"/>
      <c r="B104" s="368" t="s">
        <v>1037</v>
      </c>
      <c r="C104" s="371">
        <f>IFERROR(C85/C89, "")</f>
        <v>9.5238095238095247E-3</v>
      </c>
      <c r="D104" s="371">
        <f t="shared" ref="D104:H104" si="34">IFERROR(D85/D89, "")</f>
        <v>0</v>
      </c>
      <c r="E104" s="371">
        <f t="shared" si="34"/>
        <v>1.7964071856287425E-2</v>
      </c>
      <c r="F104" s="371" t="str">
        <f t="shared" si="34"/>
        <v/>
      </c>
      <c r="G104" s="371"/>
      <c r="H104" s="371" t="str">
        <f t="shared" si="34"/>
        <v/>
      </c>
      <c r="I104" s="371"/>
      <c r="J104" s="371"/>
      <c r="K104" s="371" t="str">
        <f t="shared" si="23"/>
        <v/>
      </c>
      <c r="L104" s="371" t="str">
        <f t="shared" si="24"/>
        <v/>
      </c>
    </row>
    <row r="105" spans="1:12" ht="15" thickBot="1" x14ac:dyDescent="0.35">
      <c r="A105" s="410"/>
      <c r="B105" s="368" t="s">
        <v>1038</v>
      </c>
      <c r="C105" s="371">
        <f>IFERROR(C86/C89, "")</f>
        <v>0</v>
      </c>
      <c r="D105" s="371">
        <f t="shared" ref="D105:H105" si="35">IFERROR(D86/D89, "")</f>
        <v>0</v>
      </c>
      <c r="E105" s="371">
        <f t="shared" si="35"/>
        <v>1.1976047904191617E-2</v>
      </c>
      <c r="F105" s="371" t="str">
        <f t="shared" si="35"/>
        <v/>
      </c>
      <c r="G105" s="371"/>
      <c r="H105" s="371" t="str">
        <f t="shared" si="35"/>
        <v/>
      </c>
      <c r="I105" s="371"/>
      <c r="J105" s="371"/>
      <c r="K105" s="371" t="str">
        <f t="shared" si="23"/>
        <v/>
      </c>
      <c r="L105" s="371" t="str">
        <f t="shared" si="24"/>
        <v/>
      </c>
    </row>
    <row r="106" spans="1:12" ht="15" thickBot="1" x14ac:dyDescent="0.35">
      <c r="A106" s="410"/>
      <c r="B106" s="368" t="s">
        <v>1039</v>
      </c>
      <c r="C106" s="371">
        <f>IFERROR(C87/C89, "")</f>
        <v>0</v>
      </c>
      <c r="D106" s="371">
        <f t="shared" ref="D106:H106" si="36">IFERROR(D87/D89, "")</f>
        <v>0</v>
      </c>
      <c r="E106" s="371">
        <f t="shared" si="36"/>
        <v>0</v>
      </c>
      <c r="F106" s="371" t="str">
        <f t="shared" si="36"/>
        <v/>
      </c>
      <c r="G106" s="371"/>
      <c r="H106" s="371" t="str">
        <f t="shared" si="36"/>
        <v/>
      </c>
      <c r="I106" s="371"/>
      <c r="J106" s="371"/>
      <c r="K106" s="371" t="str">
        <f t="shared" si="23"/>
        <v/>
      </c>
      <c r="L106" s="371" t="str">
        <f t="shared" si="24"/>
        <v/>
      </c>
    </row>
    <row r="107" spans="1:12" x14ac:dyDescent="0.3">
      <c r="A107" s="413"/>
      <c r="B107" s="370" t="s">
        <v>1040</v>
      </c>
      <c r="C107" s="371">
        <f>IFERROR(C88/C89, "")</f>
        <v>4.7619047619047623E-3</v>
      </c>
      <c r="D107" s="371">
        <f t="shared" ref="D107:H107" si="37">IFERROR(D88/D89, "")</f>
        <v>0</v>
      </c>
      <c r="E107" s="371">
        <f t="shared" si="37"/>
        <v>0</v>
      </c>
      <c r="F107" s="371" t="str">
        <f t="shared" si="37"/>
        <v/>
      </c>
      <c r="G107" s="371"/>
      <c r="H107" s="371" t="str">
        <f t="shared" si="37"/>
        <v/>
      </c>
      <c r="I107" s="371"/>
      <c r="J107" s="371"/>
      <c r="K107" s="371" t="str">
        <f t="shared" si="23"/>
        <v/>
      </c>
      <c r="L107" s="371" t="str">
        <f t="shared" si="24"/>
        <v/>
      </c>
    </row>
    <row r="108" spans="1:12" x14ac:dyDescent="0.3">
      <c r="A108" s="405" t="s">
        <v>350</v>
      </c>
      <c r="B108" s="405"/>
      <c r="C108" s="366">
        <f>SUM(C93:C107)</f>
        <v>0.99999999999999989</v>
      </c>
      <c r="D108" s="366">
        <f t="shared" ref="D108:H108" si="38">SUM(D93:D107)</f>
        <v>1</v>
      </c>
      <c r="E108" s="366">
        <f t="shared" si="38"/>
        <v>1.0000000000000002</v>
      </c>
      <c r="F108" s="366">
        <f t="shared" si="38"/>
        <v>0</v>
      </c>
      <c r="G108" s="366"/>
      <c r="H108" s="366">
        <f t="shared" si="38"/>
        <v>0</v>
      </c>
      <c r="I108" s="366"/>
      <c r="J108" s="366"/>
      <c r="K108" s="366">
        <f t="shared" ref="K108:L108" si="39">SUM(K93:K107)</f>
        <v>0</v>
      </c>
      <c r="L108" s="366">
        <f t="shared" si="39"/>
        <v>0</v>
      </c>
    </row>
  </sheetData>
  <mergeCells count="17">
    <mergeCell ref="A108:B108"/>
    <mergeCell ref="A49:N49"/>
    <mergeCell ref="A60:N60"/>
    <mergeCell ref="A72:L72"/>
    <mergeCell ref="A74:A80"/>
    <mergeCell ref="A81:A83"/>
    <mergeCell ref="A84:A88"/>
    <mergeCell ref="A89:B89"/>
    <mergeCell ref="A91:L91"/>
    <mergeCell ref="A93:A99"/>
    <mergeCell ref="A100:A102"/>
    <mergeCell ref="A103:A107"/>
    <mergeCell ref="A36:J36"/>
    <mergeCell ref="A1:K1"/>
    <mergeCell ref="A3:E3"/>
    <mergeCell ref="A10:F10"/>
    <mergeCell ref="A17:F1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1"/>
  <sheetViews>
    <sheetView workbookViewId="0">
      <selection activeCell="B12" sqref="B12"/>
    </sheetView>
  </sheetViews>
  <sheetFormatPr defaultRowHeight="14.4" x14ac:dyDescent="0.3"/>
  <cols>
    <col min="1" max="1" width="11" style="210" bestFit="1" customWidth="1"/>
    <col min="2" max="2" width="34.21875" style="210" bestFit="1" customWidth="1"/>
    <col min="3" max="3" width="6.109375" style="210" bestFit="1" customWidth="1"/>
    <col min="4" max="4" width="8.21875" style="210" bestFit="1" customWidth="1"/>
    <col min="5" max="5" width="8.44140625" style="210" bestFit="1" customWidth="1"/>
    <col min="6" max="6" width="7.6640625" style="210" bestFit="1" customWidth="1"/>
    <col min="7" max="7" width="8.44140625" style="210" bestFit="1" customWidth="1"/>
    <col min="8" max="8" width="5.88671875" style="210" bestFit="1" customWidth="1"/>
    <col min="9" max="9" width="10.6640625" style="210" bestFit="1" customWidth="1"/>
    <col min="10" max="10" width="8.6640625" style="210" bestFit="1" customWidth="1"/>
    <col min="11" max="11" width="8.77734375" style="210" bestFit="1" customWidth="1"/>
    <col min="12" max="12" width="11.21875" style="210" bestFit="1" customWidth="1"/>
    <col min="13" max="13" width="11.33203125" style="210" bestFit="1" customWidth="1"/>
    <col min="14" max="14" width="11.109375" style="210" bestFit="1" customWidth="1"/>
  </cols>
  <sheetData>
    <row r="1" spans="1:14" x14ac:dyDescent="0.3">
      <c r="A1" t="s">
        <v>855</v>
      </c>
      <c r="B1" t="s">
        <v>857</v>
      </c>
      <c r="C1" t="s">
        <v>859</v>
      </c>
      <c r="D1" t="s">
        <v>858</v>
      </c>
      <c r="E1" t="s">
        <v>20</v>
      </c>
      <c r="F1" t="s">
        <v>862</v>
      </c>
      <c r="G1" t="s">
        <v>860</v>
      </c>
      <c r="H1" t="s">
        <v>861</v>
      </c>
      <c r="I1" t="s">
        <v>878</v>
      </c>
      <c r="J1" t="s">
        <v>879</v>
      </c>
      <c r="K1" t="s">
        <v>880</v>
      </c>
      <c r="L1" t="s">
        <v>883</v>
      </c>
      <c r="M1" t="s">
        <v>884</v>
      </c>
      <c r="N1" t="s">
        <v>885</v>
      </c>
    </row>
    <row r="2" spans="1:14" x14ac:dyDescent="0.3">
      <c r="A2" s="253" t="s">
        <v>133</v>
      </c>
      <c r="B2" s="253" t="s">
        <v>907</v>
      </c>
      <c r="C2" s="253" t="s">
        <v>84</v>
      </c>
      <c r="D2" s="253" t="s">
        <v>40</v>
      </c>
      <c r="E2" s="253" t="s">
        <v>41</v>
      </c>
      <c r="F2" s="253" t="s">
        <v>94</v>
      </c>
      <c r="G2" s="253">
        <v>7</v>
      </c>
      <c r="H2" s="251" t="s">
        <v>10</v>
      </c>
      <c r="I2" s="253">
        <v>11</v>
      </c>
      <c r="J2" s="253"/>
      <c r="K2" s="253" t="s">
        <v>661</v>
      </c>
      <c r="L2" s="253"/>
      <c r="M2" s="253" t="s">
        <v>661</v>
      </c>
      <c r="N2" s="253"/>
    </row>
    <row r="3" spans="1:14" x14ac:dyDescent="0.3">
      <c r="A3" s="253" t="s">
        <v>127</v>
      </c>
      <c r="B3" s="253" t="s">
        <v>903</v>
      </c>
      <c r="C3" s="253" t="s">
        <v>8</v>
      </c>
      <c r="D3" s="253" t="s">
        <v>40</v>
      </c>
      <c r="E3" s="253" t="s">
        <v>41</v>
      </c>
      <c r="F3" s="253" t="s">
        <v>94</v>
      </c>
      <c r="G3" s="253">
        <v>8</v>
      </c>
      <c r="H3" s="251" t="s">
        <v>10</v>
      </c>
      <c r="I3" s="253">
        <v>13</v>
      </c>
      <c r="J3" s="253"/>
      <c r="K3" s="253" t="s">
        <v>661</v>
      </c>
      <c r="L3" s="253"/>
      <c r="M3" s="253" t="s">
        <v>661</v>
      </c>
      <c r="N3" s="253"/>
    </row>
    <row r="4" spans="1:14" x14ac:dyDescent="0.3">
      <c r="A4" s="253" t="s">
        <v>305</v>
      </c>
      <c r="B4" s="253" t="s">
        <v>306</v>
      </c>
      <c r="C4" s="253" t="s">
        <v>8</v>
      </c>
      <c r="D4" s="253" t="s">
        <v>304</v>
      </c>
      <c r="E4" s="253" t="s">
        <v>895</v>
      </c>
      <c r="F4" s="253" t="s">
        <v>42</v>
      </c>
      <c r="G4" s="253">
        <v>21</v>
      </c>
      <c r="H4" s="251" t="s">
        <v>351</v>
      </c>
      <c r="I4" s="253">
        <v>27</v>
      </c>
      <c r="J4" s="253"/>
      <c r="K4" s="253" t="s">
        <v>661</v>
      </c>
      <c r="L4" s="253">
        <v>7</v>
      </c>
      <c r="M4" s="253" t="s">
        <v>661</v>
      </c>
      <c r="N4" s="253"/>
    </row>
    <row r="5" spans="1:14" x14ac:dyDescent="0.3">
      <c r="A5" s="253" t="s">
        <v>250</v>
      </c>
      <c r="B5" s="253" t="s">
        <v>927</v>
      </c>
      <c r="C5" s="253" t="s">
        <v>8</v>
      </c>
      <c r="D5" s="253" t="s">
        <v>240</v>
      </c>
      <c r="E5" s="253" t="s">
        <v>896</v>
      </c>
      <c r="F5" s="253" t="s">
        <v>94</v>
      </c>
      <c r="G5" s="253">
        <v>13</v>
      </c>
      <c r="H5" s="251" t="s">
        <v>12</v>
      </c>
      <c r="I5" s="253">
        <v>19</v>
      </c>
      <c r="J5" s="253"/>
      <c r="K5" s="253" t="s">
        <v>661</v>
      </c>
      <c r="L5" s="253"/>
      <c r="M5" s="253" t="s">
        <v>661</v>
      </c>
      <c r="N5" s="253"/>
    </row>
    <row r="6" spans="1:14" x14ac:dyDescent="0.3">
      <c r="A6" s="253" t="s">
        <v>125</v>
      </c>
      <c r="B6" s="253" t="s">
        <v>126</v>
      </c>
      <c r="C6" s="253" t="s">
        <v>8</v>
      </c>
      <c r="D6" s="253" t="s">
        <v>40</v>
      </c>
      <c r="E6" s="253" t="s">
        <v>41</v>
      </c>
      <c r="F6" s="253" t="s">
        <v>42</v>
      </c>
      <c r="G6" s="253">
        <v>7</v>
      </c>
      <c r="H6" s="251" t="s">
        <v>10</v>
      </c>
      <c r="I6" s="253">
        <v>11</v>
      </c>
      <c r="J6" s="253">
        <v>13</v>
      </c>
      <c r="K6" s="253" t="s">
        <v>10</v>
      </c>
      <c r="L6" s="253">
        <v>7</v>
      </c>
      <c r="M6" s="253" t="s">
        <v>10</v>
      </c>
      <c r="N6" s="253">
        <v>2</v>
      </c>
    </row>
    <row r="7" spans="1:14" x14ac:dyDescent="0.3">
      <c r="A7" s="253" t="s">
        <v>276</v>
      </c>
      <c r="B7" s="253" t="s">
        <v>933</v>
      </c>
      <c r="C7" s="253" t="s">
        <v>84</v>
      </c>
      <c r="D7" s="253" t="s">
        <v>240</v>
      </c>
      <c r="E7" s="253" t="s">
        <v>896</v>
      </c>
      <c r="F7" s="253" t="s">
        <v>94</v>
      </c>
      <c r="G7" s="253">
        <v>17</v>
      </c>
      <c r="H7" s="251" t="s">
        <v>12</v>
      </c>
      <c r="I7" s="253">
        <v>27</v>
      </c>
      <c r="J7" s="253"/>
      <c r="K7" s="253" t="s">
        <v>661</v>
      </c>
      <c r="L7" s="253"/>
      <c r="M7" s="253" t="s">
        <v>661</v>
      </c>
      <c r="N7" s="253"/>
    </row>
    <row r="8" spans="1:14" x14ac:dyDescent="0.3">
      <c r="A8" s="253" t="s">
        <v>134</v>
      </c>
      <c r="B8" s="253" t="s">
        <v>908</v>
      </c>
      <c r="C8" s="253" t="s">
        <v>84</v>
      </c>
      <c r="D8" s="253" t="s">
        <v>40</v>
      </c>
      <c r="E8" s="253" t="s">
        <v>41</v>
      </c>
      <c r="F8" s="253" t="s">
        <v>94</v>
      </c>
      <c r="G8" s="253">
        <v>7</v>
      </c>
      <c r="H8" s="251" t="s">
        <v>10</v>
      </c>
      <c r="I8" s="253">
        <v>11</v>
      </c>
      <c r="J8" s="253"/>
      <c r="K8" s="253" t="s">
        <v>661</v>
      </c>
      <c r="L8" s="253"/>
      <c r="M8" s="253" t="s">
        <v>661</v>
      </c>
      <c r="N8" s="253"/>
    </row>
    <row r="9" spans="1:14" x14ac:dyDescent="0.3">
      <c r="A9" s="253" t="s">
        <v>82</v>
      </c>
      <c r="B9" s="253" t="s">
        <v>83</v>
      </c>
      <c r="C9" s="253" t="s">
        <v>84</v>
      </c>
      <c r="D9" s="253" t="s">
        <v>45</v>
      </c>
      <c r="E9" s="253" t="s">
        <v>41</v>
      </c>
      <c r="F9" s="253" t="s">
        <v>42</v>
      </c>
      <c r="G9" s="253">
        <v>11</v>
      </c>
      <c r="H9" s="251" t="s">
        <v>11</v>
      </c>
      <c r="I9" s="253">
        <v>18</v>
      </c>
      <c r="J9" s="253">
        <v>15</v>
      </c>
      <c r="K9" s="253" t="s">
        <v>10</v>
      </c>
      <c r="L9" s="253">
        <v>8</v>
      </c>
      <c r="M9" s="253" t="s">
        <v>10</v>
      </c>
      <c r="N9" s="253">
        <v>1</v>
      </c>
    </row>
    <row r="10" spans="1:14" x14ac:dyDescent="0.3">
      <c r="A10" s="253" t="s">
        <v>203</v>
      </c>
      <c r="B10" s="253" t="s">
        <v>204</v>
      </c>
      <c r="C10" s="253" t="s">
        <v>8</v>
      </c>
      <c r="D10" s="253" t="s">
        <v>194</v>
      </c>
      <c r="E10" s="253" t="s">
        <v>896</v>
      </c>
      <c r="F10" s="253" t="s">
        <v>42</v>
      </c>
      <c r="G10" s="253">
        <v>11</v>
      </c>
      <c r="H10" s="251" t="s">
        <v>11</v>
      </c>
      <c r="I10" s="253">
        <v>17</v>
      </c>
      <c r="J10" s="253">
        <v>7</v>
      </c>
      <c r="K10" s="253" t="s">
        <v>10</v>
      </c>
      <c r="L10" s="253">
        <v>7</v>
      </c>
      <c r="M10" s="253" t="s">
        <v>10</v>
      </c>
      <c r="N10" s="253">
        <v>9</v>
      </c>
    </row>
    <row r="11" spans="1:14" x14ac:dyDescent="0.3">
      <c r="A11" s="253" t="s">
        <v>954</v>
      </c>
      <c r="B11" s="253" t="s">
        <v>955</v>
      </c>
      <c r="C11" s="253" t="s">
        <v>8</v>
      </c>
      <c r="D11" s="253" t="s">
        <v>289</v>
      </c>
      <c r="E11" s="253" t="s">
        <v>896</v>
      </c>
      <c r="F11" s="253" t="s">
        <v>94</v>
      </c>
      <c r="G11" s="253">
        <v>10</v>
      </c>
      <c r="H11" s="251" t="s">
        <v>11</v>
      </c>
      <c r="I11" s="253"/>
      <c r="J11" s="253"/>
      <c r="K11" s="253" t="s">
        <v>661</v>
      </c>
      <c r="L11" s="253"/>
      <c r="M11" s="253" t="s">
        <v>661</v>
      </c>
      <c r="N11" s="253"/>
    </row>
    <row r="12" spans="1:14" x14ac:dyDescent="0.3">
      <c r="A12" s="253" t="s">
        <v>230</v>
      </c>
      <c r="B12" s="253" t="s">
        <v>916</v>
      </c>
      <c r="C12" s="253" t="s">
        <v>84</v>
      </c>
      <c r="D12" s="253" t="s">
        <v>194</v>
      </c>
      <c r="E12" s="253" t="s">
        <v>896</v>
      </c>
      <c r="F12" s="253" t="s">
        <v>94</v>
      </c>
      <c r="G12" s="253">
        <v>11</v>
      </c>
      <c r="H12" s="251" t="s">
        <v>11</v>
      </c>
      <c r="I12" s="253">
        <v>16</v>
      </c>
      <c r="J12" s="253"/>
      <c r="K12" s="253" t="s">
        <v>661</v>
      </c>
      <c r="L12" s="253"/>
      <c r="M12" s="253" t="s">
        <v>661</v>
      </c>
      <c r="N12" s="253"/>
    </row>
    <row r="13" spans="1:14" x14ac:dyDescent="0.3">
      <c r="A13" s="253" t="s">
        <v>280</v>
      </c>
      <c r="B13" s="253" t="s">
        <v>937</v>
      </c>
      <c r="C13" s="253" t="s">
        <v>84</v>
      </c>
      <c r="D13" s="253" t="s">
        <v>240</v>
      </c>
      <c r="E13" s="253" t="s">
        <v>896</v>
      </c>
      <c r="F13" s="253" t="s">
        <v>94</v>
      </c>
      <c r="G13" s="253">
        <v>13</v>
      </c>
      <c r="H13" s="251" t="s">
        <v>12</v>
      </c>
      <c r="I13" s="253">
        <v>23</v>
      </c>
      <c r="J13" s="253"/>
      <c r="K13" s="253" t="s">
        <v>661</v>
      </c>
      <c r="L13" s="253"/>
      <c r="M13" s="253" t="s">
        <v>661</v>
      </c>
      <c r="N13" s="253"/>
    </row>
    <row r="14" spans="1:14" x14ac:dyDescent="0.3">
      <c r="A14" s="253" t="s">
        <v>209</v>
      </c>
      <c r="B14" s="253" t="s">
        <v>210</v>
      </c>
      <c r="C14" s="253" t="s">
        <v>8</v>
      </c>
      <c r="D14" s="253" t="s">
        <v>194</v>
      </c>
      <c r="E14" s="253" t="s">
        <v>896</v>
      </c>
      <c r="F14" s="253" t="s">
        <v>42</v>
      </c>
      <c r="G14" s="253">
        <v>11</v>
      </c>
      <c r="H14" s="251" t="s">
        <v>11</v>
      </c>
      <c r="I14" s="253">
        <v>16</v>
      </c>
      <c r="J14" s="253">
        <v>7</v>
      </c>
      <c r="K14" s="253" t="s">
        <v>10</v>
      </c>
      <c r="L14" s="253">
        <v>7</v>
      </c>
      <c r="M14" s="253" t="s">
        <v>10</v>
      </c>
      <c r="N14" s="253">
        <v>7</v>
      </c>
    </row>
    <row r="15" spans="1:14" x14ac:dyDescent="0.3">
      <c r="A15" s="253" t="s">
        <v>309</v>
      </c>
      <c r="B15" s="253" t="s">
        <v>310</v>
      </c>
      <c r="C15" s="253" t="s">
        <v>8</v>
      </c>
      <c r="D15" s="253" t="s">
        <v>304</v>
      </c>
      <c r="E15" s="253" t="s">
        <v>895</v>
      </c>
      <c r="F15" s="253" t="s">
        <v>42</v>
      </c>
      <c r="G15" s="253">
        <v>18</v>
      </c>
      <c r="H15" s="251" t="s">
        <v>13</v>
      </c>
      <c r="I15" s="253">
        <v>29</v>
      </c>
      <c r="J15" s="253">
        <v>12</v>
      </c>
      <c r="K15" s="253" t="s">
        <v>10</v>
      </c>
      <c r="L15" s="253">
        <v>10</v>
      </c>
      <c r="M15" s="253" t="s">
        <v>10</v>
      </c>
      <c r="N15" s="253">
        <v>2</v>
      </c>
    </row>
    <row r="16" spans="1:14" x14ac:dyDescent="0.3">
      <c r="A16" s="253" t="s">
        <v>114</v>
      </c>
      <c r="B16" s="253" t="s">
        <v>902</v>
      </c>
      <c r="C16" s="253" t="s">
        <v>8</v>
      </c>
      <c r="D16" s="253" t="s">
        <v>40</v>
      </c>
      <c r="E16" s="253" t="s">
        <v>41</v>
      </c>
      <c r="F16" s="253" t="s">
        <v>94</v>
      </c>
      <c r="G16" s="253">
        <v>7</v>
      </c>
      <c r="H16" s="251" t="s">
        <v>10</v>
      </c>
      <c r="I16" s="253">
        <v>12</v>
      </c>
      <c r="J16" s="253"/>
      <c r="K16" s="253" t="s">
        <v>661</v>
      </c>
      <c r="L16" s="253"/>
      <c r="M16" s="253" t="s">
        <v>661</v>
      </c>
      <c r="N16" s="253"/>
    </row>
    <row r="17" spans="1:14" x14ac:dyDescent="0.3">
      <c r="A17" s="253" t="s">
        <v>217</v>
      </c>
      <c r="B17" s="253" t="s">
        <v>218</v>
      </c>
      <c r="C17" s="253" t="s">
        <v>84</v>
      </c>
      <c r="D17" s="253" t="s">
        <v>194</v>
      </c>
      <c r="E17" s="253" t="s">
        <v>896</v>
      </c>
      <c r="F17" s="253" t="s">
        <v>42</v>
      </c>
      <c r="G17" s="253">
        <v>16</v>
      </c>
      <c r="H17" s="251" t="s">
        <v>12</v>
      </c>
      <c r="I17" s="253">
        <v>21</v>
      </c>
      <c r="J17" s="253">
        <v>7</v>
      </c>
      <c r="K17" s="253" t="s">
        <v>10</v>
      </c>
      <c r="L17" s="253">
        <v>7</v>
      </c>
      <c r="M17" s="253" t="s">
        <v>10</v>
      </c>
      <c r="N17" s="253">
        <v>7</v>
      </c>
    </row>
    <row r="18" spans="1:14" x14ac:dyDescent="0.3">
      <c r="A18" s="253" t="s">
        <v>215</v>
      </c>
      <c r="B18" s="253" t="s">
        <v>216</v>
      </c>
      <c r="C18" s="253" t="s">
        <v>84</v>
      </c>
      <c r="D18" s="253" t="s">
        <v>194</v>
      </c>
      <c r="E18" s="253" t="s">
        <v>896</v>
      </c>
      <c r="F18" s="253" t="s">
        <v>42</v>
      </c>
      <c r="G18" s="253">
        <v>11</v>
      </c>
      <c r="H18" s="251" t="s">
        <v>11</v>
      </c>
      <c r="I18" s="253">
        <v>17</v>
      </c>
      <c r="J18" s="253">
        <v>8</v>
      </c>
      <c r="K18" s="253" t="s">
        <v>10</v>
      </c>
      <c r="L18" s="253">
        <v>7</v>
      </c>
      <c r="M18" s="253" t="s">
        <v>10</v>
      </c>
      <c r="N18" s="253">
        <v>6</v>
      </c>
    </row>
    <row r="19" spans="1:14" x14ac:dyDescent="0.3">
      <c r="A19" s="253" t="s">
        <v>172</v>
      </c>
      <c r="B19" s="253" t="s">
        <v>173</v>
      </c>
      <c r="C19" s="253" t="s">
        <v>84</v>
      </c>
      <c r="D19" s="253" t="s">
        <v>139</v>
      </c>
      <c r="E19" s="253" t="s">
        <v>895</v>
      </c>
      <c r="F19" s="253" t="s">
        <v>42</v>
      </c>
      <c r="G19" s="253">
        <v>10</v>
      </c>
      <c r="H19" s="251" t="s">
        <v>11</v>
      </c>
      <c r="I19" s="253">
        <v>15</v>
      </c>
      <c r="J19" s="253">
        <v>11</v>
      </c>
      <c r="K19" s="253" t="s">
        <v>10</v>
      </c>
      <c r="L19" s="253">
        <v>7</v>
      </c>
      <c r="M19" s="253" t="s">
        <v>10</v>
      </c>
      <c r="N19" s="253">
        <v>3</v>
      </c>
    </row>
    <row r="20" spans="1:14" x14ac:dyDescent="0.3">
      <c r="A20" s="253" t="s">
        <v>231</v>
      </c>
      <c r="B20" s="253" t="s">
        <v>917</v>
      </c>
      <c r="C20" s="253" t="s">
        <v>84</v>
      </c>
      <c r="D20" s="253" t="s">
        <v>194</v>
      </c>
      <c r="E20" s="253" t="s">
        <v>896</v>
      </c>
      <c r="F20" s="253" t="s">
        <v>94</v>
      </c>
      <c r="G20" s="253">
        <v>10</v>
      </c>
      <c r="H20" s="251" t="s">
        <v>11</v>
      </c>
      <c r="I20" s="253">
        <v>17</v>
      </c>
      <c r="J20" s="253"/>
      <c r="K20" s="253" t="s">
        <v>661</v>
      </c>
      <c r="L20" s="253"/>
      <c r="M20" s="253" t="s">
        <v>661</v>
      </c>
      <c r="N20" s="253"/>
    </row>
    <row r="21" spans="1:14" x14ac:dyDescent="0.3">
      <c r="A21" s="253" t="s">
        <v>317</v>
      </c>
      <c r="B21" s="253" t="s">
        <v>318</v>
      </c>
      <c r="C21" s="253" t="s">
        <v>84</v>
      </c>
      <c r="D21" s="253" t="s">
        <v>304</v>
      </c>
      <c r="E21" s="253" t="s">
        <v>895</v>
      </c>
      <c r="F21" s="253" t="s">
        <v>42</v>
      </c>
      <c r="G21" s="253">
        <v>18</v>
      </c>
      <c r="H21" s="251" t="s">
        <v>13</v>
      </c>
      <c r="I21" s="253">
        <v>30</v>
      </c>
      <c r="J21" s="253">
        <v>10</v>
      </c>
      <c r="K21" s="253" t="s">
        <v>10</v>
      </c>
      <c r="L21" s="253">
        <v>8</v>
      </c>
      <c r="M21" s="253" t="s">
        <v>10</v>
      </c>
      <c r="N21" s="253">
        <v>4</v>
      </c>
    </row>
    <row r="22" spans="1:14" x14ac:dyDescent="0.3">
      <c r="A22" s="253" t="s">
        <v>166</v>
      </c>
      <c r="B22" s="253" t="s">
        <v>167</v>
      </c>
      <c r="C22" s="253" t="s">
        <v>84</v>
      </c>
      <c r="D22" s="253" t="s">
        <v>139</v>
      </c>
      <c r="E22" s="253" t="s">
        <v>895</v>
      </c>
      <c r="F22" s="253" t="s">
        <v>42</v>
      </c>
      <c r="G22" s="253">
        <v>11</v>
      </c>
      <c r="H22" s="251" t="s">
        <v>11</v>
      </c>
      <c r="I22" s="253">
        <v>18</v>
      </c>
      <c r="J22" s="253">
        <v>12</v>
      </c>
      <c r="K22" s="253" t="s">
        <v>10</v>
      </c>
      <c r="L22" s="253">
        <v>9</v>
      </c>
      <c r="M22" s="253" t="s">
        <v>10</v>
      </c>
      <c r="N22" s="253">
        <v>3</v>
      </c>
    </row>
    <row r="23" spans="1:14" x14ac:dyDescent="0.3">
      <c r="A23" s="253" t="s">
        <v>168</v>
      </c>
      <c r="B23" s="253" t="s">
        <v>169</v>
      </c>
      <c r="C23" s="253" t="s">
        <v>84</v>
      </c>
      <c r="D23" s="253" t="s">
        <v>139</v>
      </c>
      <c r="E23" s="253" t="s">
        <v>895</v>
      </c>
      <c r="F23" s="253" t="s">
        <v>42</v>
      </c>
      <c r="G23" s="253">
        <v>11</v>
      </c>
      <c r="H23" s="251" t="s">
        <v>11</v>
      </c>
      <c r="I23" s="253">
        <v>16</v>
      </c>
      <c r="J23" s="253">
        <v>11</v>
      </c>
      <c r="K23" s="253" t="s">
        <v>10</v>
      </c>
      <c r="L23" s="253">
        <v>7</v>
      </c>
      <c r="M23" s="253" t="s">
        <v>10</v>
      </c>
      <c r="N23" s="253">
        <v>3</v>
      </c>
    </row>
    <row r="24" spans="1:14" x14ac:dyDescent="0.3">
      <c r="A24" s="253" t="s">
        <v>170</v>
      </c>
      <c r="B24" s="253" t="s">
        <v>171</v>
      </c>
      <c r="C24" s="253" t="s">
        <v>84</v>
      </c>
      <c r="D24" s="253" t="s">
        <v>139</v>
      </c>
      <c r="E24" s="253" t="s">
        <v>895</v>
      </c>
      <c r="F24" s="253" t="s">
        <v>42</v>
      </c>
      <c r="G24" s="253">
        <v>12</v>
      </c>
      <c r="H24" s="251" t="s">
        <v>11</v>
      </c>
      <c r="I24" s="253">
        <v>17</v>
      </c>
      <c r="J24" s="253">
        <v>9</v>
      </c>
      <c r="K24" s="253" t="s">
        <v>10</v>
      </c>
      <c r="L24" s="253">
        <v>7</v>
      </c>
      <c r="M24" s="253" t="s">
        <v>10</v>
      </c>
      <c r="N24" s="253">
        <v>5</v>
      </c>
    </row>
    <row r="25" spans="1:14" x14ac:dyDescent="0.3">
      <c r="A25" s="253" t="s">
        <v>219</v>
      </c>
      <c r="B25" s="253" t="s">
        <v>220</v>
      </c>
      <c r="C25" s="253" t="s">
        <v>84</v>
      </c>
      <c r="D25" s="253" t="s">
        <v>194</v>
      </c>
      <c r="E25" s="253" t="s">
        <v>896</v>
      </c>
      <c r="F25" s="253" t="s">
        <v>42</v>
      </c>
      <c r="G25" s="253">
        <v>17</v>
      </c>
      <c r="H25" s="251" t="s">
        <v>12</v>
      </c>
      <c r="I25" s="253">
        <v>21</v>
      </c>
      <c r="J25" s="253">
        <v>7</v>
      </c>
      <c r="K25" s="253" t="s">
        <v>10</v>
      </c>
      <c r="L25" s="253">
        <v>7</v>
      </c>
      <c r="M25" s="253" t="s">
        <v>10</v>
      </c>
      <c r="N25" s="253">
        <v>7</v>
      </c>
    </row>
    <row r="26" spans="1:14" x14ac:dyDescent="0.3">
      <c r="A26" s="253" t="s">
        <v>321</v>
      </c>
      <c r="B26" s="253" t="s">
        <v>322</v>
      </c>
      <c r="C26" s="253" t="s">
        <v>84</v>
      </c>
      <c r="D26" s="253" t="s">
        <v>304</v>
      </c>
      <c r="E26" s="253" t="s">
        <v>895</v>
      </c>
      <c r="F26" s="253" t="s">
        <v>42</v>
      </c>
      <c r="G26" s="253">
        <v>14</v>
      </c>
      <c r="H26" s="251" t="s">
        <v>12</v>
      </c>
      <c r="I26" s="253">
        <v>28</v>
      </c>
      <c r="J26" s="253">
        <v>12</v>
      </c>
      <c r="K26" s="253" t="s">
        <v>10</v>
      </c>
      <c r="L26" s="253">
        <v>10</v>
      </c>
      <c r="M26" s="253" t="s">
        <v>10</v>
      </c>
      <c r="N26" s="253">
        <v>3</v>
      </c>
    </row>
    <row r="27" spans="1:14" x14ac:dyDescent="0.3">
      <c r="A27" s="253" t="s">
        <v>174</v>
      </c>
      <c r="B27" s="253" t="s">
        <v>175</v>
      </c>
      <c r="C27" s="253" t="s">
        <v>84</v>
      </c>
      <c r="D27" s="253" t="s">
        <v>139</v>
      </c>
      <c r="E27" s="253" t="s">
        <v>895</v>
      </c>
      <c r="F27" s="253" t="s">
        <v>42</v>
      </c>
      <c r="G27" s="253">
        <v>8</v>
      </c>
      <c r="H27" s="251" t="s">
        <v>10</v>
      </c>
      <c r="I27" s="253">
        <v>15</v>
      </c>
      <c r="J27" s="253">
        <v>7</v>
      </c>
      <c r="K27" s="253" t="s">
        <v>10</v>
      </c>
      <c r="L27" s="253">
        <v>7</v>
      </c>
      <c r="M27" s="253" t="s">
        <v>10</v>
      </c>
      <c r="N27" s="253">
        <v>8</v>
      </c>
    </row>
    <row r="28" spans="1:14" x14ac:dyDescent="0.3">
      <c r="A28" s="253" t="s">
        <v>968</v>
      </c>
      <c r="B28" s="253" t="s">
        <v>333</v>
      </c>
      <c r="C28" s="253" t="s">
        <v>84</v>
      </c>
      <c r="D28" s="253" t="s">
        <v>289</v>
      </c>
      <c r="E28" s="253" t="s">
        <v>896</v>
      </c>
      <c r="F28" s="253" t="s">
        <v>42</v>
      </c>
      <c r="G28" s="253">
        <v>17</v>
      </c>
      <c r="H28" s="251" t="s">
        <v>12</v>
      </c>
      <c r="I28" s="253"/>
      <c r="J28" s="253">
        <v>7</v>
      </c>
      <c r="K28" s="253" t="s">
        <v>10</v>
      </c>
      <c r="L28" s="253">
        <v>7</v>
      </c>
      <c r="M28" s="253" t="s">
        <v>10</v>
      </c>
      <c r="N28" s="253">
        <v>8</v>
      </c>
    </row>
    <row r="29" spans="1:14" x14ac:dyDescent="0.3">
      <c r="A29" s="253" t="s">
        <v>85</v>
      </c>
      <c r="B29" s="253" t="s">
        <v>86</v>
      </c>
      <c r="C29" s="253" t="s">
        <v>84</v>
      </c>
      <c r="D29" s="253" t="s">
        <v>45</v>
      </c>
      <c r="E29" s="253" t="s">
        <v>41</v>
      </c>
      <c r="F29" s="253" t="s">
        <v>42</v>
      </c>
      <c r="G29" s="253">
        <v>9</v>
      </c>
      <c r="H29" s="251" t="s">
        <v>10</v>
      </c>
      <c r="I29" s="253">
        <v>14</v>
      </c>
      <c r="J29" s="253">
        <v>9</v>
      </c>
      <c r="K29" s="253" t="s">
        <v>10</v>
      </c>
      <c r="L29" s="253">
        <v>7</v>
      </c>
      <c r="M29" s="253" t="s">
        <v>10</v>
      </c>
      <c r="N29" s="253">
        <v>5</v>
      </c>
    </row>
    <row r="30" spans="1:14" x14ac:dyDescent="0.3">
      <c r="A30" s="253" t="s">
        <v>176</v>
      </c>
      <c r="B30" s="253" t="s">
        <v>177</v>
      </c>
      <c r="C30" s="253" t="s">
        <v>84</v>
      </c>
      <c r="D30" s="253" t="s">
        <v>139</v>
      </c>
      <c r="E30" s="253" t="s">
        <v>895</v>
      </c>
      <c r="F30" s="253" t="s">
        <v>42</v>
      </c>
      <c r="G30" s="253">
        <v>12</v>
      </c>
      <c r="H30" s="251" t="s">
        <v>11</v>
      </c>
      <c r="I30" s="253">
        <v>16</v>
      </c>
      <c r="J30" s="253">
        <v>7</v>
      </c>
      <c r="K30" s="253" t="s">
        <v>10</v>
      </c>
      <c r="L30" s="253">
        <v>7</v>
      </c>
      <c r="M30" s="253" t="s">
        <v>10</v>
      </c>
      <c r="N30" s="253">
        <v>7</v>
      </c>
    </row>
    <row r="31" spans="1:14" x14ac:dyDescent="0.3">
      <c r="A31" s="253" t="s">
        <v>283</v>
      </c>
      <c r="B31" s="253" t="s">
        <v>284</v>
      </c>
      <c r="C31" s="253" t="s">
        <v>84</v>
      </c>
      <c r="D31" s="253" t="s">
        <v>240</v>
      </c>
      <c r="E31" s="253" t="s">
        <v>896</v>
      </c>
      <c r="F31" s="253" t="s">
        <v>42</v>
      </c>
      <c r="G31" s="253">
        <v>21</v>
      </c>
      <c r="H31" s="251" t="s">
        <v>351</v>
      </c>
      <c r="I31" s="253">
        <v>29</v>
      </c>
      <c r="J31" s="253">
        <v>7</v>
      </c>
      <c r="K31" s="253" t="s">
        <v>10</v>
      </c>
      <c r="L31" s="253">
        <v>7</v>
      </c>
      <c r="M31" s="253" t="s">
        <v>10</v>
      </c>
      <c r="N31" s="253">
        <v>9</v>
      </c>
    </row>
    <row r="32" spans="1:14" x14ac:dyDescent="0.3">
      <c r="A32" s="253" t="s">
        <v>981</v>
      </c>
      <c r="B32" s="253" t="s">
        <v>339</v>
      </c>
      <c r="C32" s="253" t="s">
        <v>84</v>
      </c>
      <c r="D32" s="253" t="s">
        <v>978</v>
      </c>
      <c r="E32" s="253" t="s">
        <v>896</v>
      </c>
      <c r="F32" s="253" t="s">
        <v>42</v>
      </c>
      <c r="G32" s="253">
        <v>17</v>
      </c>
      <c r="H32" s="251" t="s">
        <v>12</v>
      </c>
      <c r="I32" s="253"/>
      <c r="J32" s="253">
        <v>9</v>
      </c>
      <c r="K32" s="253" t="s">
        <v>10</v>
      </c>
      <c r="L32" s="253">
        <v>7</v>
      </c>
      <c r="M32" s="253" t="s">
        <v>10</v>
      </c>
      <c r="N32" s="253">
        <v>5</v>
      </c>
    </row>
    <row r="33" spans="1:14" x14ac:dyDescent="0.3">
      <c r="A33" s="253" t="s">
        <v>225</v>
      </c>
      <c r="B33" s="253" t="s">
        <v>226</v>
      </c>
      <c r="C33" s="253" t="s">
        <v>84</v>
      </c>
      <c r="D33" s="253" t="s">
        <v>194</v>
      </c>
      <c r="E33" s="253" t="s">
        <v>896</v>
      </c>
      <c r="F33" s="253" t="s">
        <v>42</v>
      </c>
      <c r="G33" s="253">
        <v>21</v>
      </c>
      <c r="H33" s="251" t="s">
        <v>351</v>
      </c>
      <c r="I33" s="253">
        <v>26</v>
      </c>
      <c r="J33" s="253">
        <v>7</v>
      </c>
      <c r="K33" s="253" t="s">
        <v>10</v>
      </c>
      <c r="L33" s="253">
        <v>7</v>
      </c>
      <c r="M33" s="253" t="s">
        <v>10</v>
      </c>
      <c r="N33" s="253">
        <v>10</v>
      </c>
    </row>
    <row r="34" spans="1:14" x14ac:dyDescent="0.3">
      <c r="A34" s="253" t="s">
        <v>982</v>
      </c>
      <c r="B34" s="253" t="s">
        <v>340</v>
      </c>
      <c r="C34" s="253" t="s">
        <v>84</v>
      </c>
      <c r="D34" s="253" t="s">
        <v>978</v>
      </c>
      <c r="E34" s="253" t="s">
        <v>896</v>
      </c>
      <c r="F34" s="253" t="s">
        <v>42</v>
      </c>
      <c r="G34" s="253">
        <v>16</v>
      </c>
      <c r="H34" s="251" t="s">
        <v>12</v>
      </c>
      <c r="I34" s="253"/>
      <c r="J34" s="253">
        <v>7</v>
      </c>
      <c r="K34" s="253" t="s">
        <v>10</v>
      </c>
      <c r="L34" s="253">
        <v>7</v>
      </c>
      <c r="M34" s="253" t="s">
        <v>10</v>
      </c>
      <c r="N34" s="253">
        <v>7</v>
      </c>
    </row>
    <row r="35" spans="1:14" x14ac:dyDescent="0.3">
      <c r="A35" s="253" t="s">
        <v>87</v>
      </c>
      <c r="B35" s="253" t="s">
        <v>88</v>
      </c>
      <c r="C35" s="253" t="s">
        <v>84</v>
      </c>
      <c r="D35" s="253" t="s">
        <v>45</v>
      </c>
      <c r="E35" s="253" t="s">
        <v>41</v>
      </c>
      <c r="F35" s="253" t="s">
        <v>42</v>
      </c>
      <c r="G35" s="253">
        <v>13</v>
      </c>
      <c r="H35" s="251" t="s">
        <v>12</v>
      </c>
      <c r="I35" s="253">
        <v>19</v>
      </c>
      <c r="J35" s="253">
        <v>17</v>
      </c>
      <c r="K35" s="253" t="s">
        <v>10</v>
      </c>
      <c r="L35" s="253">
        <v>13</v>
      </c>
      <c r="M35" s="253" t="s">
        <v>10</v>
      </c>
      <c r="N35" s="253">
        <v>1</v>
      </c>
    </row>
    <row r="36" spans="1:14" x14ac:dyDescent="0.3">
      <c r="A36" s="253" t="s">
        <v>983</v>
      </c>
      <c r="B36" s="253" t="s">
        <v>341</v>
      </c>
      <c r="C36" s="253" t="s">
        <v>84</v>
      </c>
      <c r="D36" s="253" t="s">
        <v>978</v>
      </c>
      <c r="E36" s="253" t="s">
        <v>896</v>
      </c>
      <c r="F36" s="253" t="s">
        <v>42</v>
      </c>
      <c r="G36" s="253">
        <v>11</v>
      </c>
      <c r="H36" s="251" t="s">
        <v>11</v>
      </c>
      <c r="I36" s="253"/>
      <c r="J36" s="253">
        <v>8</v>
      </c>
      <c r="K36" s="253" t="s">
        <v>10</v>
      </c>
      <c r="L36" s="253">
        <v>7</v>
      </c>
      <c r="M36" s="253" t="s">
        <v>10</v>
      </c>
      <c r="N36" s="253">
        <v>6</v>
      </c>
    </row>
    <row r="37" spans="1:14" x14ac:dyDescent="0.3">
      <c r="A37" s="253" t="s">
        <v>293</v>
      </c>
      <c r="B37" s="253" t="s">
        <v>294</v>
      </c>
      <c r="C37" s="253" t="s">
        <v>84</v>
      </c>
      <c r="D37" s="253" t="s">
        <v>240</v>
      </c>
      <c r="E37" s="253" t="s">
        <v>896</v>
      </c>
      <c r="F37" s="253" t="s">
        <v>42</v>
      </c>
      <c r="G37" s="253">
        <v>15</v>
      </c>
      <c r="H37" s="251" t="s">
        <v>12</v>
      </c>
      <c r="I37" s="253">
        <v>24</v>
      </c>
      <c r="J37" s="253">
        <v>12</v>
      </c>
      <c r="K37" s="253" t="s">
        <v>10</v>
      </c>
      <c r="L37" s="253">
        <v>7</v>
      </c>
      <c r="M37" s="253" t="s">
        <v>10</v>
      </c>
      <c r="N37" s="253">
        <v>2</v>
      </c>
    </row>
    <row r="38" spans="1:14" x14ac:dyDescent="0.3">
      <c r="A38" s="253" t="s">
        <v>970</v>
      </c>
      <c r="B38" s="253" t="s">
        <v>335</v>
      </c>
      <c r="C38" s="253" t="s">
        <v>84</v>
      </c>
      <c r="D38" s="253" t="s">
        <v>289</v>
      </c>
      <c r="E38" s="253" t="s">
        <v>896</v>
      </c>
      <c r="F38" s="253" t="s">
        <v>42</v>
      </c>
      <c r="G38" s="253">
        <v>14</v>
      </c>
      <c r="H38" s="251" t="s">
        <v>12</v>
      </c>
      <c r="I38" s="253"/>
      <c r="J38" s="253">
        <v>10</v>
      </c>
      <c r="K38" s="253" t="s">
        <v>10</v>
      </c>
      <c r="L38" s="253">
        <v>7</v>
      </c>
      <c r="M38" s="253" t="s">
        <v>10</v>
      </c>
      <c r="N38" s="253">
        <v>4</v>
      </c>
    </row>
    <row r="39" spans="1:14" x14ac:dyDescent="0.3">
      <c r="A39" s="253" t="s">
        <v>182</v>
      </c>
      <c r="B39" s="253" t="s">
        <v>183</v>
      </c>
      <c r="C39" s="253" t="s">
        <v>84</v>
      </c>
      <c r="D39" s="253" t="s">
        <v>139</v>
      </c>
      <c r="E39" s="253" t="s">
        <v>895</v>
      </c>
      <c r="F39" s="253" t="s">
        <v>42</v>
      </c>
      <c r="G39" s="253">
        <v>10</v>
      </c>
      <c r="H39" s="251" t="s">
        <v>11</v>
      </c>
      <c r="I39" s="253">
        <v>16</v>
      </c>
      <c r="J39" s="253">
        <v>14</v>
      </c>
      <c r="K39" s="253" t="s">
        <v>10</v>
      </c>
      <c r="L39" s="253">
        <v>7</v>
      </c>
      <c r="M39" s="253" t="s">
        <v>10</v>
      </c>
      <c r="N39" s="253">
        <v>1</v>
      </c>
    </row>
    <row r="40" spans="1:14" x14ac:dyDescent="0.3">
      <c r="A40" s="253" t="s">
        <v>234</v>
      </c>
      <c r="B40" s="253" t="s">
        <v>235</v>
      </c>
      <c r="C40" s="253" t="s">
        <v>84</v>
      </c>
      <c r="D40" s="253" t="s">
        <v>194</v>
      </c>
      <c r="E40" s="253" t="s">
        <v>896</v>
      </c>
      <c r="F40" s="253" t="s">
        <v>42</v>
      </c>
      <c r="G40" s="253">
        <v>11</v>
      </c>
      <c r="H40" s="251" t="s">
        <v>11</v>
      </c>
      <c r="I40" s="253">
        <v>16</v>
      </c>
      <c r="J40" s="253">
        <v>7</v>
      </c>
      <c r="K40" s="253" t="s">
        <v>10</v>
      </c>
      <c r="L40" s="253">
        <v>7</v>
      </c>
      <c r="M40" s="253" t="s">
        <v>10</v>
      </c>
      <c r="N40" s="253">
        <v>8</v>
      </c>
    </row>
    <row r="41" spans="1:14" x14ac:dyDescent="0.3">
      <c r="A41" s="253" t="s">
        <v>186</v>
      </c>
      <c r="B41" s="253" t="s">
        <v>187</v>
      </c>
      <c r="C41" s="253" t="s">
        <v>84</v>
      </c>
      <c r="D41" s="253" t="s">
        <v>139</v>
      </c>
      <c r="E41" s="253" t="s">
        <v>895</v>
      </c>
      <c r="F41" s="253" t="s">
        <v>42</v>
      </c>
      <c r="G41" s="253">
        <v>15</v>
      </c>
      <c r="H41" s="251" t="s">
        <v>12</v>
      </c>
      <c r="I41" s="253">
        <v>20</v>
      </c>
      <c r="J41" s="253">
        <v>9</v>
      </c>
      <c r="K41" s="253" t="s">
        <v>10</v>
      </c>
      <c r="L41" s="253">
        <v>7</v>
      </c>
      <c r="M41" s="253" t="s">
        <v>10</v>
      </c>
      <c r="N41" s="253">
        <v>5</v>
      </c>
    </row>
    <row r="42" spans="1:14" x14ac:dyDescent="0.3">
      <c r="A42" s="253" t="s">
        <v>325</v>
      </c>
      <c r="B42" s="253" t="s">
        <v>326</v>
      </c>
      <c r="C42" s="253" t="s">
        <v>84</v>
      </c>
      <c r="D42" s="253" t="s">
        <v>304</v>
      </c>
      <c r="E42" s="253" t="s">
        <v>895</v>
      </c>
      <c r="F42" s="253" t="s">
        <v>42</v>
      </c>
      <c r="G42" s="253">
        <v>17</v>
      </c>
      <c r="H42" s="251" t="s">
        <v>12</v>
      </c>
      <c r="I42" s="253">
        <v>27</v>
      </c>
      <c r="J42" s="253">
        <v>9</v>
      </c>
      <c r="K42" s="253" t="s">
        <v>10</v>
      </c>
      <c r="L42" s="253">
        <v>7</v>
      </c>
      <c r="M42" s="253" t="s">
        <v>10</v>
      </c>
      <c r="N42" s="253">
        <v>5</v>
      </c>
    </row>
    <row r="43" spans="1:14" x14ac:dyDescent="0.3">
      <c r="A43" s="253" t="s">
        <v>89</v>
      </c>
      <c r="B43" s="253" t="s">
        <v>90</v>
      </c>
      <c r="C43" s="253" t="s">
        <v>84</v>
      </c>
      <c r="D43" s="253" t="s">
        <v>45</v>
      </c>
      <c r="E43" s="253" t="s">
        <v>41</v>
      </c>
      <c r="F43" s="253" t="s">
        <v>42</v>
      </c>
      <c r="G43" s="253">
        <v>12</v>
      </c>
      <c r="H43" s="251" t="s">
        <v>11</v>
      </c>
      <c r="I43" s="253">
        <v>19</v>
      </c>
      <c r="J43" s="253">
        <v>15</v>
      </c>
      <c r="K43" s="253" t="s">
        <v>10</v>
      </c>
      <c r="L43" s="253">
        <v>11</v>
      </c>
      <c r="M43" s="253" t="s">
        <v>10</v>
      </c>
      <c r="N43" s="253">
        <v>2</v>
      </c>
    </row>
    <row r="44" spans="1:14" x14ac:dyDescent="0.3">
      <c r="A44" s="253" t="s">
        <v>91</v>
      </c>
      <c r="B44" s="253" t="s">
        <v>92</v>
      </c>
      <c r="C44" s="253" t="s">
        <v>84</v>
      </c>
      <c r="D44" s="253" t="s">
        <v>45</v>
      </c>
      <c r="E44" s="253" t="s">
        <v>41</v>
      </c>
      <c r="F44" s="253" t="s">
        <v>42</v>
      </c>
      <c r="G44" s="253">
        <v>13</v>
      </c>
      <c r="H44" s="251" t="s">
        <v>12</v>
      </c>
      <c r="I44" s="253">
        <v>20</v>
      </c>
      <c r="J44" s="253">
        <v>15</v>
      </c>
      <c r="K44" s="253" t="s">
        <v>10</v>
      </c>
      <c r="L44" s="253">
        <v>10</v>
      </c>
      <c r="M44" s="253" t="s">
        <v>10</v>
      </c>
      <c r="N44" s="253">
        <v>0</v>
      </c>
    </row>
    <row r="45" spans="1:14" x14ac:dyDescent="0.3">
      <c r="A45" s="253" t="s">
        <v>327</v>
      </c>
      <c r="B45" s="253" t="s">
        <v>328</v>
      </c>
      <c r="C45" s="253" t="s">
        <v>84</v>
      </c>
      <c r="D45" s="253" t="s">
        <v>304</v>
      </c>
      <c r="E45" s="253" t="s">
        <v>895</v>
      </c>
      <c r="F45" s="253" t="s">
        <v>42</v>
      </c>
      <c r="G45" s="253">
        <v>15</v>
      </c>
      <c r="H45" s="251" t="s">
        <v>12</v>
      </c>
      <c r="I45" s="253">
        <v>26</v>
      </c>
      <c r="J45" s="253">
        <v>15</v>
      </c>
      <c r="K45" s="253" t="s">
        <v>10</v>
      </c>
      <c r="L45" s="253">
        <v>10</v>
      </c>
      <c r="M45" s="253" t="s">
        <v>10</v>
      </c>
      <c r="N45" s="253">
        <v>2</v>
      </c>
    </row>
    <row r="46" spans="1:14" x14ac:dyDescent="0.3">
      <c r="A46" s="253" t="s">
        <v>190</v>
      </c>
      <c r="B46" s="253" t="s">
        <v>191</v>
      </c>
      <c r="C46" s="253" t="s">
        <v>84</v>
      </c>
      <c r="D46" s="253" t="s">
        <v>139</v>
      </c>
      <c r="E46" s="253" t="s">
        <v>895</v>
      </c>
      <c r="F46" s="253" t="s">
        <v>42</v>
      </c>
      <c r="G46" s="253">
        <v>11</v>
      </c>
      <c r="H46" s="251" t="s">
        <v>11</v>
      </c>
      <c r="I46" s="253">
        <v>16</v>
      </c>
      <c r="J46" s="253">
        <v>9</v>
      </c>
      <c r="K46" s="253" t="s">
        <v>10</v>
      </c>
      <c r="L46" s="253">
        <v>7</v>
      </c>
      <c r="M46" s="253" t="s">
        <v>10</v>
      </c>
      <c r="N46" s="253">
        <v>5</v>
      </c>
    </row>
    <row r="47" spans="1:14" x14ac:dyDescent="0.3">
      <c r="A47" s="253" t="s">
        <v>237</v>
      </c>
      <c r="B47" s="253" t="s">
        <v>238</v>
      </c>
      <c r="C47" s="253" t="s">
        <v>84</v>
      </c>
      <c r="D47" s="253" t="s">
        <v>194</v>
      </c>
      <c r="E47" s="253" t="s">
        <v>896</v>
      </c>
      <c r="F47" s="253" t="s">
        <v>42</v>
      </c>
      <c r="G47" s="253">
        <v>15</v>
      </c>
      <c r="H47" s="251" t="s">
        <v>12</v>
      </c>
      <c r="I47" s="253">
        <v>20</v>
      </c>
      <c r="J47" s="253">
        <v>9</v>
      </c>
      <c r="K47" s="253" t="s">
        <v>10</v>
      </c>
      <c r="L47" s="253">
        <v>7</v>
      </c>
      <c r="M47" s="253" t="s">
        <v>10</v>
      </c>
      <c r="N47" s="253">
        <v>5</v>
      </c>
    </row>
    <row r="48" spans="1:14" x14ac:dyDescent="0.3">
      <c r="A48" s="253" t="s">
        <v>192</v>
      </c>
      <c r="B48" s="253" t="s">
        <v>193</v>
      </c>
      <c r="C48" s="253" t="s">
        <v>8</v>
      </c>
      <c r="D48" s="253" t="s">
        <v>194</v>
      </c>
      <c r="E48" s="253" t="s">
        <v>896</v>
      </c>
      <c r="F48" s="253" t="s">
        <v>42</v>
      </c>
      <c r="G48" s="253">
        <v>17</v>
      </c>
      <c r="H48" s="251" t="s">
        <v>12</v>
      </c>
      <c r="I48" s="253">
        <v>22</v>
      </c>
      <c r="J48" s="253">
        <v>11</v>
      </c>
      <c r="K48" s="253" t="s">
        <v>10</v>
      </c>
      <c r="L48" s="253">
        <v>7</v>
      </c>
      <c r="M48" s="253" t="s">
        <v>10</v>
      </c>
      <c r="N48" s="253">
        <v>3</v>
      </c>
    </row>
    <row r="49" spans="1:14" x14ac:dyDescent="0.3">
      <c r="A49" s="253" t="s">
        <v>137</v>
      </c>
      <c r="B49" s="253" t="s">
        <v>138</v>
      </c>
      <c r="C49" s="253" t="s">
        <v>8</v>
      </c>
      <c r="D49" s="253" t="s">
        <v>139</v>
      </c>
      <c r="E49" s="253" t="s">
        <v>895</v>
      </c>
      <c r="F49" s="253" t="s">
        <v>42</v>
      </c>
      <c r="G49" s="253">
        <v>13</v>
      </c>
      <c r="H49" s="251" t="s">
        <v>12</v>
      </c>
      <c r="I49" s="253">
        <v>17</v>
      </c>
      <c r="J49" s="253">
        <v>9</v>
      </c>
      <c r="K49" s="253" t="s">
        <v>10</v>
      </c>
      <c r="L49" s="253">
        <v>7</v>
      </c>
      <c r="M49" s="253" t="s">
        <v>10</v>
      </c>
      <c r="N49" s="253">
        <v>5</v>
      </c>
    </row>
    <row r="50" spans="1:14" x14ac:dyDescent="0.3">
      <c r="A50" s="253" t="s">
        <v>38</v>
      </c>
      <c r="B50" s="253" t="s">
        <v>39</v>
      </c>
      <c r="C50" s="253" t="s">
        <v>8</v>
      </c>
      <c r="D50" s="253" t="s">
        <v>40</v>
      </c>
      <c r="E50" s="253" t="s">
        <v>41</v>
      </c>
      <c r="F50" s="253" t="s">
        <v>42</v>
      </c>
      <c r="G50" s="253">
        <v>12</v>
      </c>
      <c r="H50" s="251" t="s">
        <v>11</v>
      </c>
      <c r="I50" s="253">
        <v>19</v>
      </c>
      <c r="J50" s="253">
        <v>7</v>
      </c>
      <c r="K50" s="253" t="s">
        <v>10</v>
      </c>
      <c r="L50" s="253">
        <v>7</v>
      </c>
      <c r="M50" s="253" t="s">
        <v>10</v>
      </c>
      <c r="N50" s="253">
        <v>4</v>
      </c>
    </row>
    <row r="51" spans="1:14" x14ac:dyDescent="0.3">
      <c r="A51" s="253" t="s">
        <v>140</v>
      </c>
      <c r="B51" s="253" t="s">
        <v>141</v>
      </c>
      <c r="C51" s="253" t="s">
        <v>8</v>
      </c>
      <c r="D51" s="253" t="s">
        <v>139</v>
      </c>
      <c r="E51" s="253" t="s">
        <v>895</v>
      </c>
      <c r="F51" s="253" t="s">
        <v>42</v>
      </c>
      <c r="G51" s="253">
        <v>11</v>
      </c>
      <c r="H51" s="251" t="s">
        <v>11</v>
      </c>
      <c r="I51" s="253">
        <v>16</v>
      </c>
      <c r="J51" s="253">
        <v>9</v>
      </c>
      <c r="K51" s="253" t="s">
        <v>10</v>
      </c>
      <c r="L51" s="253">
        <v>7</v>
      </c>
      <c r="M51" s="253" t="s">
        <v>10</v>
      </c>
      <c r="N51" s="253">
        <v>5</v>
      </c>
    </row>
    <row r="52" spans="1:14" x14ac:dyDescent="0.3">
      <c r="A52" s="253" t="s">
        <v>43</v>
      </c>
      <c r="B52" s="253" t="s">
        <v>44</v>
      </c>
      <c r="C52" s="253" t="s">
        <v>8</v>
      </c>
      <c r="D52" s="253" t="s">
        <v>45</v>
      </c>
      <c r="E52" s="253" t="s">
        <v>41</v>
      </c>
      <c r="F52" s="253" t="s">
        <v>42</v>
      </c>
      <c r="G52" s="253">
        <v>11</v>
      </c>
      <c r="H52" s="251" t="s">
        <v>11</v>
      </c>
      <c r="I52" s="253">
        <v>18</v>
      </c>
      <c r="J52" s="253">
        <v>7</v>
      </c>
      <c r="K52" s="253" t="s">
        <v>10</v>
      </c>
      <c r="L52" s="253">
        <v>12</v>
      </c>
      <c r="M52" s="253" t="s">
        <v>10</v>
      </c>
      <c r="N52" s="253">
        <v>7</v>
      </c>
    </row>
    <row r="53" spans="1:14" x14ac:dyDescent="0.3">
      <c r="A53" s="253" t="s">
        <v>95</v>
      </c>
      <c r="B53" s="253" t="s">
        <v>96</v>
      </c>
      <c r="C53" s="253" t="s">
        <v>8</v>
      </c>
      <c r="D53" s="253" t="s">
        <v>40</v>
      </c>
      <c r="E53" s="253" t="s">
        <v>41</v>
      </c>
      <c r="F53" s="253" t="s">
        <v>42</v>
      </c>
      <c r="G53" s="253">
        <v>8</v>
      </c>
      <c r="H53" s="251" t="s">
        <v>10</v>
      </c>
      <c r="I53" s="253">
        <v>13</v>
      </c>
      <c r="J53" s="253">
        <v>16</v>
      </c>
      <c r="K53" s="253" t="s">
        <v>10</v>
      </c>
      <c r="L53" s="253">
        <v>10</v>
      </c>
      <c r="M53" s="253" t="s">
        <v>10</v>
      </c>
      <c r="N53" s="253">
        <v>2</v>
      </c>
    </row>
    <row r="54" spans="1:14" x14ac:dyDescent="0.3">
      <c r="A54" s="253" t="s">
        <v>142</v>
      </c>
      <c r="B54" s="253" t="s">
        <v>143</v>
      </c>
      <c r="C54" s="253" t="s">
        <v>8</v>
      </c>
      <c r="D54" s="253" t="s">
        <v>139</v>
      </c>
      <c r="E54" s="253" t="s">
        <v>895</v>
      </c>
      <c r="F54" s="253" t="s">
        <v>42</v>
      </c>
      <c r="G54" s="253">
        <v>11</v>
      </c>
      <c r="H54" s="251" t="s">
        <v>11</v>
      </c>
      <c r="I54" s="253">
        <v>15</v>
      </c>
      <c r="J54" s="253">
        <v>11</v>
      </c>
      <c r="K54" s="253" t="s">
        <v>10</v>
      </c>
      <c r="L54" s="253">
        <v>7</v>
      </c>
      <c r="M54" s="253" t="s">
        <v>10</v>
      </c>
      <c r="N54" s="253">
        <v>3</v>
      </c>
    </row>
    <row r="55" spans="1:14" x14ac:dyDescent="0.3">
      <c r="A55" s="253" t="s">
        <v>144</v>
      </c>
      <c r="B55" s="253" t="s">
        <v>145</v>
      </c>
      <c r="C55" s="253" t="s">
        <v>8</v>
      </c>
      <c r="D55" s="253" t="s">
        <v>139</v>
      </c>
      <c r="E55" s="253" t="s">
        <v>895</v>
      </c>
      <c r="F55" s="253" t="s">
        <v>42</v>
      </c>
      <c r="G55" s="253">
        <v>14</v>
      </c>
      <c r="H55" s="251" t="s">
        <v>12</v>
      </c>
      <c r="I55" s="253">
        <v>18</v>
      </c>
      <c r="J55" s="253">
        <v>12</v>
      </c>
      <c r="K55" s="253" t="s">
        <v>10</v>
      </c>
      <c r="L55" s="253">
        <v>9</v>
      </c>
      <c r="M55" s="253" t="s">
        <v>10</v>
      </c>
      <c r="N55" s="253">
        <v>2</v>
      </c>
    </row>
    <row r="56" spans="1:14" x14ac:dyDescent="0.3">
      <c r="A56" s="253" t="s">
        <v>195</v>
      </c>
      <c r="B56" s="253" t="s">
        <v>196</v>
      </c>
      <c r="C56" s="253" t="s">
        <v>8</v>
      </c>
      <c r="D56" s="253" t="s">
        <v>194</v>
      </c>
      <c r="E56" s="253" t="s">
        <v>896</v>
      </c>
      <c r="F56" s="253" t="s">
        <v>42</v>
      </c>
      <c r="G56" s="253">
        <v>16</v>
      </c>
      <c r="H56" s="251" t="s">
        <v>12</v>
      </c>
      <c r="I56" s="253">
        <v>21</v>
      </c>
      <c r="J56" s="253">
        <v>7</v>
      </c>
      <c r="K56" s="253" t="s">
        <v>10</v>
      </c>
      <c r="L56" s="253">
        <v>7</v>
      </c>
      <c r="M56" s="253" t="s">
        <v>10</v>
      </c>
      <c r="N56" s="253">
        <v>8</v>
      </c>
    </row>
    <row r="57" spans="1:14" x14ac:dyDescent="0.3">
      <c r="A57" s="253" t="s">
        <v>146</v>
      </c>
      <c r="B57" s="253" t="s">
        <v>147</v>
      </c>
      <c r="C57" s="253" t="s">
        <v>8</v>
      </c>
      <c r="D57" s="253" t="s">
        <v>139</v>
      </c>
      <c r="E57" s="253" t="s">
        <v>895</v>
      </c>
      <c r="F57" s="253" t="s">
        <v>42</v>
      </c>
      <c r="G57" s="253">
        <v>13</v>
      </c>
      <c r="H57" s="251" t="s">
        <v>12</v>
      </c>
      <c r="I57" s="253">
        <v>17</v>
      </c>
      <c r="J57" s="253">
        <v>11</v>
      </c>
      <c r="K57" s="253" t="s">
        <v>10</v>
      </c>
      <c r="L57" s="253">
        <v>7</v>
      </c>
      <c r="M57" s="253" t="s">
        <v>10</v>
      </c>
      <c r="N57" s="253">
        <v>3</v>
      </c>
    </row>
    <row r="58" spans="1:14" x14ac:dyDescent="0.3">
      <c r="A58" s="253" t="s">
        <v>245</v>
      </c>
      <c r="B58" s="253" t="s">
        <v>246</v>
      </c>
      <c r="C58" s="253" t="s">
        <v>8</v>
      </c>
      <c r="D58" s="253" t="s">
        <v>240</v>
      </c>
      <c r="E58" s="253" t="s">
        <v>896</v>
      </c>
      <c r="F58" s="253" t="s">
        <v>42</v>
      </c>
      <c r="G58" s="253">
        <v>13</v>
      </c>
      <c r="H58" s="251" t="s">
        <v>12</v>
      </c>
      <c r="I58" s="253">
        <v>25</v>
      </c>
      <c r="J58" s="253">
        <v>7</v>
      </c>
      <c r="K58" s="253" t="s">
        <v>10</v>
      </c>
      <c r="L58" s="253">
        <v>7</v>
      </c>
      <c r="M58" s="253" t="s">
        <v>10</v>
      </c>
      <c r="N58" s="253">
        <v>7</v>
      </c>
    </row>
    <row r="59" spans="1:14" x14ac:dyDescent="0.3">
      <c r="A59" s="253" t="s">
        <v>48</v>
      </c>
      <c r="B59" s="253" t="s">
        <v>49</v>
      </c>
      <c r="C59" s="253" t="s">
        <v>8</v>
      </c>
      <c r="D59" s="253" t="s">
        <v>45</v>
      </c>
      <c r="E59" s="253" t="s">
        <v>41</v>
      </c>
      <c r="F59" s="253" t="s">
        <v>42</v>
      </c>
      <c r="G59" s="253">
        <v>9</v>
      </c>
      <c r="H59" s="251" t="s">
        <v>10</v>
      </c>
      <c r="I59" s="253">
        <v>14</v>
      </c>
      <c r="J59" s="253">
        <v>14</v>
      </c>
      <c r="K59" s="253" t="s">
        <v>10</v>
      </c>
      <c r="L59" s="253">
        <v>8</v>
      </c>
      <c r="M59" s="253" t="s">
        <v>10</v>
      </c>
      <c r="N59" s="253">
        <v>1</v>
      </c>
    </row>
    <row r="60" spans="1:14" x14ac:dyDescent="0.3">
      <c r="A60" s="253" t="s">
        <v>148</v>
      </c>
      <c r="B60" s="253" t="s">
        <v>149</v>
      </c>
      <c r="C60" s="253" t="s">
        <v>8</v>
      </c>
      <c r="D60" s="253" t="s">
        <v>139</v>
      </c>
      <c r="E60" s="253" t="s">
        <v>895</v>
      </c>
      <c r="F60" s="253" t="s">
        <v>42</v>
      </c>
      <c r="G60" s="253">
        <v>13</v>
      </c>
      <c r="H60" s="251" t="s">
        <v>12</v>
      </c>
      <c r="I60" s="253">
        <v>19</v>
      </c>
      <c r="J60" s="253">
        <v>12</v>
      </c>
      <c r="K60" s="253" t="s">
        <v>10</v>
      </c>
      <c r="L60" s="253">
        <v>8</v>
      </c>
      <c r="M60" s="253" t="s">
        <v>10</v>
      </c>
      <c r="N60" s="253">
        <v>2</v>
      </c>
    </row>
    <row r="61" spans="1:14" x14ac:dyDescent="0.3">
      <c r="A61" s="253" t="s">
        <v>50</v>
      </c>
      <c r="B61" s="253" t="s">
        <v>51</v>
      </c>
      <c r="C61" s="253" t="s">
        <v>8</v>
      </c>
      <c r="D61" s="253" t="s">
        <v>45</v>
      </c>
      <c r="E61" s="253" t="s">
        <v>41</v>
      </c>
      <c r="F61" s="253" t="s">
        <v>42</v>
      </c>
      <c r="G61" s="253">
        <v>12</v>
      </c>
      <c r="H61" s="251" t="s">
        <v>11</v>
      </c>
      <c r="I61" s="253">
        <v>17</v>
      </c>
      <c r="J61" s="253">
        <v>16</v>
      </c>
      <c r="K61" s="253" t="s">
        <v>10</v>
      </c>
      <c r="L61" s="253">
        <v>9</v>
      </c>
      <c r="M61" s="253" t="s">
        <v>10</v>
      </c>
      <c r="N61" s="253">
        <v>0</v>
      </c>
    </row>
    <row r="62" spans="1:14" x14ac:dyDescent="0.3">
      <c r="A62" s="253" t="s">
        <v>52</v>
      </c>
      <c r="B62" s="253" t="s">
        <v>53</v>
      </c>
      <c r="C62" s="253" t="s">
        <v>8</v>
      </c>
      <c r="D62" s="253" t="s">
        <v>45</v>
      </c>
      <c r="E62" s="253" t="s">
        <v>41</v>
      </c>
      <c r="F62" s="253" t="s">
        <v>42</v>
      </c>
      <c r="G62" s="253">
        <v>10</v>
      </c>
      <c r="H62" s="251" t="s">
        <v>11</v>
      </c>
      <c r="I62" s="253">
        <v>15</v>
      </c>
      <c r="J62" s="253">
        <v>10</v>
      </c>
      <c r="K62" s="253" t="s">
        <v>10</v>
      </c>
      <c r="L62" s="253">
        <v>7</v>
      </c>
      <c r="M62" s="253" t="s">
        <v>10</v>
      </c>
      <c r="N62" s="253">
        <v>4</v>
      </c>
    </row>
    <row r="63" spans="1:14" x14ac:dyDescent="0.3">
      <c r="A63" s="253" t="s">
        <v>54</v>
      </c>
      <c r="B63" s="253" t="s">
        <v>55</v>
      </c>
      <c r="C63" s="253" t="s">
        <v>8</v>
      </c>
      <c r="D63" s="253" t="s">
        <v>45</v>
      </c>
      <c r="E63" s="253" t="s">
        <v>41</v>
      </c>
      <c r="F63" s="253" t="s">
        <v>42</v>
      </c>
      <c r="G63" s="253">
        <v>11</v>
      </c>
      <c r="H63" s="251" t="s">
        <v>11</v>
      </c>
      <c r="I63" s="253">
        <v>16</v>
      </c>
      <c r="J63" s="253">
        <v>15</v>
      </c>
      <c r="K63" s="253" t="s">
        <v>10</v>
      </c>
      <c r="L63" s="253">
        <v>10</v>
      </c>
      <c r="M63" s="253" t="s">
        <v>10</v>
      </c>
      <c r="N63" s="253">
        <v>1</v>
      </c>
    </row>
    <row r="64" spans="1:14" x14ac:dyDescent="0.3">
      <c r="A64" s="253" t="s">
        <v>150</v>
      </c>
      <c r="B64" s="253" t="s">
        <v>151</v>
      </c>
      <c r="C64" s="253" t="s">
        <v>8</v>
      </c>
      <c r="D64" s="253" t="s">
        <v>139</v>
      </c>
      <c r="E64" s="253" t="s">
        <v>895</v>
      </c>
      <c r="F64" s="253" t="s">
        <v>42</v>
      </c>
      <c r="G64" s="253">
        <v>8</v>
      </c>
      <c r="H64" s="251" t="s">
        <v>10</v>
      </c>
      <c r="I64" s="253">
        <v>13</v>
      </c>
      <c r="J64" s="253"/>
      <c r="K64" s="253" t="s">
        <v>661</v>
      </c>
      <c r="L64" s="253">
        <v>7</v>
      </c>
      <c r="M64" s="253" t="s">
        <v>661</v>
      </c>
      <c r="N64" s="253"/>
    </row>
    <row r="65" spans="1:14" x14ac:dyDescent="0.3">
      <c r="A65" s="253" t="s">
        <v>152</v>
      </c>
      <c r="B65" s="253" t="s">
        <v>153</v>
      </c>
      <c r="C65" s="253" t="s">
        <v>8</v>
      </c>
      <c r="D65" s="253" t="s">
        <v>139</v>
      </c>
      <c r="E65" s="253" t="s">
        <v>895</v>
      </c>
      <c r="F65" s="253" t="s">
        <v>42</v>
      </c>
      <c r="G65" s="253">
        <v>11</v>
      </c>
      <c r="H65" s="251" t="s">
        <v>11</v>
      </c>
      <c r="I65" s="253">
        <v>16</v>
      </c>
      <c r="J65" s="253">
        <v>7</v>
      </c>
      <c r="K65" s="253" t="s">
        <v>10</v>
      </c>
      <c r="L65" s="253">
        <v>7</v>
      </c>
      <c r="M65" s="253" t="s">
        <v>10</v>
      </c>
      <c r="N65" s="253">
        <v>7</v>
      </c>
    </row>
    <row r="66" spans="1:14" x14ac:dyDescent="0.3">
      <c r="A66" s="253" t="s">
        <v>311</v>
      </c>
      <c r="B66" s="253" t="s">
        <v>312</v>
      </c>
      <c r="C66" s="253" t="s">
        <v>8</v>
      </c>
      <c r="D66" s="253" t="s">
        <v>304</v>
      </c>
      <c r="E66" s="253" t="s">
        <v>895</v>
      </c>
      <c r="F66" s="253" t="s">
        <v>42</v>
      </c>
      <c r="G66" s="253">
        <v>21</v>
      </c>
      <c r="H66" s="251" t="s">
        <v>351</v>
      </c>
      <c r="I66" s="253">
        <v>29</v>
      </c>
      <c r="J66" s="253">
        <v>7</v>
      </c>
      <c r="K66" s="253" t="s">
        <v>10</v>
      </c>
      <c r="L66" s="253">
        <v>7</v>
      </c>
      <c r="M66" s="253" t="s">
        <v>10</v>
      </c>
      <c r="N66" s="253">
        <v>10</v>
      </c>
    </row>
    <row r="67" spans="1:14" x14ac:dyDescent="0.3">
      <c r="A67" s="253" t="s">
        <v>56</v>
      </c>
      <c r="B67" s="253" t="s">
        <v>57</v>
      </c>
      <c r="C67" s="253" t="s">
        <v>8</v>
      </c>
      <c r="D67" s="253" t="s">
        <v>45</v>
      </c>
      <c r="E67" s="253" t="s">
        <v>41</v>
      </c>
      <c r="F67" s="253" t="s">
        <v>42</v>
      </c>
      <c r="G67" s="253">
        <v>12</v>
      </c>
      <c r="H67" s="251" t="s">
        <v>11</v>
      </c>
      <c r="I67" s="253">
        <v>19</v>
      </c>
      <c r="J67" s="253">
        <v>13</v>
      </c>
      <c r="K67" s="253" t="s">
        <v>10</v>
      </c>
      <c r="L67" s="253">
        <v>11</v>
      </c>
      <c r="M67" s="253" t="s">
        <v>10</v>
      </c>
      <c r="N67" s="253">
        <v>1</v>
      </c>
    </row>
    <row r="68" spans="1:14" x14ac:dyDescent="0.3">
      <c r="A68" s="253" t="s">
        <v>977</v>
      </c>
      <c r="B68" s="253" t="s">
        <v>336</v>
      </c>
      <c r="C68" s="253" t="s">
        <v>8</v>
      </c>
      <c r="D68" s="253" t="s">
        <v>978</v>
      </c>
      <c r="E68" s="253" t="s">
        <v>896</v>
      </c>
      <c r="F68" s="253" t="s">
        <v>42</v>
      </c>
      <c r="G68" s="253">
        <v>11</v>
      </c>
      <c r="H68" s="251" t="s">
        <v>11</v>
      </c>
      <c r="I68" s="253"/>
      <c r="J68" s="253">
        <v>10</v>
      </c>
      <c r="K68" s="253" t="s">
        <v>10</v>
      </c>
      <c r="L68" s="253">
        <v>7</v>
      </c>
      <c r="M68" s="253" t="s">
        <v>10</v>
      </c>
      <c r="N68" s="253">
        <v>4</v>
      </c>
    </row>
    <row r="69" spans="1:14" x14ac:dyDescent="0.3">
      <c r="A69" s="253" t="s">
        <v>58</v>
      </c>
      <c r="B69" s="253" t="s">
        <v>59</v>
      </c>
      <c r="C69" s="253" t="s">
        <v>8</v>
      </c>
      <c r="D69" s="253" t="s">
        <v>45</v>
      </c>
      <c r="E69" s="253" t="s">
        <v>41</v>
      </c>
      <c r="F69" s="253" t="s">
        <v>42</v>
      </c>
      <c r="G69" s="253">
        <v>10</v>
      </c>
      <c r="H69" s="251" t="s">
        <v>11</v>
      </c>
      <c r="I69" s="253">
        <v>14</v>
      </c>
      <c r="J69" s="253">
        <v>13</v>
      </c>
      <c r="K69" s="253" t="s">
        <v>10</v>
      </c>
      <c r="L69" s="253">
        <v>9</v>
      </c>
      <c r="M69" s="253" t="s">
        <v>10</v>
      </c>
      <c r="N69" s="253">
        <v>2</v>
      </c>
    </row>
    <row r="70" spans="1:14" x14ac:dyDescent="0.3">
      <c r="A70" s="253" t="s">
        <v>112</v>
      </c>
      <c r="B70" s="253" t="s">
        <v>113</v>
      </c>
      <c r="C70" s="253" t="s">
        <v>8</v>
      </c>
      <c r="D70" s="253" t="s">
        <v>40</v>
      </c>
      <c r="E70" s="253" t="s">
        <v>41</v>
      </c>
      <c r="F70" s="253" t="s">
        <v>42</v>
      </c>
      <c r="G70" s="253">
        <v>9</v>
      </c>
      <c r="H70" s="251" t="s">
        <v>10</v>
      </c>
      <c r="I70" s="253">
        <v>14</v>
      </c>
      <c r="J70" s="253">
        <v>11</v>
      </c>
      <c r="K70" s="253" t="s">
        <v>10</v>
      </c>
      <c r="L70" s="253">
        <v>8</v>
      </c>
      <c r="M70" s="253" t="s">
        <v>10</v>
      </c>
      <c r="N70" s="253">
        <v>3</v>
      </c>
    </row>
    <row r="71" spans="1:14" x14ac:dyDescent="0.3">
      <c r="A71" s="253" t="s">
        <v>60</v>
      </c>
      <c r="B71" s="253" t="s">
        <v>61</v>
      </c>
      <c r="C71" s="253" t="s">
        <v>8</v>
      </c>
      <c r="D71" s="253" t="s">
        <v>45</v>
      </c>
      <c r="E71" s="253" t="s">
        <v>41</v>
      </c>
      <c r="F71" s="253" t="s">
        <v>42</v>
      </c>
      <c r="G71" s="253">
        <v>8</v>
      </c>
      <c r="H71" s="251" t="s">
        <v>10</v>
      </c>
      <c r="I71" s="253">
        <v>12</v>
      </c>
      <c r="J71" s="253">
        <v>7</v>
      </c>
      <c r="K71" s="253" t="s">
        <v>10</v>
      </c>
      <c r="L71" s="253">
        <v>7</v>
      </c>
      <c r="M71" s="253" t="s">
        <v>10</v>
      </c>
      <c r="N71" s="253">
        <v>7</v>
      </c>
    </row>
    <row r="72" spans="1:14" x14ac:dyDescent="0.3">
      <c r="A72" s="253" t="s">
        <v>62</v>
      </c>
      <c r="B72" s="253" t="s">
        <v>63</v>
      </c>
      <c r="C72" s="253" t="s">
        <v>8</v>
      </c>
      <c r="D72" s="253" t="s">
        <v>45</v>
      </c>
      <c r="E72" s="253" t="s">
        <v>41</v>
      </c>
      <c r="F72" s="253" t="s">
        <v>42</v>
      </c>
      <c r="G72" s="253">
        <v>11</v>
      </c>
      <c r="H72" s="251" t="s">
        <v>11</v>
      </c>
      <c r="I72" s="253">
        <v>18</v>
      </c>
      <c r="J72" s="253">
        <v>18</v>
      </c>
      <c r="K72" s="253" t="s">
        <v>11</v>
      </c>
      <c r="L72" s="253"/>
      <c r="M72" s="253" t="s">
        <v>11</v>
      </c>
      <c r="N72" s="253">
        <v>0</v>
      </c>
    </row>
    <row r="73" spans="1:14" x14ac:dyDescent="0.3">
      <c r="A73" s="253" t="s">
        <v>258</v>
      </c>
      <c r="B73" s="253" t="s">
        <v>259</v>
      </c>
      <c r="C73" s="253" t="s">
        <v>8</v>
      </c>
      <c r="D73" s="253" t="s">
        <v>240</v>
      </c>
      <c r="E73" s="253" t="s">
        <v>896</v>
      </c>
      <c r="F73" s="253" t="s">
        <v>42</v>
      </c>
      <c r="G73" s="253">
        <v>16</v>
      </c>
      <c r="H73" s="251" t="s">
        <v>12</v>
      </c>
      <c r="I73" s="253">
        <v>28</v>
      </c>
      <c r="J73" s="253">
        <v>10</v>
      </c>
      <c r="K73" s="253" t="s">
        <v>10</v>
      </c>
      <c r="L73" s="253">
        <v>7</v>
      </c>
      <c r="M73" s="253" t="s">
        <v>10</v>
      </c>
      <c r="N73" s="253">
        <v>4</v>
      </c>
    </row>
    <row r="74" spans="1:14" x14ac:dyDescent="0.3">
      <c r="A74" s="253" t="s">
        <v>260</v>
      </c>
      <c r="B74" s="253" t="s">
        <v>261</v>
      </c>
      <c r="C74" s="253" t="s">
        <v>8</v>
      </c>
      <c r="D74" s="253" t="s">
        <v>240</v>
      </c>
      <c r="E74" s="253" t="s">
        <v>896</v>
      </c>
      <c r="F74" s="253" t="s">
        <v>42</v>
      </c>
      <c r="G74" s="253">
        <v>15</v>
      </c>
      <c r="H74" s="251" t="s">
        <v>12</v>
      </c>
      <c r="I74" s="253">
        <v>25</v>
      </c>
      <c r="J74" s="253">
        <v>8</v>
      </c>
      <c r="K74" s="253" t="s">
        <v>10</v>
      </c>
      <c r="L74" s="253">
        <v>7</v>
      </c>
      <c r="M74" s="253" t="s">
        <v>10</v>
      </c>
      <c r="N74" s="253">
        <v>6</v>
      </c>
    </row>
    <row r="75" spans="1:14" x14ac:dyDescent="0.3">
      <c r="A75" s="253" t="s">
        <v>154</v>
      </c>
      <c r="B75" s="253" t="s">
        <v>155</v>
      </c>
      <c r="C75" s="253" t="s">
        <v>8</v>
      </c>
      <c r="D75" s="253" t="s">
        <v>139</v>
      </c>
      <c r="E75" s="253" t="s">
        <v>895</v>
      </c>
      <c r="F75" s="253" t="s">
        <v>42</v>
      </c>
      <c r="G75" s="253">
        <v>12</v>
      </c>
      <c r="H75" s="251" t="s">
        <v>11</v>
      </c>
      <c r="I75" s="253">
        <v>16</v>
      </c>
      <c r="J75" s="253">
        <v>8</v>
      </c>
      <c r="K75" s="253" t="s">
        <v>10</v>
      </c>
      <c r="L75" s="253">
        <v>7</v>
      </c>
      <c r="M75" s="253" t="s">
        <v>10</v>
      </c>
      <c r="N75" s="253">
        <v>6</v>
      </c>
    </row>
    <row r="76" spans="1:14" x14ac:dyDescent="0.3">
      <c r="A76" s="253" t="s">
        <v>262</v>
      </c>
      <c r="B76" s="253" t="s">
        <v>263</v>
      </c>
      <c r="C76" s="253" t="s">
        <v>8</v>
      </c>
      <c r="D76" s="253" t="s">
        <v>240</v>
      </c>
      <c r="E76" s="253" t="s">
        <v>896</v>
      </c>
      <c r="F76" s="253" t="s">
        <v>42</v>
      </c>
      <c r="G76" s="253">
        <v>10</v>
      </c>
      <c r="H76" s="251" t="s">
        <v>11</v>
      </c>
      <c r="I76" s="253">
        <v>21</v>
      </c>
      <c r="J76" s="253">
        <v>8</v>
      </c>
      <c r="K76" s="253" t="s">
        <v>10</v>
      </c>
      <c r="L76" s="253">
        <v>7</v>
      </c>
      <c r="M76" s="253" t="s">
        <v>10</v>
      </c>
      <c r="N76" s="253">
        <v>6</v>
      </c>
    </row>
    <row r="77" spans="1:14" x14ac:dyDescent="0.3">
      <c r="A77" s="253" t="s">
        <v>66</v>
      </c>
      <c r="B77" s="253" t="s">
        <v>67</v>
      </c>
      <c r="C77" s="253" t="s">
        <v>8</v>
      </c>
      <c r="D77" s="253" t="s">
        <v>45</v>
      </c>
      <c r="E77" s="253" t="s">
        <v>41</v>
      </c>
      <c r="F77" s="253" t="s">
        <v>42</v>
      </c>
      <c r="G77" s="253">
        <v>11</v>
      </c>
      <c r="H77" s="251" t="s">
        <v>11</v>
      </c>
      <c r="I77" s="253">
        <v>16</v>
      </c>
      <c r="J77" s="253">
        <v>10</v>
      </c>
      <c r="K77" s="253" t="s">
        <v>10</v>
      </c>
      <c r="L77" s="253">
        <v>7</v>
      </c>
      <c r="M77" s="253" t="s">
        <v>10</v>
      </c>
      <c r="N77" s="253">
        <v>4</v>
      </c>
    </row>
    <row r="78" spans="1:14" x14ac:dyDescent="0.3">
      <c r="A78" s="253" t="s">
        <v>264</v>
      </c>
      <c r="B78" s="253" t="s">
        <v>265</v>
      </c>
      <c r="C78" s="253" t="s">
        <v>8</v>
      </c>
      <c r="D78" s="253" t="s">
        <v>240</v>
      </c>
      <c r="E78" s="253" t="s">
        <v>896</v>
      </c>
      <c r="F78" s="253" t="s">
        <v>42</v>
      </c>
      <c r="G78" s="253">
        <v>16</v>
      </c>
      <c r="H78" s="251" t="s">
        <v>12</v>
      </c>
      <c r="I78" s="253">
        <v>28</v>
      </c>
      <c r="J78" s="253">
        <v>7</v>
      </c>
      <c r="K78" s="253" t="s">
        <v>10</v>
      </c>
      <c r="L78" s="253">
        <v>7</v>
      </c>
      <c r="M78" s="253" t="s">
        <v>10</v>
      </c>
      <c r="N78" s="253">
        <v>8</v>
      </c>
    </row>
    <row r="79" spans="1:14" x14ac:dyDescent="0.3">
      <c r="A79" s="253" t="s">
        <v>156</v>
      </c>
      <c r="B79" s="253" t="s">
        <v>157</v>
      </c>
      <c r="C79" s="253" t="s">
        <v>8</v>
      </c>
      <c r="D79" s="253" t="s">
        <v>139</v>
      </c>
      <c r="E79" s="253" t="s">
        <v>895</v>
      </c>
      <c r="F79" s="253" t="s">
        <v>42</v>
      </c>
      <c r="G79" s="253">
        <v>14</v>
      </c>
      <c r="H79" s="251" t="s">
        <v>12</v>
      </c>
      <c r="I79" s="253">
        <v>18</v>
      </c>
      <c r="J79" s="253">
        <v>7</v>
      </c>
      <c r="K79" s="253" t="s">
        <v>10</v>
      </c>
      <c r="L79" s="253">
        <v>7</v>
      </c>
      <c r="M79" s="253" t="s">
        <v>10</v>
      </c>
      <c r="N79" s="253">
        <v>7</v>
      </c>
    </row>
    <row r="80" spans="1:14" x14ac:dyDescent="0.3">
      <c r="A80" s="253" t="s">
        <v>212</v>
      </c>
      <c r="B80" s="253" t="s">
        <v>213</v>
      </c>
      <c r="C80" s="253" t="s">
        <v>8</v>
      </c>
      <c r="D80" s="253" t="s">
        <v>194</v>
      </c>
      <c r="E80" s="253" t="s">
        <v>896</v>
      </c>
      <c r="F80" s="253" t="s">
        <v>42</v>
      </c>
      <c r="G80" s="253">
        <v>13</v>
      </c>
      <c r="H80" s="251" t="s">
        <v>12</v>
      </c>
      <c r="I80" s="253">
        <v>19</v>
      </c>
      <c r="J80" s="253">
        <v>9</v>
      </c>
      <c r="K80" s="253" t="s">
        <v>10</v>
      </c>
      <c r="L80" s="253">
        <v>7</v>
      </c>
      <c r="M80" s="253" t="s">
        <v>10</v>
      </c>
      <c r="N80" s="253">
        <v>5</v>
      </c>
    </row>
    <row r="81" spans="1:14" x14ac:dyDescent="0.3">
      <c r="A81" s="253" t="s">
        <v>68</v>
      </c>
      <c r="B81" s="253" t="s">
        <v>69</v>
      </c>
      <c r="C81" s="253" t="s">
        <v>8</v>
      </c>
      <c r="D81" s="253" t="s">
        <v>45</v>
      </c>
      <c r="E81" s="253" t="s">
        <v>41</v>
      </c>
      <c r="F81" s="253" t="s">
        <v>42</v>
      </c>
      <c r="G81" s="253">
        <v>9</v>
      </c>
      <c r="H81" s="251" t="s">
        <v>10</v>
      </c>
      <c r="I81" s="253">
        <v>13</v>
      </c>
      <c r="J81" s="253">
        <v>7</v>
      </c>
      <c r="K81" s="253" t="s">
        <v>10</v>
      </c>
      <c r="L81" s="253">
        <v>8</v>
      </c>
      <c r="M81" s="253" t="s">
        <v>10</v>
      </c>
      <c r="N81" s="253">
        <v>7</v>
      </c>
    </row>
    <row r="82" spans="1:14" x14ac:dyDescent="0.3">
      <c r="A82" s="253" t="s">
        <v>70</v>
      </c>
      <c r="B82" s="253" t="s">
        <v>71</v>
      </c>
      <c r="C82" s="253" t="s">
        <v>8</v>
      </c>
      <c r="D82" s="253" t="s">
        <v>45</v>
      </c>
      <c r="E82" s="253" t="s">
        <v>41</v>
      </c>
      <c r="F82" s="253" t="s">
        <v>42</v>
      </c>
      <c r="G82" s="253">
        <v>10</v>
      </c>
      <c r="H82" s="251" t="s">
        <v>11</v>
      </c>
      <c r="I82" s="253">
        <v>15</v>
      </c>
      <c r="J82" s="253">
        <v>10</v>
      </c>
      <c r="K82" s="253" t="s">
        <v>10</v>
      </c>
      <c r="L82" s="253">
        <v>7</v>
      </c>
      <c r="M82" s="253" t="s">
        <v>10</v>
      </c>
      <c r="N82" s="253">
        <v>4</v>
      </c>
    </row>
    <row r="83" spans="1:14" x14ac:dyDescent="0.3">
      <c r="A83" s="253" t="s">
        <v>121</v>
      </c>
      <c r="B83" s="253" t="s">
        <v>122</v>
      </c>
      <c r="C83" s="253" t="s">
        <v>8</v>
      </c>
      <c r="D83" s="253" t="s">
        <v>40</v>
      </c>
      <c r="E83" s="253" t="s">
        <v>41</v>
      </c>
      <c r="F83" s="253" t="s">
        <v>42</v>
      </c>
      <c r="G83" s="253">
        <v>8</v>
      </c>
      <c r="H83" s="251" t="s">
        <v>10</v>
      </c>
      <c r="I83" s="253">
        <v>13</v>
      </c>
      <c r="J83" s="253">
        <v>15</v>
      </c>
      <c r="K83" s="253" t="s">
        <v>10</v>
      </c>
      <c r="L83" s="253">
        <v>10</v>
      </c>
      <c r="M83" s="253" t="s">
        <v>10</v>
      </c>
      <c r="N83" s="253">
        <v>1</v>
      </c>
    </row>
    <row r="84" spans="1:14" x14ac:dyDescent="0.3">
      <c r="A84" s="253" t="s">
        <v>72</v>
      </c>
      <c r="B84" s="253" t="s">
        <v>73</v>
      </c>
      <c r="C84" s="253" t="s">
        <v>8</v>
      </c>
      <c r="D84" s="253" t="s">
        <v>45</v>
      </c>
      <c r="E84" s="253" t="s">
        <v>41</v>
      </c>
      <c r="F84" s="253" t="s">
        <v>42</v>
      </c>
      <c r="G84" s="253">
        <v>10</v>
      </c>
      <c r="H84" s="251" t="s">
        <v>11</v>
      </c>
      <c r="I84" s="253">
        <v>17</v>
      </c>
      <c r="J84" s="253">
        <v>14</v>
      </c>
      <c r="K84" s="253" t="s">
        <v>10</v>
      </c>
      <c r="L84" s="253">
        <v>7</v>
      </c>
      <c r="M84" s="253" t="s">
        <v>10</v>
      </c>
      <c r="N84" s="253">
        <v>1</v>
      </c>
    </row>
    <row r="85" spans="1:14" x14ac:dyDescent="0.3">
      <c r="A85" s="253" t="s">
        <v>74</v>
      </c>
      <c r="B85" s="253" t="s">
        <v>75</v>
      </c>
      <c r="C85" s="253" t="s">
        <v>8</v>
      </c>
      <c r="D85" s="253" t="s">
        <v>45</v>
      </c>
      <c r="E85" s="253" t="s">
        <v>41</v>
      </c>
      <c r="F85" s="253" t="s">
        <v>42</v>
      </c>
      <c r="G85" s="253">
        <v>13</v>
      </c>
      <c r="H85" s="251" t="s">
        <v>12</v>
      </c>
      <c r="I85" s="253">
        <v>18</v>
      </c>
      <c r="J85" s="253">
        <v>16</v>
      </c>
      <c r="K85" s="253" t="s">
        <v>10</v>
      </c>
      <c r="L85" s="253">
        <v>9</v>
      </c>
      <c r="M85" s="253" t="s">
        <v>10</v>
      </c>
      <c r="N85" s="253">
        <v>0</v>
      </c>
    </row>
    <row r="86" spans="1:14" x14ac:dyDescent="0.3">
      <c r="A86" s="253" t="s">
        <v>268</v>
      </c>
      <c r="B86" s="253" t="s">
        <v>269</v>
      </c>
      <c r="C86" s="253" t="s">
        <v>8</v>
      </c>
      <c r="D86" s="253" t="s">
        <v>240</v>
      </c>
      <c r="E86" s="253" t="s">
        <v>896</v>
      </c>
      <c r="F86" s="253" t="s">
        <v>42</v>
      </c>
      <c r="G86" s="253">
        <v>16</v>
      </c>
      <c r="H86" s="251" t="s">
        <v>12</v>
      </c>
      <c r="I86" s="253">
        <v>27</v>
      </c>
      <c r="J86" s="253">
        <v>7</v>
      </c>
      <c r="K86" s="253" t="s">
        <v>10</v>
      </c>
      <c r="L86" s="253">
        <v>7</v>
      </c>
      <c r="M86" s="253" t="s">
        <v>10</v>
      </c>
      <c r="N86" s="253">
        <v>8</v>
      </c>
    </row>
    <row r="87" spans="1:14" x14ac:dyDescent="0.3">
      <c r="A87" s="253" t="s">
        <v>270</v>
      </c>
      <c r="B87" s="253" t="s">
        <v>271</v>
      </c>
      <c r="C87" s="253" t="s">
        <v>8</v>
      </c>
      <c r="D87" s="253" t="s">
        <v>240</v>
      </c>
      <c r="E87" s="253" t="s">
        <v>896</v>
      </c>
      <c r="F87" s="253" t="s">
        <v>42</v>
      </c>
      <c r="G87" s="253">
        <v>15</v>
      </c>
      <c r="H87" s="251" t="s">
        <v>12</v>
      </c>
      <c r="I87" s="253">
        <v>22</v>
      </c>
      <c r="J87" s="253">
        <v>7</v>
      </c>
      <c r="K87" s="253" t="s">
        <v>10</v>
      </c>
      <c r="L87" s="253">
        <v>7</v>
      </c>
      <c r="M87" s="253" t="s">
        <v>10</v>
      </c>
      <c r="N87" s="253">
        <v>9</v>
      </c>
    </row>
    <row r="88" spans="1:14" x14ac:dyDescent="0.3">
      <c r="A88" s="253" t="s">
        <v>76</v>
      </c>
      <c r="B88" s="253" t="s">
        <v>77</v>
      </c>
      <c r="C88" s="253" t="s">
        <v>8</v>
      </c>
      <c r="D88" s="253" t="s">
        <v>45</v>
      </c>
      <c r="E88" s="253" t="s">
        <v>41</v>
      </c>
      <c r="F88" s="253" t="s">
        <v>42</v>
      </c>
      <c r="G88" s="253">
        <v>12</v>
      </c>
      <c r="H88" s="251" t="s">
        <v>11</v>
      </c>
      <c r="I88" s="253">
        <v>17</v>
      </c>
      <c r="J88" s="253">
        <v>14</v>
      </c>
      <c r="K88" s="253" t="s">
        <v>10</v>
      </c>
      <c r="L88" s="253">
        <v>9</v>
      </c>
      <c r="M88" s="253" t="s">
        <v>10</v>
      </c>
      <c r="N88" s="253">
        <v>2</v>
      </c>
    </row>
    <row r="89" spans="1:14" x14ac:dyDescent="0.3">
      <c r="A89" s="253" t="s">
        <v>158</v>
      </c>
      <c r="B89" s="253" t="s">
        <v>159</v>
      </c>
      <c r="C89" s="253" t="s">
        <v>8</v>
      </c>
      <c r="D89" s="253" t="s">
        <v>139</v>
      </c>
      <c r="E89" s="253" t="s">
        <v>895</v>
      </c>
      <c r="F89" s="253" t="s">
        <v>42</v>
      </c>
      <c r="G89" s="253">
        <v>13</v>
      </c>
      <c r="H89" s="251" t="s">
        <v>12</v>
      </c>
      <c r="I89" s="253">
        <v>18</v>
      </c>
      <c r="J89" s="253">
        <v>7</v>
      </c>
      <c r="K89" s="253" t="s">
        <v>10</v>
      </c>
      <c r="L89" s="253">
        <v>7</v>
      </c>
      <c r="M89" s="253" t="s">
        <v>10</v>
      </c>
      <c r="N89" s="253">
        <v>8</v>
      </c>
    </row>
    <row r="90" spans="1:14" x14ac:dyDescent="0.3">
      <c r="A90" s="253" t="s">
        <v>160</v>
      </c>
      <c r="B90" s="253" t="s">
        <v>161</v>
      </c>
      <c r="C90" s="253" t="s">
        <v>8</v>
      </c>
      <c r="D90" s="253" t="s">
        <v>139</v>
      </c>
      <c r="E90" s="253" t="s">
        <v>895</v>
      </c>
      <c r="F90" s="253" t="s">
        <v>42</v>
      </c>
      <c r="G90" s="253">
        <v>15</v>
      </c>
      <c r="H90" s="251" t="s">
        <v>12</v>
      </c>
      <c r="I90" s="253">
        <v>20</v>
      </c>
      <c r="J90" s="253">
        <v>7</v>
      </c>
      <c r="K90" s="253" t="s">
        <v>10</v>
      </c>
      <c r="L90" s="253">
        <v>7</v>
      </c>
      <c r="M90" s="253" t="s">
        <v>10</v>
      </c>
      <c r="N90" s="253">
        <v>8</v>
      </c>
    </row>
    <row r="91" spans="1:14" x14ac:dyDescent="0.3">
      <c r="A91" s="253" t="s">
        <v>78</v>
      </c>
      <c r="B91" s="253" t="s">
        <v>79</v>
      </c>
      <c r="C91" s="253" t="s">
        <v>8</v>
      </c>
      <c r="D91" s="253" t="s">
        <v>45</v>
      </c>
      <c r="E91" s="253" t="s">
        <v>41</v>
      </c>
      <c r="F91" s="253" t="s">
        <v>42</v>
      </c>
      <c r="G91" s="253">
        <v>10</v>
      </c>
      <c r="H91" s="251" t="s">
        <v>11</v>
      </c>
      <c r="I91" s="253">
        <v>15</v>
      </c>
      <c r="J91" s="253">
        <v>12</v>
      </c>
      <c r="K91" s="253" t="s">
        <v>10</v>
      </c>
      <c r="L91" s="253">
        <v>8</v>
      </c>
      <c r="M91" s="253" t="s">
        <v>10</v>
      </c>
      <c r="N91" s="253">
        <v>2</v>
      </c>
    </row>
    <row r="92" spans="1:14" x14ac:dyDescent="0.3">
      <c r="A92" s="253" t="s">
        <v>80</v>
      </c>
      <c r="B92" s="253" t="s">
        <v>81</v>
      </c>
      <c r="C92" s="253" t="s">
        <v>8</v>
      </c>
      <c r="D92" s="253" t="s">
        <v>45</v>
      </c>
      <c r="E92" s="253" t="s">
        <v>41</v>
      </c>
      <c r="F92" s="253" t="s">
        <v>42</v>
      </c>
      <c r="G92" s="253"/>
      <c r="H92" s="251"/>
      <c r="I92" s="253">
        <v>0</v>
      </c>
      <c r="J92" s="253">
        <v>7</v>
      </c>
      <c r="K92" s="253" t="s">
        <v>10</v>
      </c>
      <c r="L92" s="253">
        <v>7</v>
      </c>
      <c r="M92" s="253" t="s">
        <v>10</v>
      </c>
      <c r="N92" s="253">
        <v>8</v>
      </c>
    </row>
    <row r="93" spans="1:14" x14ac:dyDescent="0.3">
      <c r="A93" s="253" t="s">
        <v>272</v>
      </c>
      <c r="B93" s="253" t="s">
        <v>273</v>
      </c>
      <c r="C93" s="253" t="s">
        <v>8</v>
      </c>
      <c r="D93" s="253" t="s">
        <v>240</v>
      </c>
      <c r="E93" s="253" t="s">
        <v>896</v>
      </c>
      <c r="F93" s="253" t="s">
        <v>42</v>
      </c>
      <c r="G93" s="253">
        <v>16</v>
      </c>
      <c r="H93" s="251" t="s">
        <v>12</v>
      </c>
      <c r="I93" s="253">
        <v>28</v>
      </c>
      <c r="J93" s="253">
        <v>10</v>
      </c>
      <c r="K93" s="253" t="s">
        <v>10</v>
      </c>
      <c r="L93" s="253">
        <v>7</v>
      </c>
      <c r="M93" s="253" t="s">
        <v>10</v>
      </c>
      <c r="N93" s="253">
        <v>4</v>
      </c>
    </row>
    <row r="94" spans="1:14" x14ac:dyDescent="0.3">
      <c r="A94" s="253" t="s">
        <v>315</v>
      </c>
      <c r="B94" s="253" t="s">
        <v>316</v>
      </c>
      <c r="C94" s="253" t="s">
        <v>8</v>
      </c>
      <c r="D94" s="253" t="s">
        <v>304</v>
      </c>
      <c r="E94" s="253" t="s">
        <v>895</v>
      </c>
      <c r="F94" s="253" t="s">
        <v>42</v>
      </c>
      <c r="G94" s="253">
        <v>17</v>
      </c>
      <c r="H94" s="251" t="s">
        <v>12</v>
      </c>
      <c r="I94" s="253">
        <v>25</v>
      </c>
      <c r="J94" s="253">
        <v>8</v>
      </c>
      <c r="K94" s="253" t="s">
        <v>10</v>
      </c>
      <c r="L94" s="253">
        <v>7</v>
      </c>
      <c r="M94" s="253" t="s">
        <v>10</v>
      </c>
      <c r="N94" s="253">
        <v>6</v>
      </c>
    </row>
    <row r="95" spans="1:14" x14ac:dyDescent="0.3">
      <c r="A95" s="253" t="s">
        <v>162</v>
      </c>
      <c r="B95" s="253" t="s">
        <v>163</v>
      </c>
      <c r="C95" s="253" t="s">
        <v>8</v>
      </c>
      <c r="D95" s="253" t="s">
        <v>139</v>
      </c>
      <c r="E95" s="253" t="s">
        <v>895</v>
      </c>
      <c r="F95" s="253" t="s">
        <v>42</v>
      </c>
      <c r="G95" s="253">
        <v>15</v>
      </c>
      <c r="H95" s="251" t="s">
        <v>12</v>
      </c>
      <c r="I95" s="253">
        <v>20</v>
      </c>
      <c r="J95" s="253">
        <v>9</v>
      </c>
      <c r="K95" s="253" t="s">
        <v>10</v>
      </c>
      <c r="L95" s="253">
        <v>7</v>
      </c>
      <c r="M95" s="253" t="s">
        <v>10</v>
      </c>
      <c r="N95" s="253">
        <v>5</v>
      </c>
    </row>
    <row r="96" spans="1:14" x14ac:dyDescent="0.3">
      <c r="A96" s="253" t="s">
        <v>129</v>
      </c>
      <c r="B96" s="253" t="s">
        <v>130</v>
      </c>
      <c r="C96" s="253" t="s">
        <v>8</v>
      </c>
      <c r="D96" s="253" t="s">
        <v>40</v>
      </c>
      <c r="E96" s="253" t="s">
        <v>41</v>
      </c>
      <c r="F96" s="253" t="s">
        <v>42</v>
      </c>
      <c r="G96" s="253">
        <v>9</v>
      </c>
      <c r="H96" s="251" t="s">
        <v>10</v>
      </c>
      <c r="I96" s="253">
        <v>15</v>
      </c>
      <c r="J96" s="253">
        <v>16</v>
      </c>
      <c r="K96" s="253" t="s">
        <v>10</v>
      </c>
      <c r="L96" s="253">
        <v>10</v>
      </c>
      <c r="M96" s="253" t="s">
        <v>10</v>
      </c>
      <c r="N96" s="253">
        <v>1</v>
      </c>
    </row>
    <row r="97" spans="1:14" x14ac:dyDescent="0.3">
      <c r="A97" s="253" t="s">
        <v>319</v>
      </c>
      <c r="B97" s="253" t="s">
        <v>320</v>
      </c>
      <c r="C97" s="253" t="s">
        <v>84</v>
      </c>
      <c r="D97" s="253" t="s">
        <v>304</v>
      </c>
      <c r="E97" s="253" t="s">
        <v>895</v>
      </c>
      <c r="F97" s="253" t="s">
        <v>42</v>
      </c>
      <c r="G97" s="253">
        <v>14</v>
      </c>
      <c r="H97" s="251" t="s">
        <v>12</v>
      </c>
      <c r="I97" s="253">
        <v>27</v>
      </c>
      <c r="J97" s="253">
        <v>18</v>
      </c>
      <c r="K97" s="253" t="s">
        <v>11</v>
      </c>
      <c r="L97" s="253">
        <v>16</v>
      </c>
      <c r="M97" s="253" t="s">
        <v>11</v>
      </c>
      <c r="N97" s="253">
        <v>0</v>
      </c>
    </row>
    <row r="98" spans="1:14" x14ac:dyDescent="0.3">
      <c r="A98" s="253" t="s">
        <v>97</v>
      </c>
      <c r="B98" s="253" t="s">
        <v>98</v>
      </c>
      <c r="C98" s="253" t="s">
        <v>8</v>
      </c>
      <c r="D98" s="253" t="s">
        <v>40</v>
      </c>
      <c r="E98" s="253" t="s">
        <v>41</v>
      </c>
      <c r="F98" s="253" t="s">
        <v>42</v>
      </c>
      <c r="G98" s="253">
        <v>8</v>
      </c>
      <c r="H98" s="251" t="s">
        <v>10</v>
      </c>
      <c r="I98" s="253">
        <v>14</v>
      </c>
      <c r="J98" s="253">
        <v>17</v>
      </c>
      <c r="K98" s="253" t="s">
        <v>10</v>
      </c>
      <c r="L98" s="253">
        <v>12</v>
      </c>
      <c r="M98" s="253" t="s">
        <v>10</v>
      </c>
      <c r="N98" s="253">
        <v>1</v>
      </c>
    </row>
    <row r="99" spans="1:14" x14ac:dyDescent="0.3">
      <c r="A99" s="253" t="s">
        <v>241</v>
      </c>
      <c r="B99" s="253" t="s">
        <v>242</v>
      </c>
      <c r="C99" s="253" t="s">
        <v>8</v>
      </c>
      <c r="D99" s="253" t="s">
        <v>240</v>
      </c>
      <c r="E99" s="253" t="s">
        <v>896</v>
      </c>
      <c r="F99" s="253" t="s">
        <v>42</v>
      </c>
      <c r="G99" s="253">
        <v>13</v>
      </c>
      <c r="H99" s="251" t="s">
        <v>12</v>
      </c>
      <c r="I99" s="253">
        <v>26</v>
      </c>
      <c r="J99" s="253">
        <v>11</v>
      </c>
      <c r="K99" s="253" t="s">
        <v>10</v>
      </c>
      <c r="L99" s="253">
        <v>9</v>
      </c>
      <c r="M99" s="253" t="s">
        <v>10</v>
      </c>
      <c r="N99" s="253">
        <v>3</v>
      </c>
    </row>
    <row r="100" spans="1:14" x14ac:dyDescent="0.3">
      <c r="A100" s="253" t="s">
        <v>252</v>
      </c>
      <c r="B100" s="253" t="s">
        <v>253</v>
      </c>
      <c r="C100" s="253" t="s">
        <v>8</v>
      </c>
      <c r="D100" s="253" t="s">
        <v>240</v>
      </c>
      <c r="E100" s="253" t="s">
        <v>896</v>
      </c>
      <c r="F100" s="253" t="s">
        <v>42</v>
      </c>
      <c r="G100" s="253">
        <v>14</v>
      </c>
      <c r="H100" s="251" t="s">
        <v>12</v>
      </c>
      <c r="I100" s="253">
        <v>26</v>
      </c>
      <c r="J100" s="253">
        <v>9</v>
      </c>
      <c r="K100" s="253" t="s">
        <v>10</v>
      </c>
      <c r="L100" s="253">
        <v>9</v>
      </c>
      <c r="M100" s="253" t="s">
        <v>10</v>
      </c>
      <c r="N100" s="253">
        <v>5</v>
      </c>
    </row>
    <row r="101" spans="1:14" x14ac:dyDescent="0.3">
      <c r="A101" s="253" t="s">
        <v>104</v>
      </c>
      <c r="B101" s="253" t="s">
        <v>105</v>
      </c>
      <c r="C101" s="253" t="s">
        <v>8</v>
      </c>
      <c r="D101" s="253" t="s">
        <v>40</v>
      </c>
      <c r="E101" s="253" t="s">
        <v>41</v>
      </c>
      <c r="F101" s="253" t="s">
        <v>42</v>
      </c>
      <c r="G101" s="253">
        <v>8</v>
      </c>
      <c r="H101" s="251" t="s">
        <v>10</v>
      </c>
      <c r="I101" s="253">
        <v>15</v>
      </c>
      <c r="J101" s="253">
        <v>16</v>
      </c>
      <c r="K101" s="253" t="s">
        <v>10</v>
      </c>
      <c r="L101" s="253">
        <v>12</v>
      </c>
      <c r="M101" s="253" t="s">
        <v>10</v>
      </c>
      <c r="N101" s="253">
        <v>1</v>
      </c>
    </row>
    <row r="102" spans="1:14" x14ac:dyDescent="0.3">
      <c r="A102" s="253" t="s">
        <v>119</v>
      </c>
      <c r="B102" s="253" t="s">
        <v>120</v>
      </c>
      <c r="C102" s="253" t="s">
        <v>8</v>
      </c>
      <c r="D102" s="253" t="s">
        <v>40</v>
      </c>
      <c r="E102" s="253" t="s">
        <v>41</v>
      </c>
      <c r="F102" s="253" t="s">
        <v>42</v>
      </c>
      <c r="G102" s="253">
        <v>6</v>
      </c>
      <c r="H102" s="251" t="s">
        <v>10</v>
      </c>
      <c r="I102" s="253">
        <v>10</v>
      </c>
      <c r="J102" s="253"/>
      <c r="K102" s="253" t="s">
        <v>661</v>
      </c>
      <c r="L102" s="253">
        <v>13</v>
      </c>
      <c r="M102" s="253" t="s">
        <v>661</v>
      </c>
      <c r="N102" s="253"/>
    </row>
    <row r="103" spans="1:14" x14ac:dyDescent="0.3">
      <c r="A103" s="253" t="s">
        <v>969</v>
      </c>
      <c r="B103" s="253" t="s">
        <v>334</v>
      </c>
      <c r="C103" s="253" t="s">
        <v>84</v>
      </c>
      <c r="D103" s="253" t="s">
        <v>289</v>
      </c>
      <c r="E103" s="253" t="s">
        <v>896</v>
      </c>
      <c r="F103" s="253" t="s">
        <v>42</v>
      </c>
      <c r="G103" s="253">
        <v>14</v>
      </c>
      <c r="H103" s="251" t="s">
        <v>12</v>
      </c>
      <c r="I103" s="253"/>
      <c r="J103" s="253">
        <v>11</v>
      </c>
      <c r="K103" s="253" t="s">
        <v>10</v>
      </c>
      <c r="L103" s="253">
        <v>7</v>
      </c>
      <c r="M103" s="253" t="s">
        <v>10</v>
      </c>
      <c r="N103" s="253">
        <v>3</v>
      </c>
    </row>
    <row r="104" spans="1:14" x14ac:dyDescent="0.3">
      <c r="A104" s="253" t="s">
        <v>975</v>
      </c>
      <c r="B104" s="253" t="s">
        <v>976</v>
      </c>
      <c r="C104" s="253" t="s">
        <v>84</v>
      </c>
      <c r="D104" s="253" t="s">
        <v>289</v>
      </c>
      <c r="E104" s="253" t="s">
        <v>896</v>
      </c>
      <c r="F104" s="253" t="s">
        <v>94</v>
      </c>
      <c r="G104" s="253">
        <v>18</v>
      </c>
      <c r="H104" s="251" t="s">
        <v>13</v>
      </c>
      <c r="I104" s="253"/>
      <c r="J104" s="253"/>
      <c r="K104" s="253" t="s">
        <v>661</v>
      </c>
      <c r="L104" s="253"/>
      <c r="M104" s="253" t="s">
        <v>661</v>
      </c>
      <c r="N104" s="253"/>
    </row>
    <row r="105" spans="1:14" x14ac:dyDescent="0.3">
      <c r="A105" s="253" t="s">
        <v>223</v>
      </c>
      <c r="B105" s="253" t="s">
        <v>224</v>
      </c>
      <c r="C105" s="253" t="s">
        <v>84</v>
      </c>
      <c r="D105" s="253" t="s">
        <v>194</v>
      </c>
      <c r="E105" s="253" t="s">
        <v>896</v>
      </c>
      <c r="F105" s="253" t="s">
        <v>42</v>
      </c>
      <c r="G105" s="253">
        <v>21</v>
      </c>
      <c r="H105" s="251" t="s">
        <v>351</v>
      </c>
      <c r="I105" s="253">
        <v>26</v>
      </c>
      <c r="J105" s="253"/>
      <c r="K105" s="253" t="s">
        <v>661</v>
      </c>
      <c r="L105" s="253">
        <v>7</v>
      </c>
      <c r="M105" s="253" t="s">
        <v>661</v>
      </c>
      <c r="N105" s="253"/>
    </row>
    <row r="106" spans="1:14" x14ac:dyDescent="0.3">
      <c r="A106" s="253" t="s">
        <v>178</v>
      </c>
      <c r="B106" s="253" t="s">
        <v>179</v>
      </c>
      <c r="C106" s="253" t="s">
        <v>84</v>
      </c>
      <c r="D106" s="253" t="s">
        <v>139</v>
      </c>
      <c r="E106" s="253" t="s">
        <v>895</v>
      </c>
      <c r="F106" s="253" t="s">
        <v>42</v>
      </c>
      <c r="G106" s="253">
        <v>13</v>
      </c>
      <c r="H106" s="251" t="s">
        <v>12</v>
      </c>
      <c r="I106" s="253">
        <v>17</v>
      </c>
      <c r="J106" s="253">
        <v>8</v>
      </c>
      <c r="K106" s="253" t="s">
        <v>10</v>
      </c>
      <c r="L106" s="253">
        <v>7</v>
      </c>
      <c r="M106" s="253" t="s">
        <v>10</v>
      </c>
      <c r="N106" s="253">
        <v>6</v>
      </c>
    </row>
    <row r="107" spans="1:14" x14ac:dyDescent="0.3">
      <c r="A107" s="253" t="s">
        <v>188</v>
      </c>
      <c r="B107" s="253" t="s">
        <v>189</v>
      </c>
      <c r="C107" s="253" t="s">
        <v>84</v>
      </c>
      <c r="D107" s="253" t="s">
        <v>139</v>
      </c>
      <c r="E107" s="253" t="s">
        <v>895</v>
      </c>
      <c r="F107" s="253" t="s">
        <v>42</v>
      </c>
      <c r="G107" s="253">
        <v>12</v>
      </c>
      <c r="H107" s="251" t="s">
        <v>11</v>
      </c>
      <c r="I107" s="253">
        <v>18</v>
      </c>
      <c r="J107" s="253">
        <v>18</v>
      </c>
      <c r="K107" s="253" t="s">
        <v>11</v>
      </c>
      <c r="L107" s="253">
        <v>16</v>
      </c>
      <c r="M107" s="253" t="s">
        <v>11</v>
      </c>
      <c r="N107" s="253">
        <v>0</v>
      </c>
    </row>
    <row r="108" spans="1:14" x14ac:dyDescent="0.3">
      <c r="A108" s="253" t="s">
        <v>247</v>
      </c>
      <c r="B108" s="253" t="s">
        <v>924</v>
      </c>
      <c r="C108" s="253" t="s">
        <v>8</v>
      </c>
      <c r="D108" s="253" t="s">
        <v>240</v>
      </c>
      <c r="E108" s="253" t="s">
        <v>896</v>
      </c>
      <c r="F108" s="253" t="s">
        <v>94</v>
      </c>
      <c r="G108" s="253">
        <v>11</v>
      </c>
      <c r="H108" s="251" t="s">
        <v>11</v>
      </c>
      <c r="I108" s="253">
        <v>22</v>
      </c>
      <c r="J108" s="253"/>
      <c r="K108" s="253" t="s">
        <v>661</v>
      </c>
      <c r="L108" s="253"/>
      <c r="M108" s="253" t="s">
        <v>661</v>
      </c>
      <c r="N108" s="253"/>
    </row>
    <row r="109" spans="1:14" x14ac:dyDescent="0.3">
      <c r="A109" s="253" t="s">
        <v>180</v>
      </c>
      <c r="B109" s="253" t="s">
        <v>181</v>
      </c>
      <c r="C109" s="253" t="s">
        <v>84</v>
      </c>
      <c r="D109" s="253" t="s">
        <v>139</v>
      </c>
      <c r="E109" s="253" t="s">
        <v>895</v>
      </c>
      <c r="F109" s="253" t="s">
        <v>42</v>
      </c>
      <c r="G109" s="253">
        <v>14</v>
      </c>
      <c r="H109" s="251" t="s">
        <v>12</v>
      </c>
      <c r="I109" s="253">
        <v>20</v>
      </c>
      <c r="J109" s="253">
        <v>10</v>
      </c>
      <c r="K109" s="253" t="s">
        <v>10</v>
      </c>
      <c r="L109" s="253">
        <v>7</v>
      </c>
      <c r="M109" s="253" t="s">
        <v>10</v>
      </c>
      <c r="N109" s="253">
        <v>4</v>
      </c>
    </row>
    <row r="110" spans="1:14" x14ac:dyDescent="0.3">
      <c r="A110" s="253" t="s">
        <v>298</v>
      </c>
      <c r="B110" s="253" t="s">
        <v>299</v>
      </c>
      <c r="C110" s="253" t="s">
        <v>84</v>
      </c>
      <c r="D110" s="253" t="s">
        <v>240</v>
      </c>
      <c r="E110" s="253" t="s">
        <v>896</v>
      </c>
      <c r="F110" s="253" t="s">
        <v>42</v>
      </c>
      <c r="G110" s="253">
        <v>11</v>
      </c>
      <c r="H110" s="251" t="s">
        <v>11</v>
      </c>
      <c r="I110" s="253">
        <v>24</v>
      </c>
      <c r="J110" s="253">
        <v>12</v>
      </c>
      <c r="K110" s="253" t="s">
        <v>10</v>
      </c>
      <c r="L110" s="253">
        <v>7</v>
      </c>
      <c r="M110" s="253" t="s">
        <v>10</v>
      </c>
      <c r="N110" s="253">
        <v>2</v>
      </c>
    </row>
    <row r="111" spans="1:14" x14ac:dyDescent="0.3">
      <c r="A111" s="253" t="s">
        <v>307</v>
      </c>
      <c r="B111" s="253" t="s">
        <v>308</v>
      </c>
      <c r="C111" s="253" t="s">
        <v>8</v>
      </c>
      <c r="D111" s="253" t="s">
        <v>304</v>
      </c>
      <c r="E111" s="253" t="s">
        <v>895</v>
      </c>
      <c r="F111" s="253" t="s">
        <v>42</v>
      </c>
      <c r="G111" s="253">
        <v>18</v>
      </c>
      <c r="H111" s="251" t="s">
        <v>13</v>
      </c>
      <c r="I111" s="253">
        <v>25</v>
      </c>
      <c r="J111" s="253">
        <v>13</v>
      </c>
      <c r="K111" s="253" t="s">
        <v>10</v>
      </c>
      <c r="L111" s="253">
        <v>7</v>
      </c>
      <c r="M111" s="253" t="s">
        <v>10</v>
      </c>
      <c r="N111" s="253">
        <v>1</v>
      </c>
    </row>
    <row r="112" spans="1:14" x14ac:dyDescent="0.3">
      <c r="A112" s="253" t="s">
        <v>973</v>
      </c>
      <c r="B112" s="253" t="s">
        <v>974</v>
      </c>
      <c r="C112" s="253" t="s">
        <v>84</v>
      </c>
      <c r="D112" s="253" t="s">
        <v>289</v>
      </c>
      <c r="E112" s="253" t="s">
        <v>896</v>
      </c>
      <c r="F112" s="253" t="s">
        <v>94</v>
      </c>
      <c r="G112" s="253">
        <v>10</v>
      </c>
      <c r="H112" s="251" t="s">
        <v>11</v>
      </c>
      <c r="I112" s="253"/>
      <c r="J112" s="253"/>
      <c r="K112" s="253" t="s">
        <v>661</v>
      </c>
      <c r="L112" s="253"/>
      <c r="M112" s="253" t="s">
        <v>661</v>
      </c>
      <c r="N112" s="253"/>
    </row>
    <row r="113" spans="1:14" x14ac:dyDescent="0.3">
      <c r="A113" s="253" t="s">
        <v>228</v>
      </c>
      <c r="B113" s="253" t="s">
        <v>229</v>
      </c>
      <c r="C113" s="253" t="s">
        <v>84</v>
      </c>
      <c r="D113" s="253" t="s">
        <v>194</v>
      </c>
      <c r="E113" s="253" t="s">
        <v>896</v>
      </c>
      <c r="F113" s="253" t="s">
        <v>42</v>
      </c>
      <c r="G113" s="253">
        <v>19</v>
      </c>
      <c r="H113" s="251" t="s">
        <v>13</v>
      </c>
      <c r="I113" s="253">
        <v>24</v>
      </c>
      <c r="J113" s="253">
        <v>11</v>
      </c>
      <c r="K113" s="253" t="s">
        <v>10</v>
      </c>
      <c r="L113" s="253">
        <v>7</v>
      </c>
      <c r="M113" s="253" t="s">
        <v>10</v>
      </c>
      <c r="N113" s="253">
        <v>3</v>
      </c>
    </row>
    <row r="114" spans="1:14" x14ac:dyDescent="0.3">
      <c r="A114" s="253" t="s">
        <v>106</v>
      </c>
      <c r="B114" s="253" t="s">
        <v>107</v>
      </c>
      <c r="C114" s="253" t="s">
        <v>8</v>
      </c>
      <c r="D114" s="253" t="s">
        <v>40</v>
      </c>
      <c r="E114" s="253" t="s">
        <v>41</v>
      </c>
      <c r="F114" s="253" t="s">
        <v>42</v>
      </c>
      <c r="G114" s="253">
        <v>6</v>
      </c>
      <c r="H114" s="251" t="s">
        <v>10</v>
      </c>
      <c r="I114" s="253">
        <v>10</v>
      </c>
      <c r="J114" s="253">
        <v>16</v>
      </c>
      <c r="K114" s="253" t="s">
        <v>10</v>
      </c>
      <c r="L114" s="253">
        <v>9</v>
      </c>
      <c r="M114" s="253" t="s">
        <v>10</v>
      </c>
      <c r="N114" s="253">
        <v>1</v>
      </c>
    </row>
    <row r="115" spans="1:14" x14ac:dyDescent="0.3">
      <c r="A115" s="253" t="s">
        <v>964</v>
      </c>
      <c r="B115" s="253" t="s">
        <v>329</v>
      </c>
      <c r="C115" s="253" t="s">
        <v>84</v>
      </c>
      <c r="D115" s="253" t="s">
        <v>289</v>
      </c>
      <c r="E115" s="253" t="s">
        <v>896</v>
      </c>
      <c r="F115" s="253" t="s">
        <v>42</v>
      </c>
      <c r="G115" s="253">
        <v>9</v>
      </c>
      <c r="H115" s="251" t="s">
        <v>10</v>
      </c>
      <c r="I115" s="253"/>
      <c r="J115" s="253">
        <v>13</v>
      </c>
      <c r="K115" s="253" t="s">
        <v>10</v>
      </c>
      <c r="L115" s="253">
        <v>8</v>
      </c>
      <c r="M115" s="253" t="s">
        <v>10</v>
      </c>
      <c r="N115" s="253">
        <v>1</v>
      </c>
    </row>
    <row r="116" spans="1:14" x14ac:dyDescent="0.3">
      <c r="A116" s="253" t="s">
        <v>64</v>
      </c>
      <c r="B116" s="253" t="s">
        <v>65</v>
      </c>
      <c r="C116" s="253" t="s">
        <v>8</v>
      </c>
      <c r="D116" s="253" t="s">
        <v>45</v>
      </c>
      <c r="E116" s="253" t="s">
        <v>41</v>
      </c>
      <c r="F116" s="253" t="s">
        <v>42</v>
      </c>
      <c r="G116" s="253">
        <v>12</v>
      </c>
      <c r="H116" s="251" t="s">
        <v>11</v>
      </c>
      <c r="I116" s="253">
        <v>17</v>
      </c>
      <c r="J116" s="253">
        <v>16</v>
      </c>
      <c r="K116" s="253" t="s">
        <v>10</v>
      </c>
      <c r="L116" s="253">
        <v>13</v>
      </c>
      <c r="M116" s="253" t="s">
        <v>10</v>
      </c>
      <c r="N116" s="253">
        <v>1</v>
      </c>
    </row>
    <row r="117" spans="1:14" x14ac:dyDescent="0.3">
      <c r="A117" s="253" t="s">
        <v>278</v>
      </c>
      <c r="B117" s="253" t="s">
        <v>935</v>
      </c>
      <c r="C117" s="253" t="s">
        <v>84</v>
      </c>
      <c r="D117" s="253" t="s">
        <v>240</v>
      </c>
      <c r="E117" s="253" t="s">
        <v>896</v>
      </c>
      <c r="F117" s="253" t="s">
        <v>94</v>
      </c>
      <c r="G117" s="253">
        <v>14</v>
      </c>
      <c r="H117" s="251" t="s">
        <v>12</v>
      </c>
      <c r="I117" s="253">
        <v>26</v>
      </c>
      <c r="J117" s="253"/>
      <c r="K117" s="253" t="s">
        <v>661</v>
      </c>
      <c r="L117" s="253"/>
      <c r="M117" s="253" t="s">
        <v>661</v>
      </c>
      <c r="N117" s="253"/>
    </row>
    <row r="118" spans="1:14" x14ac:dyDescent="0.3">
      <c r="A118" s="253" t="s">
        <v>965</v>
      </c>
      <c r="B118" s="253" t="s">
        <v>330</v>
      </c>
      <c r="C118" s="253" t="s">
        <v>84</v>
      </c>
      <c r="D118" s="253" t="s">
        <v>289</v>
      </c>
      <c r="E118" s="253" t="s">
        <v>896</v>
      </c>
      <c r="F118" s="253" t="s">
        <v>42</v>
      </c>
      <c r="G118" s="253">
        <v>14</v>
      </c>
      <c r="H118" s="251" t="s">
        <v>12</v>
      </c>
      <c r="I118" s="253"/>
      <c r="J118" s="253">
        <v>8</v>
      </c>
      <c r="K118" s="253" t="s">
        <v>10</v>
      </c>
      <c r="L118" s="253">
        <v>7</v>
      </c>
      <c r="M118" s="253" t="s">
        <v>10</v>
      </c>
      <c r="N118" s="253">
        <v>6</v>
      </c>
    </row>
    <row r="119" spans="1:14" x14ac:dyDescent="0.3">
      <c r="A119" s="253" t="s">
        <v>275</v>
      </c>
      <c r="B119" s="253" t="s">
        <v>932</v>
      </c>
      <c r="C119" s="253" t="s">
        <v>84</v>
      </c>
      <c r="D119" s="253" t="s">
        <v>240</v>
      </c>
      <c r="E119" s="253" t="s">
        <v>896</v>
      </c>
      <c r="F119" s="253" t="s">
        <v>94</v>
      </c>
      <c r="G119" s="253">
        <v>13</v>
      </c>
      <c r="H119" s="251" t="s">
        <v>12</v>
      </c>
      <c r="I119" s="253">
        <v>25</v>
      </c>
      <c r="J119" s="253"/>
      <c r="K119" s="253" t="s">
        <v>661</v>
      </c>
      <c r="L119" s="253"/>
      <c r="M119" s="253" t="s">
        <v>661</v>
      </c>
      <c r="N119" s="253"/>
    </row>
    <row r="120" spans="1:14" x14ac:dyDescent="0.3">
      <c r="A120" s="253" t="s">
        <v>232</v>
      </c>
      <c r="B120" s="253" t="s">
        <v>918</v>
      </c>
      <c r="C120" s="253" t="s">
        <v>84</v>
      </c>
      <c r="D120" s="253" t="s">
        <v>194</v>
      </c>
      <c r="E120" s="253" t="s">
        <v>896</v>
      </c>
      <c r="F120" s="253" t="s">
        <v>94</v>
      </c>
      <c r="G120" s="253">
        <v>10</v>
      </c>
      <c r="H120" s="251" t="s">
        <v>11</v>
      </c>
      <c r="I120" s="253">
        <v>14</v>
      </c>
      <c r="J120" s="253"/>
      <c r="K120" s="253" t="s">
        <v>661</v>
      </c>
      <c r="L120" s="253"/>
      <c r="M120" s="253" t="s">
        <v>661</v>
      </c>
      <c r="N120" s="253"/>
    </row>
    <row r="121" spans="1:14" x14ac:dyDescent="0.3">
      <c r="A121" s="253" t="s">
        <v>108</v>
      </c>
      <c r="B121" s="253" t="s">
        <v>109</v>
      </c>
      <c r="C121" s="253" t="s">
        <v>8</v>
      </c>
      <c r="D121" s="253" t="s">
        <v>40</v>
      </c>
      <c r="E121" s="253" t="s">
        <v>41</v>
      </c>
      <c r="F121" s="253" t="s">
        <v>42</v>
      </c>
      <c r="G121" s="253">
        <v>8</v>
      </c>
      <c r="H121" s="251" t="s">
        <v>10</v>
      </c>
      <c r="I121" s="253">
        <v>14</v>
      </c>
      <c r="J121" s="253">
        <v>17</v>
      </c>
      <c r="K121" s="253" t="s">
        <v>10</v>
      </c>
      <c r="L121" s="253">
        <v>13</v>
      </c>
      <c r="M121" s="253" t="s">
        <v>10</v>
      </c>
      <c r="N121" s="253">
        <v>1</v>
      </c>
    </row>
    <row r="122" spans="1:14" x14ac:dyDescent="0.3">
      <c r="A122" s="253" t="s">
        <v>302</v>
      </c>
      <c r="B122" s="253" t="s">
        <v>303</v>
      </c>
      <c r="C122" s="253" t="s">
        <v>8</v>
      </c>
      <c r="D122" s="253" t="s">
        <v>304</v>
      </c>
      <c r="E122" s="253" t="s">
        <v>895</v>
      </c>
      <c r="F122" s="253" t="s">
        <v>42</v>
      </c>
      <c r="G122" s="253">
        <v>21</v>
      </c>
      <c r="H122" s="251" t="s">
        <v>351</v>
      </c>
      <c r="I122" s="253">
        <v>27</v>
      </c>
      <c r="J122" s="253">
        <v>7</v>
      </c>
      <c r="K122" s="253" t="s">
        <v>10</v>
      </c>
      <c r="L122" s="253">
        <v>7</v>
      </c>
      <c r="M122" s="253" t="s">
        <v>10</v>
      </c>
      <c r="N122" s="253">
        <v>7</v>
      </c>
    </row>
    <row r="123" spans="1:14" x14ac:dyDescent="0.3">
      <c r="A123" s="253" t="s">
        <v>980</v>
      </c>
      <c r="B123" s="253" t="s">
        <v>338</v>
      </c>
      <c r="C123" s="253" t="s">
        <v>8</v>
      </c>
      <c r="D123" s="253" t="s">
        <v>978</v>
      </c>
      <c r="E123" s="253" t="s">
        <v>896</v>
      </c>
      <c r="F123" s="253" t="s">
        <v>42</v>
      </c>
      <c r="G123" s="253">
        <v>15</v>
      </c>
      <c r="H123" s="251" t="s">
        <v>12</v>
      </c>
      <c r="I123" s="253"/>
      <c r="J123" s="253">
        <v>8</v>
      </c>
      <c r="K123" s="253" t="s">
        <v>10</v>
      </c>
      <c r="L123" s="253">
        <v>7</v>
      </c>
      <c r="M123" s="253" t="s">
        <v>10</v>
      </c>
      <c r="N123" s="253">
        <v>6</v>
      </c>
    </row>
    <row r="124" spans="1:14" x14ac:dyDescent="0.3">
      <c r="A124" s="253" t="s">
        <v>257</v>
      </c>
      <c r="B124" s="253" t="s">
        <v>930</v>
      </c>
      <c r="C124" s="253" t="s">
        <v>8</v>
      </c>
      <c r="D124" s="253" t="s">
        <v>240</v>
      </c>
      <c r="E124" s="253" t="s">
        <v>896</v>
      </c>
      <c r="F124" s="253" t="s">
        <v>94</v>
      </c>
      <c r="G124" s="253">
        <v>16</v>
      </c>
      <c r="H124" s="251" t="s">
        <v>12</v>
      </c>
      <c r="I124" s="253">
        <v>26</v>
      </c>
      <c r="J124" s="253"/>
      <c r="K124" s="253" t="s">
        <v>661</v>
      </c>
      <c r="L124" s="253"/>
      <c r="M124" s="253" t="s">
        <v>661</v>
      </c>
      <c r="N124" s="253"/>
    </row>
    <row r="125" spans="1:14" x14ac:dyDescent="0.3">
      <c r="A125" s="253" t="s">
        <v>967</v>
      </c>
      <c r="B125" s="253" t="s">
        <v>332</v>
      </c>
      <c r="C125" s="253" t="s">
        <v>84</v>
      </c>
      <c r="D125" s="253" t="s">
        <v>289</v>
      </c>
      <c r="E125" s="253" t="s">
        <v>896</v>
      </c>
      <c r="F125" s="253" t="s">
        <v>42</v>
      </c>
      <c r="G125" s="253">
        <v>11</v>
      </c>
      <c r="H125" s="251" t="s">
        <v>11</v>
      </c>
      <c r="I125" s="253"/>
      <c r="J125" s="253">
        <v>15</v>
      </c>
      <c r="K125" s="253" t="s">
        <v>10</v>
      </c>
      <c r="L125" s="253">
        <v>8</v>
      </c>
      <c r="M125" s="253" t="s">
        <v>10</v>
      </c>
      <c r="N125" s="253">
        <v>0</v>
      </c>
    </row>
    <row r="126" spans="1:14" x14ac:dyDescent="0.3">
      <c r="A126" s="253" t="s">
        <v>102</v>
      </c>
      <c r="B126" s="253" t="s">
        <v>103</v>
      </c>
      <c r="C126" s="253" t="s">
        <v>8</v>
      </c>
      <c r="D126" s="253" t="s">
        <v>40</v>
      </c>
      <c r="E126" s="253" t="s">
        <v>41</v>
      </c>
      <c r="F126" s="253" t="s">
        <v>42</v>
      </c>
      <c r="G126" s="253">
        <v>8</v>
      </c>
      <c r="H126" s="251" t="s">
        <v>10</v>
      </c>
      <c r="I126" s="253">
        <v>13</v>
      </c>
      <c r="J126" s="253">
        <v>17</v>
      </c>
      <c r="K126" s="253" t="s">
        <v>10</v>
      </c>
      <c r="L126" s="253">
        <v>10</v>
      </c>
      <c r="M126" s="253" t="s">
        <v>10</v>
      </c>
      <c r="N126" s="253">
        <v>1</v>
      </c>
    </row>
    <row r="127" spans="1:14" x14ac:dyDescent="0.3">
      <c r="A127" s="253" t="s">
        <v>207</v>
      </c>
      <c r="B127" s="253" t="s">
        <v>208</v>
      </c>
      <c r="C127" s="253" t="s">
        <v>8</v>
      </c>
      <c r="D127" s="253" t="s">
        <v>194</v>
      </c>
      <c r="E127" s="253" t="s">
        <v>896</v>
      </c>
      <c r="F127" s="253" t="s">
        <v>42</v>
      </c>
      <c r="G127" s="253">
        <v>11</v>
      </c>
      <c r="H127" s="251" t="s">
        <v>11</v>
      </c>
      <c r="I127" s="253">
        <v>16</v>
      </c>
      <c r="J127" s="253">
        <v>7</v>
      </c>
      <c r="K127" s="253" t="s">
        <v>10</v>
      </c>
      <c r="L127" s="253">
        <v>7</v>
      </c>
      <c r="M127" s="253" t="s">
        <v>10</v>
      </c>
      <c r="N127" s="253">
        <v>8</v>
      </c>
    </row>
    <row r="128" spans="1:14" x14ac:dyDescent="0.3">
      <c r="A128" s="253" t="s">
        <v>123</v>
      </c>
      <c r="B128" s="253" t="s">
        <v>124</v>
      </c>
      <c r="C128" s="253" t="s">
        <v>8</v>
      </c>
      <c r="D128" s="253" t="s">
        <v>40</v>
      </c>
      <c r="E128" s="253" t="s">
        <v>41</v>
      </c>
      <c r="F128" s="253" t="s">
        <v>42</v>
      </c>
      <c r="G128" s="253">
        <v>10</v>
      </c>
      <c r="H128" s="251" t="s">
        <v>11</v>
      </c>
      <c r="I128" s="253">
        <v>17</v>
      </c>
      <c r="J128" s="253">
        <v>17</v>
      </c>
      <c r="K128" s="253" t="s">
        <v>10</v>
      </c>
      <c r="L128" s="253">
        <v>11</v>
      </c>
      <c r="M128" s="253" t="s">
        <v>10</v>
      </c>
      <c r="N128" s="253">
        <v>1</v>
      </c>
    </row>
    <row r="129" spans="1:14" x14ac:dyDescent="0.3">
      <c r="A129" s="253" t="s">
        <v>236</v>
      </c>
      <c r="B129" s="253" t="s">
        <v>920</v>
      </c>
      <c r="C129" s="253" t="s">
        <v>84</v>
      </c>
      <c r="D129" s="253" t="s">
        <v>194</v>
      </c>
      <c r="E129" s="253" t="s">
        <v>896</v>
      </c>
      <c r="F129" s="253" t="s">
        <v>94</v>
      </c>
      <c r="G129" s="253">
        <v>10</v>
      </c>
      <c r="H129" s="251" t="s">
        <v>11</v>
      </c>
      <c r="I129" s="253">
        <v>15</v>
      </c>
      <c r="J129" s="253"/>
      <c r="K129" s="253" t="s">
        <v>661</v>
      </c>
      <c r="L129" s="253"/>
      <c r="M129" s="253" t="s">
        <v>661</v>
      </c>
      <c r="N129" s="253"/>
    </row>
    <row r="130" spans="1:14" x14ac:dyDescent="0.3">
      <c r="A130" s="253" t="s">
        <v>211</v>
      </c>
      <c r="B130" s="253" t="s">
        <v>911</v>
      </c>
      <c r="C130" s="253" t="s">
        <v>8</v>
      </c>
      <c r="D130" s="253" t="s">
        <v>194</v>
      </c>
      <c r="E130" s="253" t="s">
        <v>896</v>
      </c>
      <c r="F130" s="253" t="s">
        <v>94</v>
      </c>
      <c r="G130" s="253">
        <v>12</v>
      </c>
      <c r="H130" s="251" t="s">
        <v>11</v>
      </c>
      <c r="I130" s="253">
        <v>17</v>
      </c>
      <c r="J130" s="253"/>
      <c r="K130" s="253" t="s">
        <v>661</v>
      </c>
      <c r="L130" s="253"/>
      <c r="M130" s="253" t="s">
        <v>661</v>
      </c>
      <c r="N130" s="253"/>
    </row>
    <row r="131" spans="1:14" x14ac:dyDescent="0.3">
      <c r="A131" s="253" t="s">
        <v>197</v>
      </c>
      <c r="B131" s="253" t="s">
        <v>198</v>
      </c>
      <c r="C131" s="253" t="s">
        <v>8</v>
      </c>
      <c r="D131" s="253" t="s">
        <v>194</v>
      </c>
      <c r="E131" s="253" t="s">
        <v>896</v>
      </c>
      <c r="F131" s="253" t="s">
        <v>42</v>
      </c>
      <c r="G131" s="253">
        <v>15</v>
      </c>
      <c r="H131" s="251" t="s">
        <v>12</v>
      </c>
      <c r="I131" s="253">
        <v>19</v>
      </c>
      <c r="J131" s="253">
        <v>9</v>
      </c>
      <c r="K131" s="253" t="s">
        <v>10</v>
      </c>
      <c r="L131" s="253">
        <v>7</v>
      </c>
      <c r="M131" s="253" t="s">
        <v>10</v>
      </c>
      <c r="N131" s="253">
        <v>5</v>
      </c>
    </row>
    <row r="132" spans="1:14" x14ac:dyDescent="0.3">
      <c r="A132" s="253" t="s">
        <v>239</v>
      </c>
      <c r="B132" s="253" t="s">
        <v>921</v>
      </c>
      <c r="C132" s="253" t="s">
        <v>8</v>
      </c>
      <c r="D132" s="253" t="s">
        <v>240</v>
      </c>
      <c r="E132" s="253" t="s">
        <v>896</v>
      </c>
      <c r="F132" s="253" t="s">
        <v>94</v>
      </c>
      <c r="G132" s="253">
        <v>15</v>
      </c>
      <c r="H132" s="251" t="s">
        <v>12</v>
      </c>
      <c r="I132" s="253">
        <v>23</v>
      </c>
      <c r="J132" s="253"/>
      <c r="K132" s="253" t="s">
        <v>661</v>
      </c>
      <c r="L132" s="253"/>
      <c r="M132" s="253" t="s">
        <v>661</v>
      </c>
      <c r="N132" s="253"/>
    </row>
    <row r="133" spans="1:14" x14ac:dyDescent="0.3">
      <c r="A133" s="253" t="s">
        <v>301</v>
      </c>
      <c r="B133" s="253" t="s">
        <v>951</v>
      </c>
      <c r="C133" s="253" t="s">
        <v>84</v>
      </c>
      <c r="D133" s="253" t="s">
        <v>240</v>
      </c>
      <c r="E133" s="253" t="s">
        <v>896</v>
      </c>
      <c r="F133" s="253" t="s">
        <v>94</v>
      </c>
      <c r="G133" s="253">
        <v>10</v>
      </c>
      <c r="H133" s="251" t="s">
        <v>11</v>
      </c>
      <c r="I133" s="253">
        <v>21</v>
      </c>
      <c r="J133" s="253"/>
      <c r="K133" s="253" t="s">
        <v>661</v>
      </c>
      <c r="L133" s="253"/>
      <c r="M133" s="253" t="s">
        <v>661</v>
      </c>
      <c r="N133" s="253"/>
    </row>
    <row r="134" spans="1:14" x14ac:dyDescent="0.3">
      <c r="A134" s="253" t="s">
        <v>243</v>
      </c>
      <c r="B134" s="253" t="s">
        <v>922</v>
      </c>
      <c r="C134" s="253" t="s">
        <v>8</v>
      </c>
      <c r="D134" s="253" t="s">
        <v>240</v>
      </c>
      <c r="E134" s="253" t="s">
        <v>896</v>
      </c>
      <c r="F134" s="253" t="s">
        <v>94</v>
      </c>
      <c r="G134" s="253">
        <v>11</v>
      </c>
      <c r="H134" s="251" t="s">
        <v>11</v>
      </c>
      <c r="I134" s="253">
        <v>23</v>
      </c>
      <c r="J134" s="253"/>
      <c r="K134" s="253" t="s">
        <v>661</v>
      </c>
      <c r="L134" s="253"/>
      <c r="M134" s="253" t="s">
        <v>661</v>
      </c>
      <c r="N134" s="253"/>
    </row>
    <row r="135" spans="1:14" x14ac:dyDescent="0.3">
      <c r="A135" s="253" t="s">
        <v>286</v>
      </c>
      <c r="B135" s="253" t="s">
        <v>941</v>
      </c>
      <c r="C135" s="253" t="s">
        <v>84</v>
      </c>
      <c r="D135" s="253" t="s">
        <v>240</v>
      </c>
      <c r="E135" s="253" t="s">
        <v>896</v>
      </c>
      <c r="F135" s="253" t="s">
        <v>94</v>
      </c>
      <c r="G135" s="253">
        <v>21</v>
      </c>
      <c r="H135" s="251" t="s">
        <v>351</v>
      </c>
      <c r="I135" s="253">
        <v>28</v>
      </c>
      <c r="J135" s="253"/>
      <c r="K135" s="253" t="s">
        <v>661</v>
      </c>
      <c r="L135" s="253"/>
      <c r="M135" s="253" t="s">
        <v>661</v>
      </c>
      <c r="N135" s="253"/>
    </row>
    <row r="136" spans="1:14" x14ac:dyDescent="0.3">
      <c r="A136" s="253" t="s">
        <v>291</v>
      </c>
      <c r="B136" s="253" t="s">
        <v>945</v>
      </c>
      <c r="C136" s="253" t="s">
        <v>84</v>
      </c>
      <c r="D136" s="253" t="s">
        <v>240</v>
      </c>
      <c r="E136" s="253" t="s">
        <v>896</v>
      </c>
      <c r="F136" s="253" t="s">
        <v>94</v>
      </c>
      <c r="G136" s="253">
        <v>9</v>
      </c>
      <c r="H136" s="251" t="s">
        <v>10</v>
      </c>
      <c r="I136" s="253">
        <v>19</v>
      </c>
      <c r="J136" s="253"/>
      <c r="K136" s="253" t="s">
        <v>661</v>
      </c>
      <c r="L136" s="253"/>
      <c r="M136" s="253" t="s">
        <v>661</v>
      </c>
      <c r="N136" s="253"/>
    </row>
    <row r="137" spans="1:14" x14ac:dyDescent="0.3">
      <c r="A137" s="253" t="s">
        <v>164</v>
      </c>
      <c r="B137" s="253" t="s">
        <v>165</v>
      </c>
      <c r="C137" s="253" t="s">
        <v>84</v>
      </c>
      <c r="D137" s="253" t="s">
        <v>139</v>
      </c>
      <c r="E137" s="253" t="s">
        <v>895</v>
      </c>
      <c r="F137" s="253" t="s">
        <v>42</v>
      </c>
      <c r="G137" s="253">
        <v>13</v>
      </c>
      <c r="H137" s="251" t="s">
        <v>12</v>
      </c>
      <c r="I137" s="253">
        <v>18</v>
      </c>
      <c r="J137" s="253">
        <v>14</v>
      </c>
      <c r="K137" s="253" t="s">
        <v>10</v>
      </c>
      <c r="L137" s="253">
        <v>8</v>
      </c>
      <c r="M137" s="253" t="s">
        <v>10</v>
      </c>
      <c r="N137" s="253">
        <v>1</v>
      </c>
    </row>
    <row r="138" spans="1:14" x14ac:dyDescent="0.3">
      <c r="A138" s="253" t="s">
        <v>966</v>
      </c>
      <c r="B138" s="253" t="s">
        <v>331</v>
      </c>
      <c r="C138" s="253" t="s">
        <v>84</v>
      </c>
      <c r="D138" s="253" t="s">
        <v>289</v>
      </c>
      <c r="E138" s="253" t="s">
        <v>896</v>
      </c>
      <c r="F138" s="253" t="s">
        <v>42</v>
      </c>
      <c r="G138" s="253">
        <v>14</v>
      </c>
      <c r="H138" s="251" t="s">
        <v>12</v>
      </c>
      <c r="I138" s="253"/>
      <c r="J138" s="253">
        <v>7</v>
      </c>
      <c r="K138" s="253" t="s">
        <v>10</v>
      </c>
      <c r="L138" s="253">
        <v>7</v>
      </c>
      <c r="M138" s="253" t="s">
        <v>10</v>
      </c>
      <c r="N138" s="253">
        <v>7</v>
      </c>
    </row>
    <row r="139" spans="1:14" x14ac:dyDescent="0.3">
      <c r="A139" s="253" t="s">
        <v>100</v>
      </c>
      <c r="B139" s="253" t="s">
        <v>900</v>
      </c>
      <c r="C139" s="253" t="s">
        <v>8</v>
      </c>
      <c r="D139" s="253" t="s">
        <v>40</v>
      </c>
      <c r="E139" s="253" t="s">
        <v>41</v>
      </c>
      <c r="F139" s="253" t="s">
        <v>94</v>
      </c>
      <c r="G139" s="253">
        <v>7</v>
      </c>
      <c r="H139" s="251" t="s">
        <v>10</v>
      </c>
      <c r="I139" s="253">
        <v>11</v>
      </c>
      <c r="J139" s="253"/>
      <c r="K139" s="253" t="s">
        <v>661</v>
      </c>
      <c r="L139" s="253"/>
      <c r="M139" s="253" t="s">
        <v>661</v>
      </c>
      <c r="N139" s="253"/>
    </row>
    <row r="140" spans="1:14" x14ac:dyDescent="0.3">
      <c r="A140" s="253" t="s">
        <v>979</v>
      </c>
      <c r="B140" s="253" t="s">
        <v>337</v>
      </c>
      <c r="C140" s="253" t="s">
        <v>8</v>
      </c>
      <c r="D140" s="253" t="s">
        <v>978</v>
      </c>
      <c r="E140" s="253" t="s">
        <v>896</v>
      </c>
      <c r="F140" s="253" t="s">
        <v>42</v>
      </c>
      <c r="G140" s="253">
        <v>15</v>
      </c>
      <c r="H140" s="251" t="s">
        <v>12</v>
      </c>
      <c r="I140" s="253"/>
      <c r="J140" s="253">
        <v>9</v>
      </c>
      <c r="K140" s="253" t="s">
        <v>10</v>
      </c>
      <c r="L140" s="253">
        <v>7</v>
      </c>
      <c r="M140" s="253" t="s">
        <v>10</v>
      </c>
      <c r="N140" s="253">
        <v>5</v>
      </c>
    </row>
    <row r="141" spans="1:14" x14ac:dyDescent="0.3">
      <c r="A141" s="253" t="s">
        <v>285</v>
      </c>
      <c r="B141" s="253" t="s">
        <v>940</v>
      </c>
      <c r="C141" s="253" t="s">
        <v>84</v>
      </c>
      <c r="D141" s="253" t="s">
        <v>240</v>
      </c>
      <c r="E141" s="253" t="s">
        <v>896</v>
      </c>
      <c r="F141" s="253" t="s">
        <v>94</v>
      </c>
      <c r="G141" s="253">
        <v>13</v>
      </c>
      <c r="H141" s="251" t="s">
        <v>12</v>
      </c>
      <c r="I141" s="253">
        <v>24</v>
      </c>
      <c r="J141" s="253"/>
      <c r="K141" s="253" t="s">
        <v>661</v>
      </c>
      <c r="L141" s="253"/>
      <c r="M141" s="253" t="s">
        <v>661</v>
      </c>
      <c r="N141" s="253"/>
    </row>
    <row r="142" spans="1:14" x14ac:dyDescent="0.3">
      <c r="A142" s="253" t="s">
        <v>266</v>
      </c>
      <c r="B142" s="253" t="s">
        <v>267</v>
      </c>
      <c r="C142" s="253" t="s">
        <v>8</v>
      </c>
      <c r="D142" s="253" t="s">
        <v>240</v>
      </c>
      <c r="E142" s="253" t="s">
        <v>896</v>
      </c>
      <c r="F142" s="253" t="s">
        <v>94</v>
      </c>
      <c r="G142" s="253">
        <v>11</v>
      </c>
      <c r="H142" s="251" t="s">
        <v>11</v>
      </c>
      <c r="I142" s="253">
        <v>23</v>
      </c>
      <c r="J142" s="253">
        <v>16</v>
      </c>
      <c r="K142" s="253" t="s">
        <v>10</v>
      </c>
      <c r="L142" s="253"/>
      <c r="M142" s="253" t="s">
        <v>10</v>
      </c>
      <c r="N142" s="253">
        <v>2</v>
      </c>
    </row>
    <row r="143" spans="1:14" x14ac:dyDescent="0.3">
      <c r="A143" s="253" t="s">
        <v>244</v>
      </c>
      <c r="B143" s="253" t="s">
        <v>923</v>
      </c>
      <c r="C143" s="253" t="s">
        <v>8</v>
      </c>
      <c r="D143" s="253" t="s">
        <v>240</v>
      </c>
      <c r="E143" s="253" t="s">
        <v>896</v>
      </c>
      <c r="F143" s="253" t="s">
        <v>94</v>
      </c>
      <c r="G143" s="253">
        <v>14</v>
      </c>
      <c r="H143" s="251" t="s">
        <v>12</v>
      </c>
      <c r="I143" s="253">
        <v>24</v>
      </c>
      <c r="J143" s="253"/>
      <c r="K143" s="253" t="s">
        <v>661</v>
      </c>
      <c r="L143" s="253"/>
      <c r="M143" s="253" t="s">
        <v>661</v>
      </c>
      <c r="N143" s="253"/>
    </row>
    <row r="144" spans="1:14" x14ac:dyDescent="0.3">
      <c r="A144" s="253" t="s">
        <v>132</v>
      </c>
      <c r="B144" s="253" t="s">
        <v>906</v>
      </c>
      <c r="C144" s="253" t="s">
        <v>84</v>
      </c>
      <c r="D144" s="253" t="s">
        <v>40</v>
      </c>
      <c r="E144" s="253" t="s">
        <v>41</v>
      </c>
      <c r="F144" s="253" t="s">
        <v>94</v>
      </c>
      <c r="G144" s="253">
        <v>7</v>
      </c>
      <c r="H144" s="251" t="s">
        <v>10</v>
      </c>
      <c r="I144" s="253">
        <v>12</v>
      </c>
      <c r="J144" s="253"/>
      <c r="K144" s="253" t="s">
        <v>661</v>
      </c>
      <c r="L144" s="253"/>
      <c r="M144" s="253" t="s">
        <v>661</v>
      </c>
      <c r="N144" s="253"/>
    </row>
    <row r="145" spans="1:14" x14ac:dyDescent="0.3">
      <c r="A145" s="253" t="s">
        <v>131</v>
      </c>
      <c r="B145" s="253" t="s">
        <v>905</v>
      </c>
      <c r="C145" s="253" t="s">
        <v>84</v>
      </c>
      <c r="D145" s="253" t="s">
        <v>40</v>
      </c>
      <c r="E145" s="253" t="s">
        <v>41</v>
      </c>
      <c r="F145" s="253" t="s">
        <v>94</v>
      </c>
      <c r="G145" s="253">
        <v>7</v>
      </c>
      <c r="H145" s="251" t="s">
        <v>10</v>
      </c>
      <c r="I145" s="253">
        <v>12</v>
      </c>
      <c r="J145" s="253"/>
      <c r="K145" s="253" t="s">
        <v>661</v>
      </c>
      <c r="L145" s="253"/>
      <c r="M145" s="253" t="s">
        <v>661</v>
      </c>
      <c r="N145" s="253"/>
    </row>
    <row r="146" spans="1:14" x14ac:dyDescent="0.3">
      <c r="A146" s="253" t="s">
        <v>110</v>
      </c>
      <c r="B146" s="253" t="s">
        <v>111</v>
      </c>
      <c r="C146" s="253" t="s">
        <v>8</v>
      </c>
      <c r="D146" s="253" t="s">
        <v>40</v>
      </c>
      <c r="E146" s="253" t="s">
        <v>41</v>
      </c>
      <c r="F146" s="253" t="s">
        <v>42</v>
      </c>
      <c r="G146" s="253">
        <v>6</v>
      </c>
      <c r="H146" s="251" t="s">
        <v>10</v>
      </c>
      <c r="I146" s="253">
        <v>11</v>
      </c>
      <c r="J146" s="253">
        <v>13</v>
      </c>
      <c r="K146" s="253" t="s">
        <v>10</v>
      </c>
      <c r="L146" s="253">
        <v>10</v>
      </c>
      <c r="M146" s="253" t="s">
        <v>10</v>
      </c>
      <c r="N146" s="253">
        <v>2</v>
      </c>
    </row>
    <row r="147" spans="1:14" x14ac:dyDescent="0.3">
      <c r="A147" s="253" t="s">
        <v>136</v>
      </c>
      <c r="B147" s="253" t="s">
        <v>910</v>
      </c>
      <c r="C147" s="253" t="s">
        <v>84</v>
      </c>
      <c r="D147" s="253" t="s">
        <v>40</v>
      </c>
      <c r="E147" s="253" t="s">
        <v>41</v>
      </c>
      <c r="F147" s="253" t="s">
        <v>94</v>
      </c>
      <c r="G147" s="253">
        <v>7</v>
      </c>
      <c r="H147" s="251" t="s">
        <v>10</v>
      </c>
      <c r="I147" s="253">
        <v>11</v>
      </c>
      <c r="J147" s="253"/>
      <c r="K147" s="253" t="s">
        <v>661</v>
      </c>
      <c r="L147" s="253"/>
      <c r="M147" s="253" t="s">
        <v>661</v>
      </c>
      <c r="N147" s="253"/>
    </row>
    <row r="148" spans="1:14" x14ac:dyDescent="0.3">
      <c r="A148" s="253" t="s">
        <v>99</v>
      </c>
      <c r="B148" s="253" t="s">
        <v>899</v>
      </c>
      <c r="C148" s="253" t="s">
        <v>8</v>
      </c>
      <c r="D148" s="253" t="s">
        <v>40</v>
      </c>
      <c r="E148" s="253" t="s">
        <v>41</v>
      </c>
      <c r="F148" s="253" t="s">
        <v>94</v>
      </c>
      <c r="G148" s="253">
        <v>8</v>
      </c>
      <c r="H148" s="251" t="s">
        <v>10</v>
      </c>
      <c r="I148" s="253">
        <v>12</v>
      </c>
      <c r="J148" s="253"/>
      <c r="K148" s="253" t="s">
        <v>661</v>
      </c>
      <c r="L148" s="253"/>
      <c r="M148" s="253" t="s">
        <v>661</v>
      </c>
      <c r="N148" s="253"/>
    </row>
    <row r="149" spans="1:14" x14ac:dyDescent="0.3">
      <c r="A149" s="253" t="s">
        <v>288</v>
      </c>
      <c r="B149" s="253" t="s">
        <v>943</v>
      </c>
      <c r="C149" s="253" t="s">
        <v>84</v>
      </c>
      <c r="D149" s="253" t="s">
        <v>289</v>
      </c>
      <c r="E149" s="253" t="s">
        <v>896</v>
      </c>
      <c r="F149" s="253" t="s">
        <v>94</v>
      </c>
      <c r="G149" s="253">
        <v>16</v>
      </c>
      <c r="H149" s="251" t="s">
        <v>12</v>
      </c>
      <c r="I149" s="253">
        <v>28</v>
      </c>
      <c r="J149" s="253"/>
      <c r="K149" s="253" t="s">
        <v>661</v>
      </c>
      <c r="L149" s="253"/>
      <c r="M149" s="253" t="s">
        <v>661</v>
      </c>
      <c r="N149" s="253"/>
    </row>
    <row r="150" spans="1:14" x14ac:dyDescent="0.3">
      <c r="A150" s="253" t="s">
        <v>300</v>
      </c>
      <c r="B150" s="253" t="s">
        <v>950</v>
      </c>
      <c r="C150" s="253" t="s">
        <v>84</v>
      </c>
      <c r="D150" s="253" t="s">
        <v>240</v>
      </c>
      <c r="E150" s="253" t="s">
        <v>896</v>
      </c>
      <c r="F150" s="253" t="s">
        <v>94</v>
      </c>
      <c r="G150" s="253">
        <v>15</v>
      </c>
      <c r="H150" s="251" t="s">
        <v>12</v>
      </c>
      <c r="I150" s="253">
        <v>28</v>
      </c>
      <c r="J150" s="253"/>
      <c r="K150" s="253" t="s">
        <v>661</v>
      </c>
      <c r="L150" s="253"/>
      <c r="M150" s="253" t="s">
        <v>661</v>
      </c>
      <c r="N150" s="253"/>
    </row>
    <row r="151" spans="1:14" x14ac:dyDescent="0.3">
      <c r="A151" s="253" t="s">
        <v>295</v>
      </c>
      <c r="B151" s="253" t="s">
        <v>947</v>
      </c>
      <c r="C151" s="253" t="s">
        <v>84</v>
      </c>
      <c r="D151" s="253" t="s">
        <v>240</v>
      </c>
      <c r="E151" s="253" t="s">
        <v>896</v>
      </c>
      <c r="F151" s="253" t="s">
        <v>94</v>
      </c>
      <c r="G151" s="253">
        <v>11</v>
      </c>
      <c r="H151" s="251" t="s">
        <v>11</v>
      </c>
      <c r="I151" s="253">
        <v>20</v>
      </c>
      <c r="J151" s="253"/>
      <c r="K151" s="253" t="s">
        <v>661</v>
      </c>
      <c r="L151" s="253"/>
      <c r="M151" s="253" t="s">
        <v>661</v>
      </c>
      <c r="N151" s="253"/>
    </row>
    <row r="152" spans="1:14" x14ac:dyDescent="0.3">
      <c r="A152" s="253" t="s">
        <v>292</v>
      </c>
      <c r="B152" s="253" t="s">
        <v>946</v>
      </c>
      <c r="C152" s="253" t="s">
        <v>84</v>
      </c>
      <c r="D152" s="253" t="s">
        <v>240</v>
      </c>
      <c r="E152" s="253" t="s">
        <v>896</v>
      </c>
      <c r="F152" s="253" t="s">
        <v>94</v>
      </c>
      <c r="G152" s="253">
        <v>10</v>
      </c>
      <c r="H152" s="251" t="s">
        <v>11</v>
      </c>
      <c r="I152" s="253">
        <v>22</v>
      </c>
      <c r="J152" s="253"/>
      <c r="K152" s="253" t="s">
        <v>661</v>
      </c>
      <c r="L152" s="253"/>
      <c r="M152" s="253" t="s">
        <v>661</v>
      </c>
      <c r="N152" s="253"/>
    </row>
    <row r="153" spans="1:14" x14ac:dyDescent="0.3">
      <c r="A153" s="253" t="s">
        <v>282</v>
      </c>
      <c r="B153" s="253" t="s">
        <v>939</v>
      </c>
      <c r="C153" s="253" t="s">
        <v>84</v>
      </c>
      <c r="D153" s="253" t="s">
        <v>240</v>
      </c>
      <c r="E153" s="253" t="s">
        <v>896</v>
      </c>
      <c r="F153" s="253" t="s">
        <v>94</v>
      </c>
      <c r="G153" s="253">
        <v>11</v>
      </c>
      <c r="H153" s="251" t="s">
        <v>11</v>
      </c>
      <c r="I153" s="253">
        <v>20</v>
      </c>
      <c r="J153" s="253"/>
      <c r="K153" s="253" t="s">
        <v>661</v>
      </c>
      <c r="L153" s="253"/>
      <c r="M153" s="253" t="s">
        <v>661</v>
      </c>
      <c r="N153" s="253"/>
    </row>
    <row r="154" spans="1:14" x14ac:dyDescent="0.3">
      <c r="A154" s="253" t="s">
        <v>296</v>
      </c>
      <c r="B154" s="253" t="s">
        <v>948</v>
      </c>
      <c r="C154" s="253" t="s">
        <v>84</v>
      </c>
      <c r="D154" s="253" t="s">
        <v>240</v>
      </c>
      <c r="E154" s="253" t="s">
        <v>896</v>
      </c>
      <c r="F154" s="253" t="s">
        <v>94</v>
      </c>
      <c r="G154" s="253">
        <v>10</v>
      </c>
      <c r="H154" s="251" t="s">
        <v>11</v>
      </c>
      <c r="I154" s="253">
        <v>19</v>
      </c>
      <c r="J154" s="253"/>
      <c r="K154" s="253" t="s">
        <v>661</v>
      </c>
      <c r="L154" s="253"/>
      <c r="M154" s="253" t="s">
        <v>661</v>
      </c>
      <c r="N154" s="253"/>
    </row>
    <row r="155" spans="1:14" x14ac:dyDescent="0.3">
      <c r="A155" s="253" t="s">
        <v>221</v>
      </c>
      <c r="B155" s="253" t="s">
        <v>913</v>
      </c>
      <c r="C155" s="253" t="s">
        <v>84</v>
      </c>
      <c r="D155" s="253" t="s">
        <v>194</v>
      </c>
      <c r="E155" s="253" t="s">
        <v>896</v>
      </c>
      <c r="F155" s="253" t="s">
        <v>94</v>
      </c>
      <c r="G155" s="253">
        <v>11</v>
      </c>
      <c r="H155" s="251" t="s">
        <v>11</v>
      </c>
      <c r="I155" s="253">
        <v>16</v>
      </c>
      <c r="J155" s="253"/>
      <c r="K155" s="253" t="s">
        <v>661</v>
      </c>
      <c r="L155" s="253"/>
      <c r="M155" s="253" t="s">
        <v>661</v>
      </c>
      <c r="N155" s="253"/>
    </row>
    <row r="156" spans="1:14" x14ac:dyDescent="0.3">
      <c r="A156" s="253" t="s">
        <v>222</v>
      </c>
      <c r="B156" s="253" t="s">
        <v>914</v>
      </c>
      <c r="C156" s="253" t="s">
        <v>84</v>
      </c>
      <c r="D156" s="253" t="s">
        <v>194</v>
      </c>
      <c r="E156" s="253" t="s">
        <v>896</v>
      </c>
      <c r="F156" s="253" t="s">
        <v>94</v>
      </c>
      <c r="G156" s="253">
        <v>15</v>
      </c>
      <c r="H156" s="251" t="s">
        <v>12</v>
      </c>
      <c r="I156" s="253">
        <v>20</v>
      </c>
      <c r="J156" s="253"/>
      <c r="K156" s="253" t="s">
        <v>661</v>
      </c>
      <c r="L156" s="253"/>
      <c r="M156" s="253" t="s">
        <v>661</v>
      </c>
      <c r="N156" s="253"/>
    </row>
    <row r="157" spans="1:14" x14ac:dyDescent="0.3">
      <c r="A157" s="253" t="s">
        <v>290</v>
      </c>
      <c r="B157" s="253" t="s">
        <v>944</v>
      </c>
      <c r="C157" s="253" t="s">
        <v>84</v>
      </c>
      <c r="D157" s="253" t="s">
        <v>240</v>
      </c>
      <c r="E157" s="253" t="s">
        <v>896</v>
      </c>
      <c r="F157" s="253" t="s">
        <v>94</v>
      </c>
      <c r="G157" s="253">
        <v>21</v>
      </c>
      <c r="H157" s="251" t="s">
        <v>351</v>
      </c>
      <c r="I157" s="253">
        <v>29</v>
      </c>
      <c r="J157" s="253"/>
      <c r="K157" s="253" t="s">
        <v>661</v>
      </c>
      <c r="L157" s="253"/>
      <c r="M157" s="253" t="s">
        <v>661</v>
      </c>
      <c r="N157" s="253"/>
    </row>
    <row r="158" spans="1:14" x14ac:dyDescent="0.3">
      <c r="A158" s="253" t="s">
        <v>233</v>
      </c>
      <c r="B158" s="253" t="s">
        <v>919</v>
      </c>
      <c r="C158" s="253" t="s">
        <v>84</v>
      </c>
      <c r="D158" s="253" t="s">
        <v>194</v>
      </c>
      <c r="E158" s="253" t="s">
        <v>896</v>
      </c>
      <c r="F158" s="253" t="s">
        <v>94</v>
      </c>
      <c r="G158" s="253">
        <v>12</v>
      </c>
      <c r="H158" s="251" t="s">
        <v>11</v>
      </c>
      <c r="I158" s="253">
        <v>18</v>
      </c>
      <c r="J158" s="253"/>
      <c r="K158" s="253" t="s">
        <v>661</v>
      </c>
      <c r="L158" s="253"/>
      <c r="M158" s="253" t="s">
        <v>661</v>
      </c>
      <c r="N158" s="253"/>
    </row>
    <row r="159" spans="1:14" x14ac:dyDescent="0.3">
      <c r="A159" s="253" t="s">
        <v>227</v>
      </c>
      <c r="B159" s="253" t="s">
        <v>915</v>
      </c>
      <c r="C159" s="253" t="s">
        <v>84</v>
      </c>
      <c r="D159" s="253" t="s">
        <v>194</v>
      </c>
      <c r="E159" s="253" t="s">
        <v>896</v>
      </c>
      <c r="F159" s="253" t="s">
        <v>94</v>
      </c>
      <c r="G159" s="253">
        <v>13</v>
      </c>
      <c r="H159" s="251" t="s">
        <v>12</v>
      </c>
      <c r="I159" s="253">
        <v>18</v>
      </c>
      <c r="J159" s="253"/>
      <c r="K159" s="253" t="s">
        <v>661</v>
      </c>
      <c r="L159" s="253"/>
      <c r="M159" s="253" t="s">
        <v>661</v>
      </c>
      <c r="N159" s="253"/>
    </row>
    <row r="160" spans="1:14" x14ac:dyDescent="0.3">
      <c r="A160" s="253" t="s">
        <v>277</v>
      </c>
      <c r="B160" s="253" t="s">
        <v>934</v>
      </c>
      <c r="C160" s="253" t="s">
        <v>84</v>
      </c>
      <c r="D160" s="253" t="s">
        <v>240</v>
      </c>
      <c r="E160" s="253" t="s">
        <v>896</v>
      </c>
      <c r="F160" s="253" t="s">
        <v>94</v>
      </c>
      <c r="G160" s="253">
        <v>13</v>
      </c>
      <c r="H160" s="251" t="s">
        <v>12</v>
      </c>
      <c r="I160" s="253">
        <v>21</v>
      </c>
      <c r="J160" s="253"/>
      <c r="K160" s="253" t="s">
        <v>661</v>
      </c>
      <c r="L160" s="253"/>
      <c r="M160" s="253" t="s">
        <v>661</v>
      </c>
      <c r="N160" s="253"/>
    </row>
    <row r="161" spans="1:14" x14ac:dyDescent="0.3">
      <c r="A161" s="253" t="s">
        <v>952</v>
      </c>
      <c r="B161" s="253" t="s">
        <v>953</v>
      </c>
      <c r="C161" s="253" t="s">
        <v>8</v>
      </c>
      <c r="D161" s="253" t="s">
        <v>289</v>
      </c>
      <c r="E161" s="253" t="s">
        <v>896</v>
      </c>
      <c r="F161" s="253" t="s">
        <v>94</v>
      </c>
      <c r="G161" s="253">
        <v>11</v>
      </c>
      <c r="H161" s="251" t="s">
        <v>11</v>
      </c>
      <c r="I161" s="253"/>
      <c r="J161" s="253"/>
      <c r="K161" s="253" t="s">
        <v>661</v>
      </c>
      <c r="L161" s="253"/>
      <c r="M161" s="253" t="s">
        <v>661</v>
      </c>
      <c r="N161" s="253"/>
    </row>
    <row r="162" spans="1:14" x14ac:dyDescent="0.3">
      <c r="A162" s="253" t="s">
        <v>962</v>
      </c>
      <c r="B162" s="253" t="s">
        <v>963</v>
      </c>
      <c r="C162" s="253" t="s">
        <v>84</v>
      </c>
      <c r="D162" s="253" t="s">
        <v>289</v>
      </c>
      <c r="E162" s="253" t="s">
        <v>896</v>
      </c>
      <c r="F162" s="253" t="s">
        <v>94</v>
      </c>
      <c r="G162" s="253">
        <v>14</v>
      </c>
      <c r="H162" s="251" t="s">
        <v>12</v>
      </c>
      <c r="I162" s="253"/>
      <c r="J162" s="253"/>
      <c r="K162" s="253" t="s">
        <v>661</v>
      </c>
      <c r="L162" s="253"/>
      <c r="M162" s="253" t="s">
        <v>661</v>
      </c>
      <c r="N162" s="253"/>
    </row>
    <row r="163" spans="1:14" x14ac:dyDescent="0.3">
      <c r="A163" s="253" t="s">
        <v>281</v>
      </c>
      <c r="B163" s="253" t="s">
        <v>938</v>
      </c>
      <c r="C163" s="253" t="s">
        <v>84</v>
      </c>
      <c r="D163" s="253" t="s">
        <v>240</v>
      </c>
      <c r="E163" s="253" t="s">
        <v>896</v>
      </c>
      <c r="F163" s="253" t="s">
        <v>94</v>
      </c>
      <c r="G163" s="253">
        <v>21</v>
      </c>
      <c r="H163" s="251" t="s">
        <v>351</v>
      </c>
      <c r="I163" s="253">
        <v>26</v>
      </c>
      <c r="J163" s="253"/>
      <c r="K163" s="253" t="s">
        <v>661</v>
      </c>
      <c r="L163" s="253"/>
      <c r="M163" s="253" t="s">
        <v>661</v>
      </c>
      <c r="N163" s="253"/>
    </row>
    <row r="164" spans="1:14" x14ac:dyDescent="0.3">
      <c r="A164" s="253" t="s">
        <v>279</v>
      </c>
      <c r="B164" s="253" t="s">
        <v>936</v>
      </c>
      <c r="C164" s="253" t="s">
        <v>84</v>
      </c>
      <c r="D164" s="253" t="s">
        <v>240</v>
      </c>
      <c r="E164" s="253" t="s">
        <v>896</v>
      </c>
      <c r="F164" s="253" t="s">
        <v>94</v>
      </c>
      <c r="G164" s="253">
        <v>13</v>
      </c>
      <c r="H164" s="251" t="s">
        <v>12</v>
      </c>
      <c r="I164" s="253">
        <v>21</v>
      </c>
      <c r="J164" s="253"/>
      <c r="K164" s="253" t="s">
        <v>661</v>
      </c>
      <c r="L164" s="253"/>
      <c r="M164" s="253" t="s">
        <v>661</v>
      </c>
      <c r="N164" s="253"/>
    </row>
    <row r="165" spans="1:14" x14ac:dyDescent="0.3">
      <c r="A165" s="253" t="s">
        <v>971</v>
      </c>
      <c r="B165" s="253" t="s">
        <v>972</v>
      </c>
      <c r="C165" s="253" t="s">
        <v>84</v>
      </c>
      <c r="D165" s="253" t="s">
        <v>289</v>
      </c>
      <c r="E165" s="253" t="s">
        <v>896</v>
      </c>
      <c r="F165" s="253" t="s">
        <v>94</v>
      </c>
      <c r="G165" s="253">
        <v>9</v>
      </c>
      <c r="H165" s="251" t="s">
        <v>10</v>
      </c>
      <c r="I165" s="253"/>
      <c r="J165" s="253"/>
      <c r="K165" s="253" t="s">
        <v>661</v>
      </c>
      <c r="L165" s="253"/>
      <c r="M165" s="253" t="s">
        <v>661</v>
      </c>
      <c r="N165" s="253"/>
    </row>
    <row r="166" spans="1:14" x14ac:dyDescent="0.3">
      <c r="A166" s="253" t="s">
        <v>248</v>
      </c>
      <c r="B166" s="253" t="s">
        <v>925</v>
      </c>
      <c r="C166" s="253" t="s">
        <v>8</v>
      </c>
      <c r="D166" s="253" t="s">
        <v>240</v>
      </c>
      <c r="E166" s="253" t="s">
        <v>896</v>
      </c>
      <c r="F166" s="253" t="s">
        <v>94</v>
      </c>
      <c r="G166" s="253">
        <v>18</v>
      </c>
      <c r="H166" s="251" t="s">
        <v>13</v>
      </c>
      <c r="I166" s="253">
        <v>29</v>
      </c>
      <c r="J166" s="253"/>
      <c r="K166" s="253" t="s">
        <v>661</v>
      </c>
      <c r="L166" s="253"/>
      <c r="M166" s="253" t="s">
        <v>661</v>
      </c>
      <c r="N166" s="253"/>
    </row>
    <row r="167" spans="1:14" x14ac:dyDescent="0.3">
      <c r="A167" s="253" t="s">
        <v>958</v>
      </c>
      <c r="B167" s="253" t="s">
        <v>959</v>
      </c>
      <c r="C167" s="253" t="s">
        <v>8</v>
      </c>
      <c r="D167" s="253" t="s">
        <v>289</v>
      </c>
      <c r="E167" s="253" t="s">
        <v>896</v>
      </c>
      <c r="F167" s="253" t="s">
        <v>94</v>
      </c>
      <c r="G167" s="253">
        <v>11</v>
      </c>
      <c r="H167" s="251" t="s">
        <v>11</v>
      </c>
      <c r="I167" s="253"/>
      <c r="J167" s="253"/>
      <c r="K167" s="253" t="s">
        <v>661</v>
      </c>
      <c r="L167" s="253"/>
      <c r="M167" s="253" t="s">
        <v>661</v>
      </c>
      <c r="N167" s="253"/>
    </row>
    <row r="168" spans="1:14" x14ac:dyDescent="0.3">
      <c r="A168" s="253" t="s">
        <v>135</v>
      </c>
      <c r="B168" s="253" t="s">
        <v>909</v>
      </c>
      <c r="C168" s="253" t="s">
        <v>84</v>
      </c>
      <c r="D168" s="253" t="s">
        <v>40</v>
      </c>
      <c r="E168" s="253" t="s">
        <v>41</v>
      </c>
      <c r="F168" s="253" t="s">
        <v>94</v>
      </c>
      <c r="G168" s="253">
        <v>7</v>
      </c>
      <c r="H168" s="251" t="s">
        <v>10</v>
      </c>
      <c r="I168" s="253">
        <v>12</v>
      </c>
      <c r="J168" s="253"/>
      <c r="K168" s="253" t="s">
        <v>661</v>
      </c>
      <c r="L168" s="253"/>
      <c r="M168" s="253" t="s">
        <v>661</v>
      </c>
      <c r="N168" s="253"/>
    </row>
    <row r="169" spans="1:14" x14ac:dyDescent="0.3">
      <c r="A169" s="253" t="s">
        <v>297</v>
      </c>
      <c r="B169" s="253" t="s">
        <v>949</v>
      </c>
      <c r="C169" s="253" t="s">
        <v>84</v>
      </c>
      <c r="D169" s="253" t="s">
        <v>240</v>
      </c>
      <c r="E169" s="253" t="s">
        <v>896</v>
      </c>
      <c r="F169" s="253" t="s">
        <v>94</v>
      </c>
      <c r="G169" s="253">
        <v>17</v>
      </c>
      <c r="H169" s="251" t="s">
        <v>12</v>
      </c>
      <c r="I169" s="253">
        <v>30</v>
      </c>
      <c r="J169" s="253"/>
      <c r="K169" s="253" t="s">
        <v>661</v>
      </c>
      <c r="L169" s="253"/>
      <c r="M169" s="253" t="s">
        <v>661</v>
      </c>
      <c r="N169" s="253"/>
    </row>
    <row r="170" spans="1:14" x14ac:dyDescent="0.3">
      <c r="A170" s="253" t="s">
        <v>287</v>
      </c>
      <c r="B170" s="253" t="s">
        <v>942</v>
      </c>
      <c r="C170" s="253" t="s">
        <v>84</v>
      </c>
      <c r="D170" s="253" t="s">
        <v>240</v>
      </c>
      <c r="E170" s="253" t="s">
        <v>896</v>
      </c>
      <c r="F170" s="253" t="s">
        <v>94</v>
      </c>
      <c r="G170" s="253">
        <v>17</v>
      </c>
      <c r="H170" s="251" t="s">
        <v>12</v>
      </c>
      <c r="I170" s="253">
        <v>27</v>
      </c>
      <c r="J170" s="253"/>
      <c r="K170" s="253" t="s">
        <v>661</v>
      </c>
      <c r="L170" s="253"/>
      <c r="M170" s="253" t="s">
        <v>661</v>
      </c>
      <c r="N170" s="253"/>
    </row>
    <row r="171" spans="1:14" x14ac:dyDescent="0.3">
      <c r="A171" s="253" t="s">
        <v>93</v>
      </c>
      <c r="B171" s="253" t="s">
        <v>898</v>
      </c>
      <c r="C171" s="253" t="s">
        <v>8</v>
      </c>
      <c r="D171" s="253" t="s">
        <v>40</v>
      </c>
      <c r="E171" s="253" t="s">
        <v>41</v>
      </c>
      <c r="F171" s="253" t="s">
        <v>94</v>
      </c>
      <c r="G171" s="253">
        <v>6</v>
      </c>
      <c r="H171" s="251" t="s">
        <v>10</v>
      </c>
      <c r="I171" s="253">
        <v>10</v>
      </c>
      <c r="J171" s="253"/>
      <c r="K171" s="253" t="s">
        <v>661</v>
      </c>
      <c r="L171" s="253"/>
      <c r="M171" s="253" t="s">
        <v>661</v>
      </c>
      <c r="N171" s="253"/>
    </row>
    <row r="172" spans="1:14" x14ac:dyDescent="0.3">
      <c r="A172" s="253" t="s">
        <v>274</v>
      </c>
      <c r="B172" s="253" t="s">
        <v>931</v>
      </c>
      <c r="C172" s="253" t="s">
        <v>84</v>
      </c>
      <c r="D172" s="253" t="s">
        <v>240</v>
      </c>
      <c r="E172" s="253" t="s">
        <v>896</v>
      </c>
      <c r="F172" s="253" t="s">
        <v>94</v>
      </c>
      <c r="G172" s="253">
        <v>11</v>
      </c>
      <c r="H172" s="251" t="s">
        <v>11</v>
      </c>
      <c r="I172" s="253">
        <v>18</v>
      </c>
      <c r="J172" s="253"/>
      <c r="K172" s="253" t="s">
        <v>661</v>
      </c>
      <c r="L172" s="253"/>
      <c r="M172" s="253" t="s">
        <v>661</v>
      </c>
      <c r="N172" s="253"/>
    </row>
    <row r="173" spans="1:14" x14ac:dyDescent="0.3">
      <c r="A173" s="253" t="s">
        <v>249</v>
      </c>
      <c r="B173" s="253" t="s">
        <v>926</v>
      </c>
      <c r="C173" s="253" t="s">
        <v>8</v>
      </c>
      <c r="D173" s="253" t="s">
        <v>240</v>
      </c>
      <c r="E173" s="253" t="s">
        <v>896</v>
      </c>
      <c r="F173" s="253" t="s">
        <v>94</v>
      </c>
      <c r="G173" s="253">
        <v>13</v>
      </c>
      <c r="H173" s="251" t="s">
        <v>12</v>
      </c>
      <c r="I173" s="253">
        <v>24</v>
      </c>
      <c r="J173" s="253"/>
      <c r="K173" s="253" t="s">
        <v>661</v>
      </c>
      <c r="L173" s="253"/>
      <c r="M173" s="253" t="s">
        <v>661</v>
      </c>
      <c r="N173" s="253"/>
    </row>
    <row r="174" spans="1:14" x14ac:dyDescent="0.3">
      <c r="A174" s="253" t="s">
        <v>313</v>
      </c>
      <c r="B174" s="253" t="s">
        <v>314</v>
      </c>
      <c r="C174" s="253" t="s">
        <v>8</v>
      </c>
      <c r="D174" s="253" t="s">
        <v>304</v>
      </c>
      <c r="E174" s="253" t="s">
        <v>895</v>
      </c>
      <c r="F174" s="253" t="s">
        <v>42</v>
      </c>
      <c r="G174" s="253">
        <v>17</v>
      </c>
      <c r="H174" s="251" t="s">
        <v>12</v>
      </c>
      <c r="I174" s="253">
        <v>26</v>
      </c>
      <c r="J174" s="253">
        <v>7</v>
      </c>
      <c r="K174" s="253" t="s">
        <v>10</v>
      </c>
      <c r="L174" s="253">
        <v>7</v>
      </c>
      <c r="M174" s="253" t="s">
        <v>10</v>
      </c>
      <c r="N174" s="253">
        <v>7</v>
      </c>
    </row>
    <row r="175" spans="1:14" x14ac:dyDescent="0.3">
      <c r="A175" s="253" t="s">
        <v>323</v>
      </c>
      <c r="B175" s="253" t="s">
        <v>324</v>
      </c>
      <c r="C175" s="253" t="s">
        <v>84</v>
      </c>
      <c r="D175" s="253" t="s">
        <v>304</v>
      </c>
      <c r="E175" s="253" t="s">
        <v>895</v>
      </c>
      <c r="F175" s="253" t="s">
        <v>42</v>
      </c>
      <c r="G175" s="253">
        <v>13</v>
      </c>
      <c r="H175" s="251" t="s">
        <v>12</v>
      </c>
      <c r="I175" s="253">
        <v>21</v>
      </c>
      <c r="J175" s="253">
        <v>12</v>
      </c>
      <c r="K175" s="253" t="s">
        <v>10</v>
      </c>
      <c r="L175" s="253">
        <v>9</v>
      </c>
      <c r="M175" s="253" t="s">
        <v>10</v>
      </c>
      <c r="N175" s="253">
        <v>2</v>
      </c>
    </row>
    <row r="176" spans="1:14" x14ac:dyDescent="0.3">
      <c r="A176" s="253" t="s">
        <v>115</v>
      </c>
      <c r="B176" s="253" t="s">
        <v>116</v>
      </c>
      <c r="C176" s="253" t="s">
        <v>8</v>
      </c>
      <c r="D176" s="253" t="s">
        <v>40</v>
      </c>
      <c r="E176" s="253" t="s">
        <v>41</v>
      </c>
      <c r="F176" s="253" t="s">
        <v>42</v>
      </c>
      <c r="G176" s="253">
        <v>3</v>
      </c>
      <c r="H176" s="251" t="s">
        <v>10</v>
      </c>
      <c r="I176" s="253">
        <v>4</v>
      </c>
      <c r="J176" s="253">
        <v>16</v>
      </c>
      <c r="K176" s="253" t="s">
        <v>10</v>
      </c>
      <c r="L176" s="253">
        <v>14</v>
      </c>
      <c r="M176" s="253" t="s">
        <v>10</v>
      </c>
      <c r="N176" s="253">
        <v>2</v>
      </c>
    </row>
    <row r="177" spans="1:14" x14ac:dyDescent="0.3">
      <c r="A177" s="253" t="s">
        <v>117</v>
      </c>
      <c r="B177" s="253" t="s">
        <v>118</v>
      </c>
      <c r="C177" s="253" t="s">
        <v>8</v>
      </c>
      <c r="D177" s="253" t="s">
        <v>40</v>
      </c>
      <c r="E177" s="253" t="s">
        <v>41</v>
      </c>
      <c r="F177" s="253" t="s">
        <v>42</v>
      </c>
      <c r="G177" s="253">
        <v>9</v>
      </c>
      <c r="H177" s="251" t="s">
        <v>10</v>
      </c>
      <c r="I177" s="253">
        <v>14</v>
      </c>
      <c r="J177" s="253">
        <v>17</v>
      </c>
      <c r="K177" s="253" t="s">
        <v>10</v>
      </c>
      <c r="L177" s="253">
        <v>10</v>
      </c>
      <c r="M177" s="253" t="s">
        <v>10</v>
      </c>
      <c r="N177" s="253">
        <v>2</v>
      </c>
    </row>
    <row r="178" spans="1:14" x14ac:dyDescent="0.3">
      <c r="A178" s="253" t="s">
        <v>251</v>
      </c>
      <c r="B178" s="253" t="s">
        <v>928</v>
      </c>
      <c r="C178" s="253" t="s">
        <v>8</v>
      </c>
      <c r="D178" s="253" t="s">
        <v>240</v>
      </c>
      <c r="E178" s="253" t="s">
        <v>896</v>
      </c>
      <c r="F178" s="253" t="s">
        <v>94</v>
      </c>
      <c r="G178" s="253">
        <v>13</v>
      </c>
      <c r="H178" s="251" t="s">
        <v>12</v>
      </c>
      <c r="I178" s="253">
        <v>21</v>
      </c>
      <c r="J178" s="253"/>
      <c r="K178" s="253" t="s">
        <v>661</v>
      </c>
      <c r="L178" s="253"/>
      <c r="M178" s="253" t="s">
        <v>661</v>
      </c>
      <c r="N178" s="253"/>
    </row>
    <row r="179" spans="1:14" x14ac:dyDescent="0.3">
      <c r="A179" s="253" t="s">
        <v>214</v>
      </c>
      <c r="B179" s="253" t="s">
        <v>912</v>
      </c>
      <c r="C179" s="253" t="s">
        <v>84</v>
      </c>
      <c r="D179" s="253" t="s">
        <v>194</v>
      </c>
      <c r="E179" s="253" t="s">
        <v>896</v>
      </c>
      <c r="F179" s="253" t="s">
        <v>94</v>
      </c>
      <c r="G179" s="253">
        <v>10</v>
      </c>
      <c r="H179" s="251" t="s">
        <v>11</v>
      </c>
      <c r="I179" s="253">
        <v>17</v>
      </c>
      <c r="J179" s="253"/>
      <c r="K179" s="253" t="s">
        <v>661</v>
      </c>
      <c r="L179" s="253"/>
      <c r="M179" s="253" t="s">
        <v>661</v>
      </c>
      <c r="N179" s="253"/>
    </row>
    <row r="180" spans="1:14" x14ac:dyDescent="0.3">
      <c r="A180" s="253" t="s">
        <v>254</v>
      </c>
      <c r="B180" s="253" t="s">
        <v>929</v>
      </c>
      <c r="C180" s="253" t="s">
        <v>8</v>
      </c>
      <c r="D180" s="253" t="s">
        <v>240</v>
      </c>
      <c r="E180" s="253" t="s">
        <v>896</v>
      </c>
      <c r="F180" s="253" t="s">
        <v>94</v>
      </c>
      <c r="G180" s="253">
        <v>13</v>
      </c>
      <c r="H180" s="251" t="s">
        <v>12</v>
      </c>
      <c r="I180" s="253">
        <v>25</v>
      </c>
      <c r="J180" s="253"/>
      <c r="K180" s="253" t="s">
        <v>661</v>
      </c>
      <c r="L180" s="253"/>
      <c r="M180" s="253" t="s">
        <v>661</v>
      </c>
      <c r="N180" s="253"/>
    </row>
    <row r="181" spans="1:14" x14ac:dyDescent="0.3">
      <c r="A181" s="253" t="s">
        <v>960</v>
      </c>
      <c r="B181" s="253" t="s">
        <v>961</v>
      </c>
      <c r="C181" s="253" t="s">
        <v>8</v>
      </c>
      <c r="D181" s="253" t="s">
        <v>289</v>
      </c>
      <c r="E181" s="253" t="s">
        <v>896</v>
      </c>
      <c r="F181" s="253" t="s">
        <v>94</v>
      </c>
      <c r="G181" s="253">
        <v>12</v>
      </c>
      <c r="H181" s="251" t="s">
        <v>11</v>
      </c>
      <c r="I181" s="253"/>
      <c r="J181" s="253"/>
      <c r="K181" s="253" t="s">
        <v>661</v>
      </c>
      <c r="L181" s="253"/>
      <c r="M181" s="253" t="s">
        <v>661</v>
      </c>
      <c r="N181" s="253"/>
    </row>
    <row r="182" spans="1:14" x14ac:dyDescent="0.3">
      <c r="A182" s="253" t="s">
        <v>46</v>
      </c>
      <c r="B182" s="253" t="s">
        <v>47</v>
      </c>
      <c r="C182" s="253" t="s">
        <v>8</v>
      </c>
      <c r="D182" s="253" t="s">
        <v>45</v>
      </c>
      <c r="E182" s="253" t="s">
        <v>41</v>
      </c>
      <c r="F182" s="253" t="s">
        <v>42</v>
      </c>
      <c r="G182" s="253">
        <v>9</v>
      </c>
      <c r="H182" s="251" t="s">
        <v>10</v>
      </c>
      <c r="I182" s="253">
        <v>13</v>
      </c>
      <c r="J182" s="253">
        <v>14</v>
      </c>
      <c r="K182" s="253" t="s">
        <v>10</v>
      </c>
      <c r="L182" s="253">
        <v>11</v>
      </c>
      <c r="M182" s="253" t="s">
        <v>10</v>
      </c>
      <c r="N182" s="253">
        <v>1</v>
      </c>
    </row>
    <row r="183" spans="1:14" x14ac:dyDescent="0.3">
      <c r="A183" s="253" t="s">
        <v>199</v>
      </c>
      <c r="B183" s="253" t="s">
        <v>200</v>
      </c>
      <c r="C183" s="253" t="s">
        <v>8</v>
      </c>
      <c r="D183" s="253" t="s">
        <v>194</v>
      </c>
      <c r="E183" s="253" t="s">
        <v>896</v>
      </c>
      <c r="F183" s="253" t="s">
        <v>42</v>
      </c>
      <c r="G183" s="253">
        <v>13</v>
      </c>
      <c r="H183" s="251" t="s">
        <v>12</v>
      </c>
      <c r="I183" s="253">
        <v>20</v>
      </c>
      <c r="J183" s="253">
        <v>9</v>
      </c>
      <c r="K183" s="253" t="s">
        <v>10</v>
      </c>
      <c r="L183" s="253">
        <v>7</v>
      </c>
      <c r="M183" s="253" t="s">
        <v>10</v>
      </c>
      <c r="N183" s="253">
        <v>5</v>
      </c>
    </row>
    <row r="184" spans="1:14" x14ac:dyDescent="0.3">
      <c r="A184" s="253" t="s">
        <v>956</v>
      </c>
      <c r="B184" s="253" t="s">
        <v>957</v>
      </c>
      <c r="C184" s="253" t="s">
        <v>8</v>
      </c>
      <c r="D184" s="253" t="s">
        <v>289</v>
      </c>
      <c r="E184" s="253" t="s">
        <v>896</v>
      </c>
      <c r="F184" s="253" t="s">
        <v>94</v>
      </c>
      <c r="G184" s="253">
        <v>11</v>
      </c>
      <c r="H184" s="251" t="s">
        <v>11</v>
      </c>
      <c r="I184" s="253"/>
      <c r="J184" s="253"/>
      <c r="K184" s="253" t="s">
        <v>661</v>
      </c>
      <c r="L184" s="253"/>
      <c r="M184" s="253" t="s">
        <v>661</v>
      </c>
      <c r="N184" s="253"/>
    </row>
    <row r="185" spans="1:14" x14ac:dyDescent="0.3">
      <c r="A185" s="253" t="s">
        <v>984</v>
      </c>
      <c r="B185" s="253" t="s">
        <v>342</v>
      </c>
      <c r="C185" s="253" t="s">
        <v>84</v>
      </c>
      <c r="D185" s="253" t="s">
        <v>978</v>
      </c>
      <c r="E185" s="253" t="s">
        <v>896</v>
      </c>
      <c r="F185" s="253" t="s">
        <v>42</v>
      </c>
      <c r="G185" s="253">
        <v>15</v>
      </c>
      <c r="H185" s="251" t="s">
        <v>12</v>
      </c>
      <c r="I185" s="253"/>
      <c r="J185" s="253">
        <v>9</v>
      </c>
      <c r="K185" s="253" t="s">
        <v>10</v>
      </c>
      <c r="L185" s="253">
        <v>7</v>
      </c>
      <c r="M185" s="253" t="s">
        <v>10</v>
      </c>
      <c r="N185" s="253">
        <v>5</v>
      </c>
    </row>
    <row r="186" spans="1:14" x14ac:dyDescent="0.3">
      <c r="A186" s="253" t="s">
        <v>255</v>
      </c>
      <c r="B186" s="253" t="s">
        <v>256</v>
      </c>
      <c r="C186" s="253" t="s">
        <v>8</v>
      </c>
      <c r="D186" s="253" t="s">
        <v>240</v>
      </c>
      <c r="E186" s="253" t="s">
        <v>896</v>
      </c>
      <c r="F186" s="253" t="s">
        <v>42</v>
      </c>
      <c r="G186" s="253">
        <v>11</v>
      </c>
      <c r="H186" s="251" t="s">
        <v>11</v>
      </c>
      <c r="I186" s="253">
        <v>21</v>
      </c>
      <c r="J186" s="253">
        <v>8</v>
      </c>
      <c r="K186" s="253" t="s">
        <v>10</v>
      </c>
      <c r="L186" s="253">
        <v>7</v>
      </c>
      <c r="M186" s="253" t="s">
        <v>10</v>
      </c>
      <c r="N186" s="253">
        <v>6</v>
      </c>
    </row>
    <row r="187" spans="1:14" x14ac:dyDescent="0.3">
      <c r="A187" s="253" t="s">
        <v>184</v>
      </c>
      <c r="B187" s="253" t="s">
        <v>185</v>
      </c>
      <c r="C187" s="253" t="s">
        <v>84</v>
      </c>
      <c r="D187" s="253" t="s">
        <v>139</v>
      </c>
      <c r="E187" s="253" t="s">
        <v>895</v>
      </c>
      <c r="F187" s="253" t="s">
        <v>42</v>
      </c>
      <c r="G187" s="253">
        <v>9</v>
      </c>
      <c r="H187" s="251" t="s">
        <v>10</v>
      </c>
      <c r="I187" s="253">
        <v>14</v>
      </c>
      <c r="J187" s="253">
        <v>11</v>
      </c>
      <c r="K187" s="253" t="s">
        <v>10</v>
      </c>
      <c r="L187" s="253">
        <v>7</v>
      </c>
      <c r="M187" s="253" t="s">
        <v>10</v>
      </c>
      <c r="N187" s="253">
        <v>3</v>
      </c>
    </row>
    <row r="188" spans="1:14" x14ac:dyDescent="0.3">
      <c r="A188" s="253" t="s">
        <v>201</v>
      </c>
      <c r="B188" s="253" t="s">
        <v>202</v>
      </c>
      <c r="C188" s="253" t="s">
        <v>8</v>
      </c>
      <c r="D188" s="253" t="s">
        <v>194</v>
      </c>
      <c r="E188" s="253" t="s">
        <v>896</v>
      </c>
      <c r="F188" s="253" t="s">
        <v>42</v>
      </c>
      <c r="G188" s="253">
        <v>12</v>
      </c>
      <c r="H188" s="251" t="s">
        <v>11</v>
      </c>
      <c r="I188" s="253">
        <v>17</v>
      </c>
      <c r="J188" s="253">
        <v>12</v>
      </c>
      <c r="K188" s="253" t="s">
        <v>10</v>
      </c>
      <c r="L188" s="253">
        <v>7</v>
      </c>
      <c r="M188" s="253" t="s">
        <v>10</v>
      </c>
      <c r="N188" s="253">
        <v>2</v>
      </c>
    </row>
    <row r="189" spans="1:14" x14ac:dyDescent="0.3">
      <c r="A189" s="253" t="s">
        <v>101</v>
      </c>
      <c r="B189" s="253" t="s">
        <v>901</v>
      </c>
      <c r="C189" s="253" t="s">
        <v>8</v>
      </c>
      <c r="D189" s="253" t="s">
        <v>40</v>
      </c>
      <c r="E189" s="253" t="s">
        <v>41</v>
      </c>
      <c r="F189" s="253" t="s">
        <v>94</v>
      </c>
      <c r="G189" s="253">
        <v>7</v>
      </c>
      <c r="H189" s="251" t="s">
        <v>10</v>
      </c>
      <c r="I189" s="253">
        <v>11</v>
      </c>
      <c r="J189" s="253"/>
      <c r="K189" s="253" t="s">
        <v>661</v>
      </c>
      <c r="L189" s="253"/>
      <c r="M189" s="253" t="s">
        <v>661</v>
      </c>
      <c r="N189" s="253"/>
    </row>
    <row r="190" spans="1:14" x14ac:dyDescent="0.3">
      <c r="A190" s="253" t="s">
        <v>205</v>
      </c>
      <c r="B190" s="253" t="s">
        <v>206</v>
      </c>
      <c r="C190" s="253" t="s">
        <v>8</v>
      </c>
      <c r="D190" s="253" t="s">
        <v>194</v>
      </c>
      <c r="E190" s="253" t="s">
        <v>896</v>
      </c>
      <c r="F190" s="253" t="s">
        <v>42</v>
      </c>
      <c r="G190" s="253">
        <v>11</v>
      </c>
      <c r="H190" s="251" t="s">
        <v>11</v>
      </c>
      <c r="I190" s="253">
        <v>16</v>
      </c>
      <c r="J190" s="253">
        <v>7</v>
      </c>
      <c r="K190" s="253" t="s">
        <v>10</v>
      </c>
      <c r="L190" s="253">
        <v>7</v>
      </c>
      <c r="M190" s="253" t="s">
        <v>10</v>
      </c>
      <c r="N190" s="253">
        <v>8</v>
      </c>
    </row>
    <row r="191" spans="1:14" x14ac:dyDescent="0.3">
      <c r="A191" s="253" t="s">
        <v>128</v>
      </c>
      <c r="B191" s="253" t="s">
        <v>904</v>
      </c>
      <c r="C191" s="253" t="s">
        <v>8</v>
      </c>
      <c r="D191" s="253" t="s">
        <v>40</v>
      </c>
      <c r="E191" s="253" t="s">
        <v>41</v>
      </c>
      <c r="F191" s="253" t="s">
        <v>94</v>
      </c>
      <c r="G191" s="253">
        <v>6</v>
      </c>
      <c r="H191" s="251" t="s">
        <v>10</v>
      </c>
      <c r="I191" s="253">
        <v>12</v>
      </c>
      <c r="J191" s="253"/>
      <c r="K191" s="253" t="s">
        <v>661</v>
      </c>
      <c r="L191" s="253"/>
      <c r="M191" s="253" t="s">
        <v>661</v>
      </c>
      <c r="N191" s="25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1"/>
  <sheetViews>
    <sheetView workbookViewId="0"/>
  </sheetViews>
  <sheetFormatPr defaultRowHeight="14.4" x14ac:dyDescent="0.3"/>
  <cols>
    <col min="1" max="1" width="11" style="210" bestFit="1" customWidth="1"/>
    <col min="2" max="2" width="34.21875" style="210" bestFit="1" customWidth="1"/>
    <col min="3" max="3" width="6.109375" style="210" bestFit="1" customWidth="1"/>
    <col min="4" max="4" width="8.21875" style="210" bestFit="1" customWidth="1"/>
    <col min="5" max="5" width="8.44140625" style="210" bestFit="1" customWidth="1"/>
    <col min="6" max="6" width="7.6640625" style="210" bestFit="1" customWidth="1"/>
  </cols>
  <sheetData>
    <row r="1" spans="1:6" x14ac:dyDescent="0.3">
      <c r="A1" t="s">
        <v>855</v>
      </c>
      <c r="B1" t="s">
        <v>857</v>
      </c>
      <c r="C1" t="s">
        <v>859</v>
      </c>
      <c r="D1" t="s">
        <v>858</v>
      </c>
      <c r="E1" t="s">
        <v>20</v>
      </c>
      <c r="F1" t="s">
        <v>862</v>
      </c>
    </row>
    <row r="2" spans="1:6" x14ac:dyDescent="0.3">
      <c r="A2" s="253" t="s">
        <v>133</v>
      </c>
      <c r="B2" s="253" t="s">
        <v>907</v>
      </c>
      <c r="C2" s="253" t="s">
        <v>84</v>
      </c>
      <c r="D2" s="253" t="s">
        <v>40</v>
      </c>
      <c r="E2" s="253" t="s">
        <v>41</v>
      </c>
      <c r="F2" s="253" t="s">
        <v>94</v>
      </c>
    </row>
    <row r="3" spans="1:6" x14ac:dyDescent="0.3">
      <c r="A3" s="253" t="s">
        <v>127</v>
      </c>
      <c r="B3" s="253" t="s">
        <v>903</v>
      </c>
      <c r="C3" s="253" t="s">
        <v>8</v>
      </c>
      <c r="D3" s="253" t="s">
        <v>40</v>
      </c>
      <c r="E3" s="253" t="s">
        <v>41</v>
      </c>
      <c r="F3" s="253" t="s">
        <v>94</v>
      </c>
    </row>
    <row r="4" spans="1:6" x14ac:dyDescent="0.3">
      <c r="A4" s="253" t="s">
        <v>305</v>
      </c>
      <c r="B4" s="253" t="s">
        <v>306</v>
      </c>
      <c r="C4" s="253" t="s">
        <v>8</v>
      </c>
      <c r="D4" s="253" t="s">
        <v>304</v>
      </c>
      <c r="E4" s="253" t="s">
        <v>895</v>
      </c>
      <c r="F4" s="253" t="s">
        <v>42</v>
      </c>
    </row>
    <row r="5" spans="1:6" x14ac:dyDescent="0.3">
      <c r="A5" s="253" t="s">
        <v>250</v>
      </c>
      <c r="B5" s="253" t="s">
        <v>927</v>
      </c>
      <c r="C5" s="253" t="s">
        <v>8</v>
      </c>
      <c r="D5" s="253" t="s">
        <v>240</v>
      </c>
      <c r="E5" s="253" t="s">
        <v>896</v>
      </c>
      <c r="F5" s="253" t="s">
        <v>94</v>
      </c>
    </row>
    <row r="6" spans="1:6" x14ac:dyDescent="0.3">
      <c r="A6" s="253" t="s">
        <v>125</v>
      </c>
      <c r="B6" s="253" t="s">
        <v>126</v>
      </c>
      <c r="C6" s="253" t="s">
        <v>8</v>
      </c>
      <c r="D6" s="253" t="s">
        <v>40</v>
      </c>
      <c r="E6" s="253" t="s">
        <v>41</v>
      </c>
      <c r="F6" s="253" t="s">
        <v>42</v>
      </c>
    </row>
    <row r="7" spans="1:6" x14ac:dyDescent="0.3">
      <c r="A7" s="253" t="s">
        <v>276</v>
      </c>
      <c r="B7" s="253" t="s">
        <v>933</v>
      </c>
      <c r="C7" s="253" t="s">
        <v>84</v>
      </c>
      <c r="D7" s="253" t="s">
        <v>240</v>
      </c>
      <c r="E7" s="253" t="s">
        <v>896</v>
      </c>
      <c r="F7" s="253" t="s">
        <v>94</v>
      </c>
    </row>
    <row r="8" spans="1:6" x14ac:dyDescent="0.3">
      <c r="A8" s="253" t="s">
        <v>134</v>
      </c>
      <c r="B8" s="253" t="s">
        <v>908</v>
      </c>
      <c r="C8" s="253" t="s">
        <v>84</v>
      </c>
      <c r="D8" s="253" t="s">
        <v>40</v>
      </c>
      <c r="E8" s="253" t="s">
        <v>41</v>
      </c>
      <c r="F8" s="253" t="s">
        <v>94</v>
      </c>
    </row>
    <row r="9" spans="1:6" x14ac:dyDescent="0.3">
      <c r="A9" s="253" t="s">
        <v>82</v>
      </c>
      <c r="B9" s="253" t="s">
        <v>83</v>
      </c>
      <c r="C9" s="253" t="s">
        <v>84</v>
      </c>
      <c r="D9" s="253" t="s">
        <v>45</v>
      </c>
      <c r="E9" s="253" t="s">
        <v>41</v>
      </c>
      <c r="F9" s="253" t="s">
        <v>42</v>
      </c>
    </row>
    <row r="10" spans="1:6" x14ac:dyDescent="0.3">
      <c r="A10" s="253" t="s">
        <v>203</v>
      </c>
      <c r="B10" s="253" t="s">
        <v>204</v>
      </c>
      <c r="C10" s="253" t="s">
        <v>8</v>
      </c>
      <c r="D10" s="253" t="s">
        <v>194</v>
      </c>
      <c r="E10" s="253" t="s">
        <v>896</v>
      </c>
      <c r="F10" s="253" t="s">
        <v>42</v>
      </c>
    </row>
    <row r="11" spans="1:6" x14ac:dyDescent="0.3">
      <c r="A11" s="253" t="s">
        <v>954</v>
      </c>
      <c r="B11" s="253" t="s">
        <v>955</v>
      </c>
      <c r="C11" s="253" t="s">
        <v>8</v>
      </c>
      <c r="D11" s="253" t="s">
        <v>289</v>
      </c>
      <c r="E11" s="253" t="s">
        <v>896</v>
      </c>
      <c r="F11" s="253" t="s">
        <v>94</v>
      </c>
    </row>
    <row r="12" spans="1:6" x14ac:dyDescent="0.3">
      <c r="A12" s="253" t="s">
        <v>230</v>
      </c>
      <c r="B12" s="253" t="s">
        <v>916</v>
      </c>
      <c r="C12" s="253" t="s">
        <v>84</v>
      </c>
      <c r="D12" s="253" t="s">
        <v>194</v>
      </c>
      <c r="E12" s="253" t="s">
        <v>896</v>
      </c>
      <c r="F12" s="253" t="s">
        <v>94</v>
      </c>
    </row>
    <row r="13" spans="1:6" x14ac:dyDescent="0.3">
      <c r="A13" s="253" t="s">
        <v>280</v>
      </c>
      <c r="B13" s="253" t="s">
        <v>937</v>
      </c>
      <c r="C13" s="253" t="s">
        <v>84</v>
      </c>
      <c r="D13" s="253" t="s">
        <v>240</v>
      </c>
      <c r="E13" s="253" t="s">
        <v>896</v>
      </c>
      <c r="F13" s="253" t="s">
        <v>94</v>
      </c>
    </row>
    <row r="14" spans="1:6" x14ac:dyDescent="0.3">
      <c r="A14" s="253" t="s">
        <v>209</v>
      </c>
      <c r="B14" s="253" t="s">
        <v>210</v>
      </c>
      <c r="C14" s="253" t="s">
        <v>8</v>
      </c>
      <c r="D14" s="253" t="s">
        <v>194</v>
      </c>
      <c r="E14" s="253" t="s">
        <v>896</v>
      </c>
      <c r="F14" s="253" t="s">
        <v>42</v>
      </c>
    </row>
    <row r="15" spans="1:6" x14ac:dyDescent="0.3">
      <c r="A15" s="253" t="s">
        <v>309</v>
      </c>
      <c r="B15" s="253" t="s">
        <v>310</v>
      </c>
      <c r="C15" s="253" t="s">
        <v>8</v>
      </c>
      <c r="D15" s="253" t="s">
        <v>304</v>
      </c>
      <c r="E15" s="253" t="s">
        <v>895</v>
      </c>
      <c r="F15" s="253" t="s">
        <v>42</v>
      </c>
    </row>
    <row r="16" spans="1:6" x14ac:dyDescent="0.3">
      <c r="A16" s="253" t="s">
        <v>114</v>
      </c>
      <c r="B16" s="253" t="s">
        <v>902</v>
      </c>
      <c r="C16" s="253" t="s">
        <v>8</v>
      </c>
      <c r="D16" s="253" t="s">
        <v>40</v>
      </c>
      <c r="E16" s="253" t="s">
        <v>41</v>
      </c>
      <c r="F16" s="253" t="s">
        <v>94</v>
      </c>
    </row>
    <row r="17" spans="1:6" x14ac:dyDescent="0.3">
      <c r="A17" s="253" t="s">
        <v>217</v>
      </c>
      <c r="B17" s="253" t="s">
        <v>218</v>
      </c>
      <c r="C17" s="253" t="s">
        <v>84</v>
      </c>
      <c r="D17" s="253" t="s">
        <v>194</v>
      </c>
      <c r="E17" s="253" t="s">
        <v>896</v>
      </c>
      <c r="F17" s="253" t="s">
        <v>42</v>
      </c>
    </row>
    <row r="18" spans="1:6" x14ac:dyDescent="0.3">
      <c r="A18" s="253" t="s">
        <v>215</v>
      </c>
      <c r="B18" s="253" t="s">
        <v>216</v>
      </c>
      <c r="C18" s="253" t="s">
        <v>84</v>
      </c>
      <c r="D18" s="253" t="s">
        <v>194</v>
      </c>
      <c r="E18" s="253" t="s">
        <v>896</v>
      </c>
      <c r="F18" s="253" t="s">
        <v>42</v>
      </c>
    </row>
    <row r="19" spans="1:6" x14ac:dyDescent="0.3">
      <c r="A19" s="253" t="s">
        <v>172</v>
      </c>
      <c r="B19" s="253" t="s">
        <v>173</v>
      </c>
      <c r="C19" s="253" t="s">
        <v>84</v>
      </c>
      <c r="D19" s="253" t="s">
        <v>139</v>
      </c>
      <c r="E19" s="253" t="s">
        <v>895</v>
      </c>
      <c r="F19" s="253" t="s">
        <v>42</v>
      </c>
    </row>
    <row r="20" spans="1:6" x14ac:dyDescent="0.3">
      <c r="A20" s="253" t="s">
        <v>231</v>
      </c>
      <c r="B20" s="253" t="s">
        <v>917</v>
      </c>
      <c r="C20" s="253" t="s">
        <v>84</v>
      </c>
      <c r="D20" s="253" t="s">
        <v>194</v>
      </c>
      <c r="E20" s="253" t="s">
        <v>896</v>
      </c>
      <c r="F20" s="253" t="s">
        <v>94</v>
      </c>
    </row>
    <row r="21" spans="1:6" x14ac:dyDescent="0.3">
      <c r="A21" s="253" t="s">
        <v>317</v>
      </c>
      <c r="B21" s="253" t="s">
        <v>318</v>
      </c>
      <c r="C21" s="253" t="s">
        <v>84</v>
      </c>
      <c r="D21" s="253" t="s">
        <v>304</v>
      </c>
      <c r="E21" s="253" t="s">
        <v>895</v>
      </c>
      <c r="F21" s="253" t="s">
        <v>42</v>
      </c>
    </row>
    <row r="22" spans="1:6" x14ac:dyDescent="0.3">
      <c r="A22" s="253" t="s">
        <v>166</v>
      </c>
      <c r="B22" s="253" t="s">
        <v>167</v>
      </c>
      <c r="C22" s="253" t="s">
        <v>84</v>
      </c>
      <c r="D22" s="253" t="s">
        <v>139</v>
      </c>
      <c r="E22" s="253" t="s">
        <v>895</v>
      </c>
      <c r="F22" s="253" t="s">
        <v>42</v>
      </c>
    </row>
    <row r="23" spans="1:6" x14ac:dyDescent="0.3">
      <c r="A23" s="253" t="s">
        <v>168</v>
      </c>
      <c r="B23" s="253" t="s">
        <v>169</v>
      </c>
      <c r="C23" s="253" t="s">
        <v>84</v>
      </c>
      <c r="D23" s="253" t="s">
        <v>139</v>
      </c>
      <c r="E23" s="253" t="s">
        <v>895</v>
      </c>
      <c r="F23" s="253" t="s">
        <v>42</v>
      </c>
    </row>
    <row r="24" spans="1:6" x14ac:dyDescent="0.3">
      <c r="A24" s="253" t="s">
        <v>170</v>
      </c>
      <c r="B24" s="253" t="s">
        <v>171</v>
      </c>
      <c r="C24" s="253" t="s">
        <v>84</v>
      </c>
      <c r="D24" s="253" t="s">
        <v>139</v>
      </c>
      <c r="E24" s="253" t="s">
        <v>895</v>
      </c>
      <c r="F24" s="253" t="s">
        <v>42</v>
      </c>
    </row>
    <row r="25" spans="1:6" x14ac:dyDescent="0.3">
      <c r="A25" s="253" t="s">
        <v>219</v>
      </c>
      <c r="B25" s="253" t="s">
        <v>220</v>
      </c>
      <c r="C25" s="253" t="s">
        <v>84</v>
      </c>
      <c r="D25" s="253" t="s">
        <v>194</v>
      </c>
      <c r="E25" s="253" t="s">
        <v>896</v>
      </c>
      <c r="F25" s="253" t="s">
        <v>42</v>
      </c>
    </row>
    <row r="26" spans="1:6" x14ac:dyDescent="0.3">
      <c r="A26" s="253" t="s">
        <v>321</v>
      </c>
      <c r="B26" s="253" t="s">
        <v>322</v>
      </c>
      <c r="C26" s="253" t="s">
        <v>84</v>
      </c>
      <c r="D26" s="253" t="s">
        <v>304</v>
      </c>
      <c r="E26" s="253" t="s">
        <v>895</v>
      </c>
      <c r="F26" s="253" t="s">
        <v>42</v>
      </c>
    </row>
    <row r="27" spans="1:6" x14ac:dyDescent="0.3">
      <c r="A27" s="253" t="s">
        <v>174</v>
      </c>
      <c r="B27" s="253" t="s">
        <v>175</v>
      </c>
      <c r="C27" s="253" t="s">
        <v>84</v>
      </c>
      <c r="D27" s="253" t="s">
        <v>139</v>
      </c>
      <c r="E27" s="253" t="s">
        <v>895</v>
      </c>
      <c r="F27" s="253" t="s">
        <v>42</v>
      </c>
    </row>
    <row r="28" spans="1:6" x14ac:dyDescent="0.3">
      <c r="A28" s="253" t="s">
        <v>968</v>
      </c>
      <c r="B28" s="253" t="s">
        <v>333</v>
      </c>
      <c r="C28" s="253" t="s">
        <v>84</v>
      </c>
      <c r="D28" s="253" t="s">
        <v>289</v>
      </c>
      <c r="E28" s="253" t="s">
        <v>896</v>
      </c>
      <c r="F28" s="253" t="s">
        <v>42</v>
      </c>
    </row>
    <row r="29" spans="1:6" x14ac:dyDescent="0.3">
      <c r="A29" s="253" t="s">
        <v>85</v>
      </c>
      <c r="B29" s="253" t="s">
        <v>86</v>
      </c>
      <c r="C29" s="253" t="s">
        <v>84</v>
      </c>
      <c r="D29" s="253" t="s">
        <v>45</v>
      </c>
      <c r="E29" s="253" t="s">
        <v>41</v>
      </c>
      <c r="F29" s="253" t="s">
        <v>42</v>
      </c>
    </row>
    <row r="30" spans="1:6" x14ac:dyDescent="0.3">
      <c r="A30" s="253" t="s">
        <v>176</v>
      </c>
      <c r="B30" s="253" t="s">
        <v>177</v>
      </c>
      <c r="C30" s="253" t="s">
        <v>84</v>
      </c>
      <c r="D30" s="253" t="s">
        <v>139</v>
      </c>
      <c r="E30" s="253" t="s">
        <v>895</v>
      </c>
      <c r="F30" s="253" t="s">
        <v>42</v>
      </c>
    </row>
    <row r="31" spans="1:6" x14ac:dyDescent="0.3">
      <c r="A31" s="253" t="s">
        <v>283</v>
      </c>
      <c r="B31" s="253" t="s">
        <v>284</v>
      </c>
      <c r="C31" s="253" t="s">
        <v>84</v>
      </c>
      <c r="D31" s="253" t="s">
        <v>240</v>
      </c>
      <c r="E31" s="253" t="s">
        <v>896</v>
      </c>
      <c r="F31" s="253" t="s">
        <v>42</v>
      </c>
    </row>
    <row r="32" spans="1:6" x14ac:dyDescent="0.3">
      <c r="A32" s="253" t="s">
        <v>981</v>
      </c>
      <c r="B32" s="253" t="s">
        <v>339</v>
      </c>
      <c r="C32" s="253" t="s">
        <v>84</v>
      </c>
      <c r="D32" s="253" t="s">
        <v>978</v>
      </c>
      <c r="E32" s="253" t="s">
        <v>896</v>
      </c>
      <c r="F32" s="253" t="s">
        <v>42</v>
      </c>
    </row>
    <row r="33" spans="1:6" x14ac:dyDescent="0.3">
      <c r="A33" s="253" t="s">
        <v>225</v>
      </c>
      <c r="B33" s="253" t="s">
        <v>226</v>
      </c>
      <c r="C33" s="253" t="s">
        <v>84</v>
      </c>
      <c r="D33" s="253" t="s">
        <v>194</v>
      </c>
      <c r="E33" s="253" t="s">
        <v>896</v>
      </c>
      <c r="F33" s="253" t="s">
        <v>42</v>
      </c>
    </row>
    <row r="34" spans="1:6" x14ac:dyDescent="0.3">
      <c r="A34" s="253" t="s">
        <v>982</v>
      </c>
      <c r="B34" s="253" t="s">
        <v>340</v>
      </c>
      <c r="C34" s="253" t="s">
        <v>84</v>
      </c>
      <c r="D34" s="253" t="s">
        <v>978</v>
      </c>
      <c r="E34" s="253" t="s">
        <v>896</v>
      </c>
      <c r="F34" s="253" t="s">
        <v>42</v>
      </c>
    </row>
    <row r="35" spans="1:6" x14ac:dyDescent="0.3">
      <c r="A35" s="253" t="s">
        <v>87</v>
      </c>
      <c r="B35" s="253" t="s">
        <v>88</v>
      </c>
      <c r="C35" s="253" t="s">
        <v>84</v>
      </c>
      <c r="D35" s="253" t="s">
        <v>45</v>
      </c>
      <c r="E35" s="253" t="s">
        <v>41</v>
      </c>
      <c r="F35" s="253" t="s">
        <v>42</v>
      </c>
    </row>
    <row r="36" spans="1:6" x14ac:dyDescent="0.3">
      <c r="A36" s="253" t="s">
        <v>983</v>
      </c>
      <c r="B36" s="253" t="s">
        <v>341</v>
      </c>
      <c r="C36" s="253" t="s">
        <v>84</v>
      </c>
      <c r="D36" s="253" t="s">
        <v>978</v>
      </c>
      <c r="E36" s="253" t="s">
        <v>896</v>
      </c>
      <c r="F36" s="253" t="s">
        <v>42</v>
      </c>
    </row>
    <row r="37" spans="1:6" x14ac:dyDescent="0.3">
      <c r="A37" s="253" t="s">
        <v>293</v>
      </c>
      <c r="B37" s="253" t="s">
        <v>294</v>
      </c>
      <c r="C37" s="253" t="s">
        <v>84</v>
      </c>
      <c r="D37" s="253" t="s">
        <v>240</v>
      </c>
      <c r="E37" s="253" t="s">
        <v>896</v>
      </c>
      <c r="F37" s="253" t="s">
        <v>42</v>
      </c>
    </row>
    <row r="38" spans="1:6" x14ac:dyDescent="0.3">
      <c r="A38" s="253" t="s">
        <v>970</v>
      </c>
      <c r="B38" s="253" t="s">
        <v>335</v>
      </c>
      <c r="C38" s="253" t="s">
        <v>84</v>
      </c>
      <c r="D38" s="253" t="s">
        <v>289</v>
      </c>
      <c r="E38" s="253" t="s">
        <v>896</v>
      </c>
      <c r="F38" s="253" t="s">
        <v>42</v>
      </c>
    </row>
    <row r="39" spans="1:6" x14ac:dyDescent="0.3">
      <c r="A39" s="253" t="s">
        <v>182</v>
      </c>
      <c r="B39" s="253" t="s">
        <v>183</v>
      </c>
      <c r="C39" s="253" t="s">
        <v>84</v>
      </c>
      <c r="D39" s="253" t="s">
        <v>139</v>
      </c>
      <c r="E39" s="253" t="s">
        <v>895</v>
      </c>
      <c r="F39" s="253" t="s">
        <v>42</v>
      </c>
    </row>
    <row r="40" spans="1:6" x14ac:dyDescent="0.3">
      <c r="A40" s="253" t="s">
        <v>234</v>
      </c>
      <c r="B40" s="253" t="s">
        <v>235</v>
      </c>
      <c r="C40" s="253" t="s">
        <v>84</v>
      </c>
      <c r="D40" s="253" t="s">
        <v>194</v>
      </c>
      <c r="E40" s="253" t="s">
        <v>896</v>
      </c>
      <c r="F40" s="253" t="s">
        <v>42</v>
      </c>
    </row>
    <row r="41" spans="1:6" x14ac:dyDescent="0.3">
      <c r="A41" s="253" t="s">
        <v>186</v>
      </c>
      <c r="B41" s="253" t="s">
        <v>187</v>
      </c>
      <c r="C41" s="253" t="s">
        <v>84</v>
      </c>
      <c r="D41" s="253" t="s">
        <v>139</v>
      </c>
      <c r="E41" s="253" t="s">
        <v>895</v>
      </c>
      <c r="F41" s="253" t="s">
        <v>42</v>
      </c>
    </row>
    <row r="42" spans="1:6" x14ac:dyDescent="0.3">
      <c r="A42" s="253" t="s">
        <v>325</v>
      </c>
      <c r="B42" s="253" t="s">
        <v>326</v>
      </c>
      <c r="C42" s="253" t="s">
        <v>84</v>
      </c>
      <c r="D42" s="253" t="s">
        <v>304</v>
      </c>
      <c r="E42" s="253" t="s">
        <v>895</v>
      </c>
      <c r="F42" s="253" t="s">
        <v>42</v>
      </c>
    </row>
    <row r="43" spans="1:6" x14ac:dyDescent="0.3">
      <c r="A43" s="253" t="s">
        <v>89</v>
      </c>
      <c r="B43" s="253" t="s">
        <v>90</v>
      </c>
      <c r="C43" s="253" t="s">
        <v>84</v>
      </c>
      <c r="D43" s="253" t="s">
        <v>45</v>
      </c>
      <c r="E43" s="253" t="s">
        <v>41</v>
      </c>
      <c r="F43" s="253" t="s">
        <v>42</v>
      </c>
    </row>
    <row r="44" spans="1:6" x14ac:dyDescent="0.3">
      <c r="A44" s="253" t="s">
        <v>91</v>
      </c>
      <c r="B44" s="253" t="s">
        <v>92</v>
      </c>
      <c r="C44" s="253" t="s">
        <v>84</v>
      </c>
      <c r="D44" s="253" t="s">
        <v>45</v>
      </c>
      <c r="E44" s="253" t="s">
        <v>41</v>
      </c>
      <c r="F44" s="253" t="s">
        <v>42</v>
      </c>
    </row>
    <row r="45" spans="1:6" x14ac:dyDescent="0.3">
      <c r="A45" s="253" t="s">
        <v>327</v>
      </c>
      <c r="B45" s="253" t="s">
        <v>328</v>
      </c>
      <c r="C45" s="253" t="s">
        <v>84</v>
      </c>
      <c r="D45" s="253" t="s">
        <v>304</v>
      </c>
      <c r="E45" s="253" t="s">
        <v>895</v>
      </c>
      <c r="F45" s="253" t="s">
        <v>42</v>
      </c>
    </row>
    <row r="46" spans="1:6" x14ac:dyDescent="0.3">
      <c r="A46" s="253" t="s">
        <v>190</v>
      </c>
      <c r="B46" s="253" t="s">
        <v>191</v>
      </c>
      <c r="C46" s="253" t="s">
        <v>84</v>
      </c>
      <c r="D46" s="253" t="s">
        <v>139</v>
      </c>
      <c r="E46" s="253" t="s">
        <v>895</v>
      </c>
      <c r="F46" s="253" t="s">
        <v>42</v>
      </c>
    </row>
    <row r="47" spans="1:6" x14ac:dyDescent="0.3">
      <c r="A47" s="253" t="s">
        <v>237</v>
      </c>
      <c r="B47" s="253" t="s">
        <v>238</v>
      </c>
      <c r="C47" s="253" t="s">
        <v>84</v>
      </c>
      <c r="D47" s="253" t="s">
        <v>194</v>
      </c>
      <c r="E47" s="253" t="s">
        <v>896</v>
      </c>
      <c r="F47" s="253" t="s">
        <v>42</v>
      </c>
    </row>
    <row r="48" spans="1:6" x14ac:dyDescent="0.3">
      <c r="A48" s="253" t="s">
        <v>192</v>
      </c>
      <c r="B48" s="253" t="s">
        <v>193</v>
      </c>
      <c r="C48" s="253" t="s">
        <v>8</v>
      </c>
      <c r="D48" s="253" t="s">
        <v>194</v>
      </c>
      <c r="E48" s="253" t="s">
        <v>896</v>
      </c>
      <c r="F48" s="253" t="s">
        <v>42</v>
      </c>
    </row>
    <row r="49" spans="1:6" x14ac:dyDescent="0.3">
      <c r="A49" s="253" t="s">
        <v>137</v>
      </c>
      <c r="B49" s="253" t="s">
        <v>138</v>
      </c>
      <c r="C49" s="253" t="s">
        <v>8</v>
      </c>
      <c r="D49" s="253" t="s">
        <v>139</v>
      </c>
      <c r="E49" s="253" t="s">
        <v>895</v>
      </c>
      <c r="F49" s="253" t="s">
        <v>42</v>
      </c>
    </row>
    <row r="50" spans="1:6" x14ac:dyDescent="0.3">
      <c r="A50" s="253" t="s">
        <v>38</v>
      </c>
      <c r="B50" s="253" t="s">
        <v>39</v>
      </c>
      <c r="C50" s="253" t="s">
        <v>8</v>
      </c>
      <c r="D50" s="253" t="s">
        <v>40</v>
      </c>
      <c r="E50" s="253" t="s">
        <v>41</v>
      </c>
      <c r="F50" s="253" t="s">
        <v>42</v>
      </c>
    </row>
    <row r="51" spans="1:6" x14ac:dyDescent="0.3">
      <c r="A51" s="253" t="s">
        <v>140</v>
      </c>
      <c r="B51" s="253" t="s">
        <v>141</v>
      </c>
      <c r="C51" s="253" t="s">
        <v>8</v>
      </c>
      <c r="D51" s="253" t="s">
        <v>139</v>
      </c>
      <c r="E51" s="253" t="s">
        <v>895</v>
      </c>
      <c r="F51" s="253" t="s">
        <v>42</v>
      </c>
    </row>
    <row r="52" spans="1:6" x14ac:dyDescent="0.3">
      <c r="A52" s="253" t="s">
        <v>43</v>
      </c>
      <c r="B52" s="253" t="s">
        <v>44</v>
      </c>
      <c r="C52" s="253" t="s">
        <v>8</v>
      </c>
      <c r="D52" s="253" t="s">
        <v>45</v>
      </c>
      <c r="E52" s="253" t="s">
        <v>41</v>
      </c>
      <c r="F52" s="253" t="s">
        <v>42</v>
      </c>
    </row>
    <row r="53" spans="1:6" x14ac:dyDescent="0.3">
      <c r="A53" s="253" t="s">
        <v>95</v>
      </c>
      <c r="B53" s="253" t="s">
        <v>96</v>
      </c>
      <c r="C53" s="253" t="s">
        <v>8</v>
      </c>
      <c r="D53" s="253" t="s">
        <v>40</v>
      </c>
      <c r="E53" s="253" t="s">
        <v>41</v>
      </c>
      <c r="F53" s="253" t="s">
        <v>42</v>
      </c>
    </row>
    <row r="54" spans="1:6" x14ac:dyDescent="0.3">
      <c r="A54" s="253" t="s">
        <v>142</v>
      </c>
      <c r="B54" s="253" t="s">
        <v>143</v>
      </c>
      <c r="C54" s="253" t="s">
        <v>8</v>
      </c>
      <c r="D54" s="253" t="s">
        <v>139</v>
      </c>
      <c r="E54" s="253" t="s">
        <v>895</v>
      </c>
      <c r="F54" s="253" t="s">
        <v>42</v>
      </c>
    </row>
    <row r="55" spans="1:6" x14ac:dyDescent="0.3">
      <c r="A55" s="253" t="s">
        <v>144</v>
      </c>
      <c r="B55" s="253" t="s">
        <v>145</v>
      </c>
      <c r="C55" s="253" t="s">
        <v>8</v>
      </c>
      <c r="D55" s="253" t="s">
        <v>139</v>
      </c>
      <c r="E55" s="253" t="s">
        <v>895</v>
      </c>
      <c r="F55" s="253" t="s">
        <v>42</v>
      </c>
    </row>
    <row r="56" spans="1:6" x14ac:dyDescent="0.3">
      <c r="A56" s="253" t="s">
        <v>195</v>
      </c>
      <c r="B56" s="253" t="s">
        <v>196</v>
      </c>
      <c r="C56" s="253" t="s">
        <v>8</v>
      </c>
      <c r="D56" s="253" t="s">
        <v>194</v>
      </c>
      <c r="E56" s="253" t="s">
        <v>896</v>
      </c>
      <c r="F56" s="253" t="s">
        <v>42</v>
      </c>
    </row>
    <row r="57" spans="1:6" x14ac:dyDescent="0.3">
      <c r="A57" s="253" t="s">
        <v>146</v>
      </c>
      <c r="B57" s="253" t="s">
        <v>147</v>
      </c>
      <c r="C57" s="253" t="s">
        <v>8</v>
      </c>
      <c r="D57" s="253" t="s">
        <v>139</v>
      </c>
      <c r="E57" s="253" t="s">
        <v>895</v>
      </c>
      <c r="F57" s="253" t="s">
        <v>42</v>
      </c>
    </row>
    <row r="58" spans="1:6" x14ac:dyDescent="0.3">
      <c r="A58" s="253" t="s">
        <v>245</v>
      </c>
      <c r="B58" s="253" t="s">
        <v>246</v>
      </c>
      <c r="C58" s="253" t="s">
        <v>8</v>
      </c>
      <c r="D58" s="253" t="s">
        <v>240</v>
      </c>
      <c r="E58" s="253" t="s">
        <v>896</v>
      </c>
      <c r="F58" s="253" t="s">
        <v>42</v>
      </c>
    </row>
    <row r="59" spans="1:6" x14ac:dyDescent="0.3">
      <c r="A59" s="253" t="s">
        <v>48</v>
      </c>
      <c r="B59" s="253" t="s">
        <v>49</v>
      </c>
      <c r="C59" s="253" t="s">
        <v>8</v>
      </c>
      <c r="D59" s="253" t="s">
        <v>45</v>
      </c>
      <c r="E59" s="253" t="s">
        <v>41</v>
      </c>
      <c r="F59" s="253" t="s">
        <v>42</v>
      </c>
    </row>
    <row r="60" spans="1:6" x14ac:dyDescent="0.3">
      <c r="A60" s="253" t="s">
        <v>148</v>
      </c>
      <c r="B60" s="253" t="s">
        <v>149</v>
      </c>
      <c r="C60" s="253" t="s">
        <v>8</v>
      </c>
      <c r="D60" s="253" t="s">
        <v>139</v>
      </c>
      <c r="E60" s="253" t="s">
        <v>895</v>
      </c>
      <c r="F60" s="253" t="s">
        <v>42</v>
      </c>
    </row>
    <row r="61" spans="1:6" x14ac:dyDescent="0.3">
      <c r="A61" s="253" t="s">
        <v>50</v>
      </c>
      <c r="B61" s="253" t="s">
        <v>51</v>
      </c>
      <c r="C61" s="253" t="s">
        <v>8</v>
      </c>
      <c r="D61" s="253" t="s">
        <v>45</v>
      </c>
      <c r="E61" s="253" t="s">
        <v>41</v>
      </c>
      <c r="F61" s="253" t="s">
        <v>42</v>
      </c>
    </row>
    <row r="62" spans="1:6" x14ac:dyDescent="0.3">
      <c r="A62" s="253" t="s">
        <v>52</v>
      </c>
      <c r="B62" s="253" t="s">
        <v>53</v>
      </c>
      <c r="C62" s="253" t="s">
        <v>8</v>
      </c>
      <c r="D62" s="253" t="s">
        <v>45</v>
      </c>
      <c r="E62" s="253" t="s">
        <v>41</v>
      </c>
      <c r="F62" s="253" t="s">
        <v>42</v>
      </c>
    </row>
    <row r="63" spans="1:6" x14ac:dyDescent="0.3">
      <c r="A63" s="253" t="s">
        <v>54</v>
      </c>
      <c r="B63" s="253" t="s">
        <v>55</v>
      </c>
      <c r="C63" s="253" t="s">
        <v>8</v>
      </c>
      <c r="D63" s="253" t="s">
        <v>45</v>
      </c>
      <c r="E63" s="253" t="s">
        <v>41</v>
      </c>
      <c r="F63" s="253" t="s">
        <v>42</v>
      </c>
    </row>
    <row r="64" spans="1:6" x14ac:dyDescent="0.3">
      <c r="A64" s="253" t="s">
        <v>150</v>
      </c>
      <c r="B64" s="253" t="s">
        <v>151</v>
      </c>
      <c r="C64" s="253" t="s">
        <v>8</v>
      </c>
      <c r="D64" s="253" t="s">
        <v>139</v>
      </c>
      <c r="E64" s="253" t="s">
        <v>895</v>
      </c>
      <c r="F64" s="253" t="s">
        <v>42</v>
      </c>
    </row>
    <row r="65" spans="1:6" x14ac:dyDescent="0.3">
      <c r="A65" s="253" t="s">
        <v>152</v>
      </c>
      <c r="B65" s="253" t="s">
        <v>153</v>
      </c>
      <c r="C65" s="253" t="s">
        <v>8</v>
      </c>
      <c r="D65" s="253" t="s">
        <v>139</v>
      </c>
      <c r="E65" s="253" t="s">
        <v>895</v>
      </c>
      <c r="F65" s="253" t="s">
        <v>42</v>
      </c>
    </row>
    <row r="66" spans="1:6" x14ac:dyDescent="0.3">
      <c r="A66" s="253" t="s">
        <v>311</v>
      </c>
      <c r="B66" s="253" t="s">
        <v>312</v>
      </c>
      <c r="C66" s="253" t="s">
        <v>8</v>
      </c>
      <c r="D66" s="253" t="s">
        <v>304</v>
      </c>
      <c r="E66" s="253" t="s">
        <v>895</v>
      </c>
      <c r="F66" s="253" t="s">
        <v>42</v>
      </c>
    </row>
    <row r="67" spans="1:6" x14ac:dyDescent="0.3">
      <c r="A67" s="253" t="s">
        <v>56</v>
      </c>
      <c r="B67" s="253" t="s">
        <v>57</v>
      </c>
      <c r="C67" s="253" t="s">
        <v>8</v>
      </c>
      <c r="D67" s="253" t="s">
        <v>45</v>
      </c>
      <c r="E67" s="253" t="s">
        <v>41</v>
      </c>
      <c r="F67" s="253" t="s">
        <v>42</v>
      </c>
    </row>
    <row r="68" spans="1:6" x14ac:dyDescent="0.3">
      <c r="A68" s="253" t="s">
        <v>977</v>
      </c>
      <c r="B68" s="253" t="s">
        <v>336</v>
      </c>
      <c r="C68" s="253" t="s">
        <v>8</v>
      </c>
      <c r="D68" s="253" t="s">
        <v>978</v>
      </c>
      <c r="E68" s="253" t="s">
        <v>896</v>
      </c>
      <c r="F68" s="253" t="s">
        <v>42</v>
      </c>
    </row>
    <row r="69" spans="1:6" x14ac:dyDescent="0.3">
      <c r="A69" s="253" t="s">
        <v>58</v>
      </c>
      <c r="B69" s="253" t="s">
        <v>59</v>
      </c>
      <c r="C69" s="253" t="s">
        <v>8</v>
      </c>
      <c r="D69" s="253" t="s">
        <v>45</v>
      </c>
      <c r="E69" s="253" t="s">
        <v>41</v>
      </c>
      <c r="F69" s="253" t="s">
        <v>42</v>
      </c>
    </row>
    <row r="70" spans="1:6" x14ac:dyDescent="0.3">
      <c r="A70" s="253" t="s">
        <v>112</v>
      </c>
      <c r="B70" s="253" t="s">
        <v>113</v>
      </c>
      <c r="C70" s="253" t="s">
        <v>8</v>
      </c>
      <c r="D70" s="253" t="s">
        <v>40</v>
      </c>
      <c r="E70" s="253" t="s">
        <v>41</v>
      </c>
      <c r="F70" s="253" t="s">
        <v>42</v>
      </c>
    </row>
    <row r="71" spans="1:6" x14ac:dyDescent="0.3">
      <c r="A71" s="253" t="s">
        <v>60</v>
      </c>
      <c r="B71" s="253" t="s">
        <v>61</v>
      </c>
      <c r="C71" s="253" t="s">
        <v>8</v>
      </c>
      <c r="D71" s="253" t="s">
        <v>45</v>
      </c>
      <c r="E71" s="253" t="s">
        <v>41</v>
      </c>
      <c r="F71" s="253" t="s">
        <v>42</v>
      </c>
    </row>
    <row r="72" spans="1:6" x14ac:dyDescent="0.3">
      <c r="A72" s="253" t="s">
        <v>62</v>
      </c>
      <c r="B72" s="253" t="s">
        <v>63</v>
      </c>
      <c r="C72" s="253" t="s">
        <v>8</v>
      </c>
      <c r="D72" s="253" t="s">
        <v>45</v>
      </c>
      <c r="E72" s="253" t="s">
        <v>41</v>
      </c>
      <c r="F72" s="253" t="s">
        <v>42</v>
      </c>
    </row>
    <row r="73" spans="1:6" x14ac:dyDescent="0.3">
      <c r="A73" s="253" t="s">
        <v>258</v>
      </c>
      <c r="B73" s="253" t="s">
        <v>259</v>
      </c>
      <c r="C73" s="253" t="s">
        <v>8</v>
      </c>
      <c r="D73" s="253" t="s">
        <v>240</v>
      </c>
      <c r="E73" s="253" t="s">
        <v>896</v>
      </c>
      <c r="F73" s="253" t="s">
        <v>42</v>
      </c>
    </row>
    <row r="74" spans="1:6" x14ac:dyDescent="0.3">
      <c r="A74" s="253" t="s">
        <v>260</v>
      </c>
      <c r="B74" s="253" t="s">
        <v>261</v>
      </c>
      <c r="C74" s="253" t="s">
        <v>8</v>
      </c>
      <c r="D74" s="253" t="s">
        <v>240</v>
      </c>
      <c r="E74" s="253" t="s">
        <v>896</v>
      </c>
      <c r="F74" s="253" t="s">
        <v>42</v>
      </c>
    </row>
    <row r="75" spans="1:6" x14ac:dyDescent="0.3">
      <c r="A75" s="253" t="s">
        <v>154</v>
      </c>
      <c r="B75" s="253" t="s">
        <v>155</v>
      </c>
      <c r="C75" s="253" t="s">
        <v>8</v>
      </c>
      <c r="D75" s="253" t="s">
        <v>139</v>
      </c>
      <c r="E75" s="253" t="s">
        <v>895</v>
      </c>
      <c r="F75" s="253" t="s">
        <v>42</v>
      </c>
    </row>
    <row r="76" spans="1:6" x14ac:dyDescent="0.3">
      <c r="A76" s="253" t="s">
        <v>262</v>
      </c>
      <c r="B76" s="253" t="s">
        <v>263</v>
      </c>
      <c r="C76" s="253" t="s">
        <v>8</v>
      </c>
      <c r="D76" s="253" t="s">
        <v>240</v>
      </c>
      <c r="E76" s="253" t="s">
        <v>896</v>
      </c>
      <c r="F76" s="253" t="s">
        <v>42</v>
      </c>
    </row>
    <row r="77" spans="1:6" x14ac:dyDescent="0.3">
      <c r="A77" s="253" t="s">
        <v>66</v>
      </c>
      <c r="B77" s="253" t="s">
        <v>67</v>
      </c>
      <c r="C77" s="253" t="s">
        <v>8</v>
      </c>
      <c r="D77" s="253" t="s">
        <v>45</v>
      </c>
      <c r="E77" s="253" t="s">
        <v>41</v>
      </c>
      <c r="F77" s="253" t="s">
        <v>42</v>
      </c>
    </row>
    <row r="78" spans="1:6" x14ac:dyDescent="0.3">
      <c r="A78" s="253" t="s">
        <v>264</v>
      </c>
      <c r="B78" s="253" t="s">
        <v>265</v>
      </c>
      <c r="C78" s="253" t="s">
        <v>8</v>
      </c>
      <c r="D78" s="253" t="s">
        <v>240</v>
      </c>
      <c r="E78" s="253" t="s">
        <v>896</v>
      </c>
      <c r="F78" s="253" t="s">
        <v>42</v>
      </c>
    </row>
    <row r="79" spans="1:6" x14ac:dyDescent="0.3">
      <c r="A79" s="253" t="s">
        <v>156</v>
      </c>
      <c r="B79" s="253" t="s">
        <v>157</v>
      </c>
      <c r="C79" s="253" t="s">
        <v>8</v>
      </c>
      <c r="D79" s="253" t="s">
        <v>139</v>
      </c>
      <c r="E79" s="253" t="s">
        <v>895</v>
      </c>
      <c r="F79" s="253" t="s">
        <v>42</v>
      </c>
    </row>
    <row r="80" spans="1:6" x14ac:dyDescent="0.3">
      <c r="A80" s="253" t="s">
        <v>212</v>
      </c>
      <c r="B80" s="253" t="s">
        <v>213</v>
      </c>
      <c r="C80" s="253" t="s">
        <v>8</v>
      </c>
      <c r="D80" s="253" t="s">
        <v>194</v>
      </c>
      <c r="E80" s="253" t="s">
        <v>896</v>
      </c>
      <c r="F80" s="253" t="s">
        <v>42</v>
      </c>
    </row>
    <row r="81" spans="1:6" x14ac:dyDescent="0.3">
      <c r="A81" s="253" t="s">
        <v>68</v>
      </c>
      <c r="B81" s="253" t="s">
        <v>69</v>
      </c>
      <c r="C81" s="253" t="s">
        <v>8</v>
      </c>
      <c r="D81" s="253" t="s">
        <v>45</v>
      </c>
      <c r="E81" s="253" t="s">
        <v>41</v>
      </c>
      <c r="F81" s="253" t="s">
        <v>42</v>
      </c>
    </row>
    <row r="82" spans="1:6" x14ac:dyDescent="0.3">
      <c r="A82" s="253" t="s">
        <v>70</v>
      </c>
      <c r="B82" s="253" t="s">
        <v>71</v>
      </c>
      <c r="C82" s="253" t="s">
        <v>8</v>
      </c>
      <c r="D82" s="253" t="s">
        <v>45</v>
      </c>
      <c r="E82" s="253" t="s">
        <v>41</v>
      </c>
      <c r="F82" s="253" t="s">
        <v>42</v>
      </c>
    </row>
    <row r="83" spans="1:6" x14ac:dyDescent="0.3">
      <c r="A83" s="253" t="s">
        <v>121</v>
      </c>
      <c r="B83" s="253" t="s">
        <v>122</v>
      </c>
      <c r="C83" s="253" t="s">
        <v>8</v>
      </c>
      <c r="D83" s="253" t="s">
        <v>40</v>
      </c>
      <c r="E83" s="253" t="s">
        <v>41</v>
      </c>
      <c r="F83" s="253" t="s">
        <v>42</v>
      </c>
    </row>
    <row r="84" spans="1:6" x14ac:dyDescent="0.3">
      <c r="A84" s="253" t="s">
        <v>72</v>
      </c>
      <c r="B84" s="253" t="s">
        <v>73</v>
      </c>
      <c r="C84" s="253" t="s">
        <v>8</v>
      </c>
      <c r="D84" s="253" t="s">
        <v>45</v>
      </c>
      <c r="E84" s="253" t="s">
        <v>41</v>
      </c>
      <c r="F84" s="253" t="s">
        <v>42</v>
      </c>
    </row>
    <row r="85" spans="1:6" x14ac:dyDescent="0.3">
      <c r="A85" s="253" t="s">
        <v>74</v>
      </c>
      <c r="B85" s="253" t="s">
        <v>75</v>
      </c>
      <c r="C85" s="253" t="s">
        <v>8</v>
      </c>
      <c r="D85" s="253" t="s">
        <v>45</v>
      </c>
      <c r="E85" s="253" t="s">
        <v>41</v>
      </c>
      <c r="F85" s="253" t="s">
        <v>42</v>
      </c>
    </row>
    <row r="86" spans="1:6" x14ac:dyDescent="0.3">
      <c r="A86" s="253" t="s">
        <v>268</v>
      </c>
      <c r="B86" s="253" t="s">
        <v>269</v>
      </c>
      <c r="C86" s="253" t="s">
        <v>8</v>
      </c>
      <c r="D86" s="253" t="s">
        <v>240</v>
      </c>
      <c r="E86" s="253" t="s">
        <v>896</v>
      </c>
      <c r="F86" s="253" t="s">
        <v>42</v>
      </c>
    </row>
    <row r="87" spans="1:6" x14ac:dyDescent="0.3">
      <c r="A87" s="253" t="s">
        <v>270</v>
      </c>
      <c r="B87" s="253" t="s">
        <v>271</v>
      </c>
      <c r="C87" s="253" t="s">
        <v>8</v>
      </c>
      <c r="D87" s="253" t="s">
        <v>240</v>
      </c>
      <c r="E87" s="253" t="s">
        <v>896</v>
      </c>
      <c r="F87" s="253" t="s">
        <v>42</v>
      </c>
    </row>
    <row r="88" spans="1:6" x14ac:dyDescent="0.3">
      <c r="A88" s="253" t="s">
        <v>76</v>
      </c>
      <c r="B88" s="253" t="s">
        <v>77</v>
      </c>
      <c r="C88" s="253" t="s">
        <v>8</v>
      </c>
      <c r="D88" s="253" t="s">
        <v>45</v>
      </c>
      <c r="E88" s="253" t="s">
        <v>41</v>
      </c>
      <c r="F88" s="253" t="s">
        <v>42</v>
      </c>
    </row>
    <row r="89" spans="1:6" x14ac:dyDescent="0.3">
      <c r="A89" s="253" t="s">
        <v>158</v>
      </c>
      <c r="B89" s="253" t="s">
        <v>159</v>
      </c>
      <c r="C89" s="253" t="s">
        <v>8</v>
      </c>
      <c r="D89" s="253" t="s">
        <v>139</v>
      </c>
      <c r="E89" s="253" t="s">
        <v>895</v>
      </c>
      <c r="F89" s="253" t="s">
        <v>42</v>
      </c>
    </row>
    <row r="90" spans="1:6" x14ac:dyDescent="0.3">
      <c r="A90" s="253" t="s">
        <v>160</v>
      </c>
      <c r="B90" s="253" t="s">
        <v>161</v>
      </c>
      <c r="C90" s="253" t="s">
        <v>8</v>
      </c>
      <c r="D90" s="253" t="s">
        <v>139</v>
      </c>
      <c r="E90" s="253" t="s">
        <v>895</v>
      </c>
      <c r="F90" s="253" t="s">
        <v>42</v>
      </c>
    </row>
    <row r="91" spans="1:6" x14ac:dyDescent="0.3">
      <c r="A91" s="253" t="s">
        <v>78</v>
      </c>
      <c r="B91" s="253" t="s">
        <v>79</v>
      </c>
      <c r="C91" s="253" t="s">
        <v>8</v>
      </c>
      <c r="D91" s="253" t="s">
        <v>45</v>
      </c>
      <c r="E91" s="253" t="s">
        <v>41</v>
      </c>
      <c r="F91" s="253" t="s">
        <v>42</v>
      </c>
    </row>
    <row r="92" spans="1:6" x14ac:dyDescent="0.3">
      <c r="A92" s="253" t="s">
        <v>80</v>
      </c>
      <c r="B92" s="253" t="s">
        <v>81</v>
      </c>
      <c r="C92" s="253" t="s">
        <v>8</v>
      </c>
      <c r="D92" s="253" t="s">
        <v>45</v>
      </c>
      <c r="E92" s="253" t="s">
        <v>41</v>
      </c>
      <c r="F92" s="253" t="s">
        <v>42</v>
      </c>
    </row>
    <row r="93" spans="1:6" x14ac:dyDescent="0.3">
      <c r="A93" s="253" t="s">
        <v>272</v>
      </c>
      <c r="B93" s="253" t="s">
        <v>273</v>
      </c>
      <c r="C93" s="253" t="s">
        <v>8</v>
      </c>
      <c r="D93" s="253" t="s">
        <v>240</v>
      </c>
      <c r="E93" s="253" t="s">
        <v>896</v>
      </c>
      <c r="F93" s="253" t="s">
        <v>42</v>
      </c>
    </row>
    <row r="94" spans="1:6" x14ac:dyDescent="0.3">
      <c r="A94" s="253" t="s">
        <v>315</v>
      </c>
      <c r="B94" s="253" t="s">
        <v>316</v>
      </c>
      <c r="C94" s="253" t="s">
        <v>8</v>
      </c>
      <c r="D94" s="253" t="s">
        <v>304</v>
      </c>
      <c r="E94" s="253" t="s">
        <v>895</v>
      </c>
      <c r="F94" s="253" t="s">
        <v>42</v>
      </c>
    </row>
    <row r="95" spans="1:6" x14ac:dyDescent="0.3">
      <c r="A95" s="253" t="s">
        <v>162</v>
      </c>
      <c r="B95" s="253" t="s">
        <v>163</v>
      </c>
      <c r="C95" s="253" t="s">
        <v>8</v>
      </c>
      <c r="D95" s="253" t="s">
        <v>139</v>
      </c>
      <c r="E95" s="253" t="s">
        <v>895</v>
      </c>
      <c r="F95" s="253" t="s">
        <v>42</v>
      </c>
    </row>
    <row r="96" spans="1:6" x14ac:dyDescent="0.3">
      <c r="A96" s="253" t="s">
        <v>129</v>
      </c>
      <c r="B96" s="253" t="s">
        <v>130</v>
      </c>
      <c r="C96" s="253" t="s">
        <v>8</v>
      </c>
      <c r="D96" s="253" t="s">
        <v>40</v>
      </c>
      <c r="E96" s="253" t="s">
        <v>41</v>
      </c>
      <c r="F96" s="253" t="s">
        <v>42</v>
      </c>
    </row>
    <row r="97" spans="1:6" x14ac:dyDescent="0.3">
      <c r="A97" s="253" t="s">
        <v>319</v>
      </c>
      <c r="B97" s="253" t="s">
        <v>320</v>
      </c>
      <c r="C97" s="253" t="s">
        <v>84</v>
      </c>
      <c r="D97" s="253" t="s">
        <v>304</v>
      </c>
      <c r="E97" s="253" t="s">
        <v>895</v>
      </c>
      <c r="F97" s="253" t="s">
        <v>42</v>
      </c>
    </row>
    <row r="98" spans="1:6" x14ac:dyDescent="0.3">
      <c r="A98" s="253" t="s">
        <v>97</v>
      </c>
      <c r="B98" s="253" t="s">
        <v>98</v>
      </c>
      <c r="C98" s="253" t="s">
        <v>8</v>
      </c>
      <c r="D98" s="253" t="s">
        <v>40</v>
      </c>
      <c r="E98" s="253" t="s">
        <v>41</v>
      </c>
      <c r="F98" s="253" t="s">
        <v>42</v>
      </c>
    </row>
    <row r="99" spans="1:6" x14ac:dyDescent="0.3">
      <c r="A99" s="253" t="s">
        <v>241</v>
      </c>
      <c r="B99" s="253" t="s">
        <v>242</v>
      </c>
      <c r="C99" s="253" t="s">
        <v>8</v>
      </c>
      <c r="D99" s="253" t="s">
        <v>240</v>
      </c>
      <c r="E99" s="253" t="s">
        <v>896</v>
      </c>
      <c r="F99" s="253" t="s">
        <v>42</v>
      </c>
    </row>
    <row r="100" spans="1:6" x14ac:dyDescent="0.3">
      <c r="A100" s="253" t="s">
        <v>252</v>
      </c>
      <c r="B100" s="253" t="s">
        <v>253</v>
      </c>
      <c r="C100" s="253" t="s">
        <v>8</v>
      </c>
      <c r="D100" s="253" t="s">
        <v>240</v>
      </c>
      <c r="E100" s="253" t="s">
        <v>896</v>
      </c>
      <c r="F100" s="253" t="s">
        <v>42</v>
      </c>
    </row>
    <row r="101" spans="1:6" x14ac:dyDescent="0.3">
      <c r="A101" s="253" t="s">
        <v>104</v>
      </c>
      <c r="B101" s="253" t="s">
        <v>105</v>
      </c>
      <c r="C101" s="253" t="s">
        <v>8</v>
      </c>
      <c r="D101" s="253" t="s">
        <v>40</v>
      </c>
      <c r="E101" s="253" t="s">
        <v>41</v>
      </c>
      <c r="F101" s="253" t="s">
        <v>42</v>
      </c>
    </row>
    <row r="102" spans="1:6" x14ac:dyDescent="0.3">
      <c r="A102" s="253" t="s">
        <v>119</v>
      </c>
      <c r="B102" s="253" t="s">
        <v>120</v>
      </c>
      <c r="C102" s="253" t="s">
        <v>8</v>
      </c>
      <c r="D102" s="253" t="s">
        <v>40</v>
      </c>
      <c r="E102" s="253" t="s">
        <v>41</v>
      </c>
      <c r="F102" s="253" t="s">
        <v>42</v>
      </c>
    </row>
    <row r="103" spans="1:6" x14ac:dyDescent="0.3">
      <c r="A103" s="253" t="s">
        <v>969</v>
      </c>
      <c r="B103" s="253" t="s">
        <v>334</v>
      </c>
      <c r="C103" s="253" t="s">
        <v>84</v>
      </c>
      <c r="D103" s="253" t="s">
        <v>289</v>
      </c>
      <c r="E103" s="253" t="s">
        <v>896</v>
      </c>
      <c r="F103" s="253" t="s">
        <v>42</v>
      </c>
    </row>
    <row r="104" spans="1:6" x14ac:dyDescent="0.3">
      <c r="A104" s="253" t="s">
        <v>975</v>
      </c>
      <c r="B104" s="253" t="s">
        <v>976</v>
      </c>
      <c r="C104" s="253" t="s">
        <v>84</v>
      </c>
      <c r="D104" s="253" t="s">
        <v>289</v>
      </c>
      <c r="E104" s="253" t="s">
        <v>896</v>
      </c>
      <c r="F104" s="253" t="s">
        <v>94</v>
      </c>
    </row>
    <row r="105" spans="1:6" x14ac:dyDescent="0.3">
      <c r="A105" s="253" t="s">
        <v>223</v>
      </c>
      <c r="B105" s="253" t="s">
        <v>224</v>
      </c>
      <c r="C105" s="253" t="s">
        <v>84</v>
      </c>
      <c r="D105" s="253" t="s">
        <v>194</v>
      </c>
      <c r="E105" s="253" t="s">
        <v>896</v>
      </c>
      <c r="F105" s="253" t="s">
        <v>42</v>
      </c>
    </row>
    <row r="106" spans="1:6" x14ac:dyDescent="0.3">
      <c r="A106" s="253" t="s">
        <v>178</v>
      </c>
      <c r="B106" s="253" t="s">
        <v>179</v>
      </c>
      <c r="C106" s="253" t="s">
        <v>84</v>
      </c>
      <c r="D106" s="253" t="s">
        <v>139</v>
      </c>
      <c r="E106" s="253" t="s">
        <v>895</v>
      </c>
      <c r="F106" s="253" t="s">
        <v>42</v>
      </c>
    </row>
    <row r="107" spans="1:6" x14ac:dyDescent="0.3">
      <c r="A107" s="253" t="s">
        <v>188</v>
      </c>
      <c r="B107" s="253" t="s">
        <v>189</v>
      </c>
      <c r="C107" s="253" t="s">
        <v>84</v>
      </c>
      <c r="D107" s="253" t="s">
        <v>139</v>
      </c>
      <c r="E107" s="253" t="s">
        <v>895</v>
      </c>
      <c r="F107" s="253" t="s">
        <v>42</v>
      </c>
    </row>
    <row r="108" spans="1:6" x14ac:dyDescent="0.3">
      <c r="A108" s="253" t="s">
        <v>247</v>
      </c>
      <c r="B108" s="253" t="s">
        <v>924</v>
      </c>
      <c r="C108" s="253" t="s">
        <v>8</v>
      </c>
      <c r="D108" s="253" t="s">
        <v>240</v>
      </c>
      <c r="E108" s="253" t="s">
        <v>896</v>
      </c>
      <c r="F108" s="253" t="s">
        <v>94</v>
      </c>
    </row>
    <row r="109" spans="1:6" x14ac:dyDescent="0.3">
      <c r="A109" s="253" t="s">
        <v>180</v>
      </c>
      <c r="B109" s="253" t="s">
        <v>181</v>
      </c>
      <c r="C109" s="253" t="s">
        <v>84</v>
      </c>
      <c r="D109" s="253" t="s">
        <v>139</v>
      </c>
      <c r="E109" s="253" t="s">
        <v>895</v>
      </c>
      <c r="F109" s="253" t="s">
        <v>42</v>
      </c>
    </row>
    <row r="110" spans="1:6" x14ac:dyDescent="0.3">
      <c r="A110" s="253" t="s">
        <v>298</v>
      </c>
      <c r="B110" s="253" t="s">
        <v>299</v>
      </c>
      <c r="C110" s="253" t="s">
        <v>84</v>
      </c>
      <c r="D110" s="253" t="s">
        <v>240</v>
      </c>
      <c r="E110" s="253" t="s">
        <v>896</v>
      </c>
      <c r="F110" s="253" t="s">
        <v>42</v>
      </c>
    </row>
    <row r="111" spans="1:6" x14ac:dyDescent="0.3">
      <c r="A111" s="253" t="s">
        <v>307</v>
      </c>
      <c r="B111" s="253" t="s">
        <v>308</v>
      </c>
      <c r="C111" s="253" t="s">
        <v>8</v>
      </c>
      <c r="D111" s="253" t="s">
        <v>304</v>
      </c>
      <c r="E111" s="253" t="s">
        <v>895</v>
      </c>
      <c r="F111" s="253" t="s">
        <v>42</v>
      </c>
    </row>
    <row r="112" spans="1:6" x14ac:dyDescent="0.3">
      <c r="A112" s="253" t="s">
        <v>973</v>
      </c>
      <c r="B112" s="253" t="s">
        <v>974</v>
      </c>
      <c r="C112" s="253" t="s">
        <v>84</v>
      </c>
      <c r="D112" s="253" t="s">
        <v>289</v>
      </c>
      <c r="E112" s="253" t="s">
        <v>896</v>
      </c>
      <c r="F112" s="253" t="s">
        <v>94</v>
      </c>
    </row>
    <row r="113" spans="1:6" x14ac:dyDescent="0.3">
      <c r="A113" s="253" t="s">
        <v>228</v>
      </c>
      <c r="B113" s="253" t="s">
        <v>229</v>
      </c>
      <c r="C113" s="253" t="s">
        <v>84</v>
      </c>
      <c r="D113" s="253" t="s">
        <v>194</v>
      </c>
      <c r="E113" s="253" t="s">
        <v>896</v>
      </c>
      <c r="F113" s="253" t="s">
        <v>42</v>
      </c>
    </row>
    <row r="114" spans="1:6" x14ac:dyDescent="0.3">
      <c r="A114" s="253" t="s">
        <v>106</v>
      </c>
      <c r="B114" s="253" t="s">
        <v>107</v>
      </c>
      <c r="C114" s="253" t="s">
        <v>8</v>
      </c>
      <c r="D114" s="253" t="s">
        <v>40</v>
      </c>
      <c r="E114" s="253" t="s">
        <v>41</v>
      </c>
      <c r="F114" s="253" t="s">
        <v>42</v>
      </c>
    </row>
    <row r="115" spans="1:6" x14ac:dyDescent="0.3">
      <c r="A115" s="253" t="s">
        <v>964</v>
      </c>
      <c r="B115" s="253" t="s">
        <v>329</v>
      </c>
      <c r="C115" s="253" t="s">
        <v>84</v>
      </c>
      <c r="D115" s="253" t="s">
        <v>289</v>
      </c>
      <c r="E115" s="253" t="s">
        <v>896</v>
      </c>
      <c r="F115" s="253" t="s">
        <v>42</v>
      </c>
    </row>
    <row r="116" spans="1:6" x14ac:dyDescent="0.3">
      <c r="A116" s="253" t="s">
        <v>64</v>
      </c>
      <c r="B116" s="253" t="s">
        <v>65</v>
      </c>
      <c r="C116" s="253" t="s">
        <v>8</v>
      </c>
      <c r="D116" s="253" t="s">
        <v>45</v>
      </c>
      <c r="E116" s="253" t="s">
        <v>41</v>
      </c>
      <c r="F116" s="253" t="s">
        <v>42</v>
      </c>
    </row>
    <row r="117" spans="1:6" x14ac:dyDescent="0.3">
      <c r="A117" s="253" t="s">
        <v>278</v>
      </c>
      <c r="B117" s="253" t="s">
        <v>935</v>
      </c>
      <c r="C117" s="253" t="s">
        <v>84</v>
      </c>
      <c r="D117" s="253" t="s">
        <v>240</v>
      </c>
      <c r="E117" s="253" t="s">
        <v>896</v>
      </c>
      <c r="F117" s="253" t="s">
        <v>94</v>
      </c>
    </row>
    <row r="118" spans="1:6" x14ac:dyDescent="0.3">
      <c r="A118" s="253" t="s">
        <v>965</v>
      </c>
      <c r="B118" s="253" t="s">
        <v>330</v>
      </c>
      <c r="C118" s="253" t="s">
        <v>84</v>
      </c>
      <c r="D118" s="253" t="s">
        <v>289</v>
      </c>
      <c r="E118" s="253" t="s">
        <v>896</v>
      </c>
      <c r="F118" s="253" t="s">
        <v>42</v>
      </c>
    </row>
    <row r="119" spans="1:6" x14ac:dyDescent="0.3">
      <c r="A119" s="253" t="s">
        <v>275</v>
      </c>
      <c r="B119" s="253" t="s">
        <v>932</v>
      </c>
      <c r="C119" s="253" t="s">
        <v>84</v>
      </c>
      <c r="D119" s="253" t="s">
        <v>240</v>
      </c>
      <c r="E119" s="253" t="s">
        <v>896</v>
      </c>
      <c r="F119" s="253" t="s">
        <v>94</v>
      </c>
    </row>
    <row r="120" spans="1:6" x14ac:dyDescent="0.3">
      <c r="A120" s="253" t="s">
        <v>232</v>
      </c>
      <c r="B120" s="253" t="s">
        <v>918</v>
      </c>
      <c r="C120" s="253" t="s">
        <v>84</v>
      </c>
      <c r="D120" s="253" t="s">
        <v>194</v>
      </c>
      <c r="E120" s="253" t="s">
        <v>896</v>
      </c>
      <c r="F120" s="253" t="s">
        <v>94</v>
      </c>
    </row>
    <row r="121" spans="1:6" x14ac:dyDescent="0.3">
      <c r="A121" s="253" t="s">
        <v>108</v>
      </c>
      <c r="B121" s="253" t="s">
        <v>109</v>
      </c>
      <c r="C121" s="253" t="s">
        <v>8</v>
      </c>
      <c r="D121" s="253" t="s">
        <v>40</v>
      </c>
      <c r="E121" s="253" t="s">
        <v>41</v>
      </c>
      <c r="F121" s="253" t="s">
        <v>42</v>
      </c>
    </row>
    <row r="122" spans="1:6" x14ac:dyDescent="0.3">
      <c r="A122" s="253" t="s">
        <v>302</v>
      </c>
      <c r="B122" s="253" t="s">
        <v>303</v>
      </c>
      <c r="C122" s="253" t="s">
        <v>8</v>
      </c>
      <c r="D122" s="253" t="s">
        <v>304</v>
      </c>
      <c r="E122" s="253" t="s">
        <v>895</v>
      </c>
      <c r="F122" s="253" t="s">
        <v>42</v>
      </c>
    </row>
    <row r="123" spans="1:6" x14ac:dyDescent="0.3">
      <c r="A123" s="253" t="s">
        <v>980</v>
      </c>
      <c r="B123" s="253" t="s">
        <v>338</v>
      </c>
      <c r="C123" s="253" t="s">
        <v>8</v>
      </c>
      <c r="D123" s="253" t="s">
        <v>978</v>
      </c>
      <c r="E123" s="253" t="s">
        <v>896</v>
      </c>
      <c r="F123" s="253" t="s">
        <v>42</v>
      </c>
    </row>
    <row r="124" spans="1:6" x14ac:dyDescent="0.3">
      <c r="A124" s="253" t="s">
        <v>257</v>
      </c>
      <c r="B124" s="253" t="s">
        <v>930</v>
      </c>
      <c r="C124" s="253" t="s">
        <v>8</v>
      </c>
      <c r="D124" s="253" t="s">
        <v>240</v>
      </c>
      <c r="E124" s="253" t="s">
        <v>896</v>
      </c>
      <c r="F124" s="253" t="s">
        <v>94</v>
      </c>
    </row>
    <row r="125" spans="1:6" x14ac:dyDescent="0.3">
      <c r="A125" s="253" t="s">
        <v>967</v>
      </c>
      <c r="B125" s="253" t="s">
        <v>332</v>
      </c>
      <c r="C125" s="253" t="s">
        <v>84</v>
      </c>
      <c r="D125" s="253" t="s">
        <v>289</v>
      </c>
      <c r="E125" s="253" t="s">
        <v>896</v>
      </c>
      <c r="F125" s="253" t="s">
        <v>42</v>
      </c>
    </row>
    <row r="126" spans="1:6" x14ac:dyDescent="0.3">
      <c r="A126" s="253" t="s">
        <v>102</v>
      </c>
      <c r="B126" s="253" t="s">
        <v>103</v>
      </c>
      <c r="C126" s="253" t="s">
        <v>8</v>
      </c>
      <c r="D126" s="253" t="s">
        <v>40</v>
      </c>
      <c r="E126" s="253" t="s">
        <v>41</v>
      </c>
      <c r="F126" s="253" t="s">
        <v>42</v>
      </c>
    </row>
    <row r="127" spans="1:6" x14ac:dyDescent="0.3">
      <c r="A127" s="253" t="s">
        <v>207</v>
      </c>
      <c r="B127" s="253" t="s">
        <v>208</v>
      </c>
      <c r="C127" s="253" t="s">
        <v>8</v>
      </c>
      <c r="D127" s="253" t="s">
        <v>194</v>
      </c>
      <c r="E127" s="253" t="s">
        <v>896</v>
      </c>
      <c r="F127" s="253" t="s">
        <v>42</v>
      </c>
    </row>
    <row r="128" spans="1:6" x14ac:dyDescent="0.3">
      <c r="A128" s="253" t="s">
        <v>123</v>
      </c>
      <c r="B128" s="253" t="s">
        <v>124</v>
      </c>
      <c r="C128" s="253" t="s">
        <v>8</v>
      </c>
      <c r="D128" s="253" t="s">
        <v>40</v>
      </c>
      <c r="E128" s="253" t="s">
        <v>41</v>
      </c>
      <c r="F128" s="253" t="s">
        <v>42</v>
      </c>
    </row>
    <row r="129" spans="1:6" x14ac:dyDescent="0.3">
      <c r="A129" s="253" t="s">
        <v>236</v>
      </c>
      <c r="B129" s="253" t="s">
        <v>920</v>
      </c>
      <c r="C129" s="253" t="s">
        <v>84</v>
      </c>
      <c r="D129" s="253" t="s">
        <v>194</v>
      </c>
      <c r="E129" s="253" t="s">
        <v>896</v>
      </c>
      <c r="F129" s="253" t="s">
        <v>94</v>
      </c>
    </row>
    <row r="130" spans="1:6" x14ac:dyDescent="0.3">
      <c r="A130" s="253" t="s">
        <v>211</v>
      </c>
      <c r="B130" s="253" t="s">
        <v>911</v>
      </c>
      <c r="C130" s="253" t="s">
        <v>8</v>
      </c>
      <c r="D130" s="253" t="s">
        <v>194</v>
      </c>
      <c r="E130" s="253" t="s">
        <v>896</v>
      </c>
      <c r="F130" s="253" t="s">
        <v>94</v>
      </c>
    </row>
    <row r="131" spans="1:6" x14ac:dyDescent="0.3">
      <c r="A131" s="253" t="s">
        <v>197</v>
      </c>
      <c r="B131" s="253" t="s">
        <v>198</v>
      </c>
      <c r="C131" s="253" t="s">
        <v>8</v>
      </c>
      <c r="D131" s="253" t="s">
        <v>194</v>
      </c>
      <c r="E131" s="253" t="s">
        <v>896</v>
      </c>
      <c r="F131" s="253" t="s">
        <v>42</v>
      </c>
    </row>
    <row r="132" spans="1:6" x14ac:dyDescent="0.3">
      <c r="A132" s="253" t="s">
        <v>239</v>
      </c>
      <c r="B132" s="253" t="s">
        <v>921</v>
      </c>
      <c r="C132" s="253" t="s">
        <v>8</v>
      </c>
      <c r="D132" s="253" t="s">
        <v>240</v>
      </c>
      <c r="E132" s="253" t="s">
        <v>896</v>
      </c>
      <c r="F132" s="253" t="s">
        <v>94</v>
      </c>
    </row>
    <row r="133" spans="1:6" x14ac:dyDescent="0.3">
      <c r="A133" s="253" t="s">
        <v>301</v>
      </c>
      <c r="B133" s="253" t="s">
        <v>951</v>
      </c>
      <c r="C133" s="253" t="s">
        <v>84</v>
      </c>
      <c r="D133" s="253" t="s">
        <v>240</v>
      </c>
      <c r="E133" s="253" t="s">
        <v>896</v>
      </c>
      <c r="F133" s="253" t="s">
        <v>94</v>
      </c>
    </row>
    <row r="134" spans="1:6" x14ac:dyDescent="0.3">
      <c r="A134" s="253" t="s">
        <v>243</v>
      </c>
      <c r="B134" s="253" t="s">
        <v>922</v>
      </c>
      <c r="C134" s="253" t="s">
        <v>8</v>
      </c>
      <c r="D134" s="253" t="s">
        <v>240</v>
      </c>
      <c r="E134" s="253" t="s">
        <v>896</v>
      </c>
      <c r="F134" s="253" t="s">
        <v>94</v>
      </c>
    </row>
    <row r="135" spans="1:6" x14ac:dyDescent="0.3">
      <c r="A135" s="253" t="s">
        <v>286</v>
      </c>
      <c r="B135" s="253" t="s">
        <v>941</v>
      </c>
      <c r="C135" s="253" t="s">
        <v>84</v>
      </c>
      <c r="D135" s="253" t="s">
        <v>240</v>
      </c>
      <c r="E135" s="253" t="s">
        <v>896</v>
      </c>
      <c r="F135" s="253" t="s">
        <v>94</v>
      </c>
    </row>
    <row r="136" spans="1:6" x14ac:dyDescent="0.3">
      <c r="A136" s="253" t="s">
        <v>291</v>
      </c>
      <c r="B136" s="253" t="s">
        <v>945</v>
      </c>
      <c r="C136" s="253" t="s">
        <v>84</v>
      </c>
      <c r="D136" s="253" t="s">
        <v>240</v>
      </c>
      <c r="E136" s="253" t="s">
        <v>896</v>
      </c>
      <c r="F136" s="253" t="s">
        <v>94</v>
      </c>
    </row>
    <row r="137" spans="1:6" x14ac:dyDescent="0.3">
      <c r="A137" s="253" t="s">
        <v>164</v>
      </c>
      <c r="B137" s="253" t="s">
        <v>165</v>
      </c>
      <c r="C137" s="253" t="s">
        <v>84</v>
      </c>
      <c r="D137" s="253" t="s">
        <v>139</v>
      </c>
      <c r="E137" s="253" t="s">
        <v>895</v>
      </c>
      <c r="F137" s="253" t="s">
        <v>42</v>
      </c>
    </row>
    <row r="138" spans="1:6" x14ac:dyDescent="0.3">
      <c r="A138" s="253" t="s">
        <v>966</v>
      </c>
      <c r="B138" s="253" t="s">
        <v>331</v>
      </c>
      <c r="C138" s="253" t="s">
        <v>84</v>
      </c>
      <c r="D138" s="253" t="s">
        <v>289</v>
      </c>
      <c r="E138" s="253" t="s">
        <v>896</v>
      </c>
      <c r="F138" s="253" t="s">
        <v>42</v>
      </c>
    </row>
    <row r="139" spans="1:6" x14ac:dyDescent="0.3">
      <c r="A139" s="253" t="s">
        <v>100</v>
      </c>
      <c r="B139" s="253" t="s">
        <v>900</v>
      </c>
      <c r="C139" s="253" t="s">
        <v>8</v>
      </c>
      <c r="D139" s="253" t="s">
        <v>40</v>
      </c>
      <c r="E139" s="253" t="s">
        <v>41</v>
      </c>
      <c r="F139" s="253" t="s">
        <v>94</v>
      </c>
    </row>
    <row r="140" spans="1:6" x14ac:dyDescent="0.3">
      <c r="A140" s="253" t="s">
        <v>979</v>
      </c>
      <c r="B140" s="253" t="s">
        <v>337</v>
      </c>
      <c r="C140" s="253" t="s">
        <v>8</v>
      </c>
      <c r="D140" s="253" t="s">
        <v>978</v>
      </c>
      <c r="E140" s="253" t="s">
        <v>896</v>
      </c>
      <c r="F140" s="253" t="s">
        <v>42</v>
      </c>
    </row>
    <row r="141" spans="1:6" x14ac:dyDescent="0.3">
      <c r="A141" s="253" t="s">
        <v>285</v>
      </c>
      <c r="B141" s="253" t="s">
        <v>940</v>
      </c>
      <c r="C141" s="253" t="s">
        <v>84</v>
      </c>
      <c r="D141" s="253" t="s">
        <v>240</v>
      </c>
      <c r="E141" s="253" t="s">
        <v>896</v>
      </c>
      <c r="F141" s="253" t="s">
        <v>94</v>
      </c>
    </row>
    <row r="142" spans="1:6" x14ac:dyDescent="0.3">
      <c r="A142" s="253" t="s">
        <v>266</v>
      </c>
      <c r="B142" s="253" t="s">
        <v>267</v>
      </c>
      <c r="C142" s="253" t="s">
        <v>8</v>
      </c>
      <c r="D142" s="253" t="s">
        <v>240</v>
      </c>
      <c r="E142" s="253" t="s">
        <v>896</v>
      </c>
      <c r="F142" s="253" t="s">
        <v>94</v>
      </c>
    </row>
    <row r="143" spans="1:6" x14ac:dyDescent="0.3">
      <c r="A143" s="253" t="s">
        <v>244</v>
      </c>
      <c r="B143" s="253" t="s">
        <v>923</v>
      </c>
      <c r="C143" s="253" t="s">
        <v>8</v>
      </c>
      <c r="D143" s="253" t="s">
        <v>240</v>
      </c>
      <c r="E143" s="253" t="s">
        <v>896</v>
      </c>
      <c r="F143" s="253" t="s">
        <v>94</v>
      </c>
    </row>
    <row r="144" spans="1:6" x14ac:dyDescent="0.3">
      <c r="A144" s="253" t="s">
        <v>132</v>
      </c>
      <c r="B144" s="253" t="s">
        <v>906</v>
      </c>
      <c r="C144" s="253" t="s">
        <v>84</v>
      </c>
      <c r="D144" s="253" t="s">
        <v>40</v>
      </c>
      <c r="E144" s="253" t="s">
        <v>41</v>
      </c>
      <c r="F144" s="253" t="s">
        <v>94</v>
      </c>
    </row>
    <row r="145" spans="1:6" x14ac:dyDescent="0.3">
      <c r="A145" s="253" t="s">
        <v>131</v>
      </c>
      <c r="B145" s="253" t="s">
        <v>905</v>
      </c>
      <c r="C145" s="253" t="s">
        <v>84</v>
      </c>
      <c r="D145" s="253" t="s">
        <v>40</v>
      </c>
      <c r="E145" s="253" t="s">
        <v>41</v>
      </c>
      <c r="F145" s="253" t="s">
        <v>94</v>
      </c>
    </row>
    <row r="146" spans="1:6" x14ac:dyDescent="0.3">
      <c r="A146" s="253" t="s">
        <v>110</v>
      </c>
      <c r="B146" s="253" t="s">
        <v>111</v>
      </c>
      <c r="C146" s="253" t="s">
        <v>8</v>
      </c>
      <c r="D146" s="253" t="s">
        <v>40</v>
      </c>
      <c r="E146" s="253" t="s">
        <v>41</v>
      </c>
      <c r="F146" s="253" t="s">
        <v>42</v>
      </c>
    </row>
    <row r="147" spans="1:6" x14ac:dyDescent="0.3">
      <c r="A147" s="253" t="s">
        <v>136</v>
      </c>
      <c r="B147" s="253" t="s">
        <v>910</v>
      </c>
      <c r="C147" s="253" t="s">
        <v>84</v>
      </c>
      <c r="D147" s="253" t="s">
        <v>40</v>
      </c>
      <c r="E147" s="253" t="s">
        <v>41</v>
      </c>
      <c r="F147" s="253" t="s">
        <v>94</v>
      </c>
    </row>
    <row r="148" spans="1:6" x14ac:dyDescent="0.3">
      <c r="A148" s="253" t="s">
        <v>99</v>
      </c>
      <c r="B148" s="253" t="s">
        <v>899</v>
      </c>
      <c r="C148" s="253" t="s">
        <v>8</v>
      </c>
      <c r="D148" s="253" t="s">
        <v>40</v>
      </c>
      <c r="E148" s="253" t="s">
        <v>41</v>
      </c>
      <c r="F148" s="253" t="s">
        <v>94</v>
      </c>
    </row>
    <row r="149" spans="1:6" x14ac:dyDescent="0.3">
      <c r="A149" s="253" t="s">
        <v>288</v>
      </c>
      <c r="B149" s="253" t="s">
        <v>943</v>
      </c>
      <c r="C149" s="253" t="s">
        <v>84</v>
      </c>
      <c r="D149" s="253" t="s">
        <v>289</v>
      </c>
      <c r="E149" s="253" t="s">
        <v>896</v>
      </c>
      <c r="F149" s="253" t="s">
        <v>94</v>
      </c>
    </row>
    <row r="150" spans="1:6" x14ac:dyDescent="0.3">
      <c r="A150" s="253" t="s">
        <v>300</v>
      </c>
      <c r="B150" s="253" t="s">
        <v>950</v>
      </c>
      <c r="C150" s="253" t="s">
        <v>84</v>
      </c>
      <c r="D150" s="253" t="s">
        <v>240</v>
      </c>
      <c r="E150" s="253" t="s">
        <v>896</v>
      </c>
      <c r="F150" s="253" t="s">
        <v>94</v>
      </c>
    </row>
    <row r="151" spans="1:6" x14ac:dyDescent="0.3">
      <c r="A151" s="253" t="s">
        <v>295</v>
      </c>
      <c r="B151" s="253" t="s">
        <v>947</v>
      </c>
      <c r="C151" s="253" t="s">
        <v>84</v>
      </c>
      <c r="D151" s="253" t="s">
        <v>240</v>
      </c>
      <c r="E151" s="253" t="s">
        <v>896</v>
      </c>
      <c r="F151" s="253" t="s">
        <v>94</v>
      </c>
    </row>
    <row r="152" spans="1:6" x14ac:dyDescent="0.3">
      <c r="A152" s="253" t="s">
        <v>292</v>
      </c>
      <c r="B152" s="253" t="s">
        <v>946</v>
      </c>
      <c r="C152" s="253" t="s">
        <v>84</v>
      </c>
      <c r="D152" s="253" t="s">
        <v>240</v>
      </c>
      <c r="E152" s="253" t="s">
        <v>896</v>
      </c>
      <c r="F152" s="253" t="s">
        <v>94</v>
      </c>
    </row>
    <row r="153" spans="1:6" x14ac:dyDescent="0.3">
      <c r="A153" s="253" t="s">
        <v>282</v>
      </c>
      <c r="B153" s="253" t="s">
        <v>939</v>
      </c>
      <c r="C153" s="253" t="s">
        <v>84</v>
      </c>
      <c r="D153" s="253" t="s">
        <v>240</v>
      </c>
      <c r="E153" s="253" t="s">
        <v>896</v>
      </c>
      <c r="F153" s="253" t="s">
        <v>94</v>
      </c>
    </row>
    <row r="154" spans="1:6" x14ac:dyDescent="0.3">
      <c r="A154" s="253" t="s">
        <v>296</v>
      </c>
      <c r="B154" s="253" t="s">
        <v>948</v>
      </c>
      <c r="C154" s="253" t="s">
        <v>84</v>
      </c>
      <c r="D154" s="253" t="s">
        <v>240</v>
      </c>
      <c r="E154" s="253" t="s">
        <v>896</v>
      </c>
      <c r="F154" s="253" t="s">
        <v>94</v>
      </c>
    </row>
    <row r="155" spans="1:6" x14ac:dyDescent="0.3">
      <c r="A155" s="253" t="s">
        <v>221</v>
      </c>
      <c r="B155" s="253" t="s">
        <v>913</v>
      </c>
      <c r="C155" s="253" t="s">
        <v>84</v>
      </c>
      <c r="D155" s="253" t="s">
        <v>194</v>
      </c>
      <c r="E155" s="253" t="s">
        <v>896</v>
      </c>
      <c r="F155" s="253" t="s">
        <v>94</v>
      </c>
    </row>
    <row r="156" spans="1:6" x14ac:dyDescent="0.3">
      <c r="A156" s="253" t="s">
        <v>222</v>
      </c>
      <c r="B156" s="253" t="s">
        <v>914</v>
      </c>
      <c r="C156" s="253" t="s">
        <v>84</v>
      </c>
      <c r="D156" s="253" t="s">
        <v>194</v>
      </c>
      <c r="E156" s="253" t="s">
        <v>896</v>
      </c>
      <c r="F156" s="253" t="s">
        <v>94</v>
      </c>
    </row>
    <row r="157" spans="1:6" x14ac:dyDescent="0.3">
      <c r="A157" s="253" t="s">
        <v>290</v>
      </c>
      <c r="B157" s="253" t="s">
        <v>944</v>
      </c>
      <c r="C157" s="253" t="s">
        <v>84</v>
      </c>
      <c r="D157" s="253" t="s">
        <v>240</v>
      </c>
      <c r="E157" s="253" t="s">
        <v>896</v>
      </c>
      <c r="F157" s="253" t="s">
        <v>94</v>
      </c>
    </row>
    <row r="158" spans="1:6" x14ac:dyDescent="0.3">
      <c r="A158" s="253" t="s">
        <v>233</v>
      </c>
      <c r="B158" s="253" t="s">
        <v>919</v>
      </c>
      <c r="C158" s="253" t="s">
        <v>84</v>
      </c>
      <c r="D158" s="253" t="s">
        <v>194</v>
      </c>
      <c r="E158" s="253" t="s">
        <v>896</v>
      </c>
      <c r="F158" s="253" t="s">
        <v>94</v>
      </c>
    </row>
    <row r="159" spans="1:6" x14ac:dyDescent="0.3">
      <c r="A159" s="253" t="s">
        <v>227</v>
      </c>
      <c r="B159" s="253" t="s">
        <v>915</v>
      </c>
      <c r="C159" s="253" t="s">
        <v>84</v>
      </c>
      <c r="D159" s="253" t="s">
        <v>194</v>
      </c>
      <c r="E159" s="253" t="s">
        <v>896</v>
      </c>
      <c r="F159" s="253" t="s">
        <v>94</v>
      </c>
    </row>
    <row r="160" spans="1:6" x14ac:dyDescent="0.3">
      <c r="A160" s="253" t="s">
        <v>277</v>
      </c>
      <c r="B160" s="253" t="s">
        <v>934</v>
      </c>
      <c r="C160" s="253" t="s">
        <v>84</v>
      </c>
      <c r="D160" s="253" t="s">
        <v>240</v>
      </c>
      <c r="E160" s="253" t="s">
        <v>896</v>
      </c>
      <c r="F160" s="253" t="s">
        <v>94</v>
      </c>
    </row>
    <row r="161" spans="1:6" x14ac:dyDescent="0.3">
      <c r="A161" s="253" t="s">
        <v>952</v>
      </c>
      <c r="B161" s="253" t="s">
        <v>953</v>
      </c>
      <c r="C161" s="253" t="s">
        <v>8</v>
      </c>
      <c r="D161" s="253" t="s">
        <v>289</v>
      </c>
      <c r="E161" s="253" t="s">
        <v>896</v>
      </c>
      <c r="F161" s="253" t="s">
        <v>94</v>
      </c>
    </row>
    <row r="162" spans="1:6" x14ac:dyDescent="0.3">
      <c r="A162" s="253" t="s">
        <v>962</v>
      </c>
      <c r="B162" s="253" t="s">
        <v>963</v>
      </c>
      <c r="C162" s="253" t="s">
        <v>84</v>
      </c>
      <c r="D162" s="253" t="s">
        <v>289</v>
      </c>
      <c r="E162" s="253" t="s">
        <v>896</v>
      </c>
      <c r="F162" s="253" t="s">
        <v>94</v>
      </c>
    </row>
    <row r="163" spans="1:6" x14ac:dyDescent="0.3">
      <c r="A163" s="253" t="s">
        <v>281</v>
      </c>
      <c r="B163" s="253" t="s">
        <v>938</v>
      </c>
      <c r="C163" s="253" t="s">
        <v>84</v>
      </c>
      <c r="D163" s="253" t="s">
        <v>240</v>
      </c>
      <c r="E163" s="253" t="s">
        <v>896</v>
      </c>
      <c r="F163" s="253" t="s">
        <v>94</v>
      </c>
    </row>
    <row r="164" spans="1:6" x14ac:dyDescent="0.3">
      <c r="A164" s="253" t="s">
        <v>279</v>
      </c>
      <c r="B164" s="253" t="s">
        <v>936</v>
      </c>
      <c r="C164" s="253" t="s">
        <v>84</v>
      </c>
      <c r="D164" s="253" t="s">
        <v>240</v>
      </c>
      <c r="E164" s="253" t="s">
        <v>896</v>
      </c>
      <c r="F164" s="253" t="s">
        <v>94</v>
      </c>
    </row>
    <row r="165" spans="1:6" x14ac:dyDescent="0.3">
      <c r="A165" s="253" t="s">
        <v>971</v>
      </c>
      <c r="B165" s="253" t="s">
        <v>972</v>
      </c>
      <c r="C165" s="253" t="s">
        <v>84</v>
      </c>
      <c r="D165" s="253" t="s">
        <v>289</v>
      </c>
      <c r="E165" s="253" t="s">
        <v>896</v>
      </c>
      <c r="F165" s="253" t="s">
        <v>94</v>
      </c>
    </row>
    <row r="166" spans="1:6" x14ac:dyDescent="0.3">
      <c r="A166" s="253" t="s">
        <v>248</v>
      </c>
      <c r="B166" s="253" t="s">
        <v>925</v>
      </c>
      <c r="C166" s="253" t="s">
        <v>8</v>
      </c>
      <c r="D166" s="253" t="s">
        <v>240</v>
      </c>
      <c r="E166" s="253" t="s">
        <v>896</v>
      </c>
      <c r="F166" s="253" t="s">
        <v>94</v>
      </c>
    </row>
    <row r="167" spans="1:6" x14ac:dyDescent="0.3">
      <c r="A167" s="253" t="s">
        <v>958</v>
      </c>
      <c r="B167" s="253" t="s">
        <v>959</v>
      </c>
      <c r="C167" s="253" t="s">
        <v>8</v>
      </c>
      <c r="D167" s="253" t="s">
        <v>289</v>
      </c>
      <c r="E167" s="253" t="s">
        <v>896</v>
      </c>
      <c r="F167" s="253" t="s">
        <v>94</v>
      </c>
    </row>
    <row r="168" spans="1:6" x14ac:dyDescent="0.3">
      <c r="A168" s="253" t="s">
        <v>135</v>
      </c>
      <c r="B168" s="253" t="s">
        <v>909</v>
      </c>
      <c r="C168" s="253" t="s">
        <v>84</v>
      </c>
      <c r="D168" s="253" t="s">
        <v>40</v>
      </c>
      <c r="E168" s="253" t="s">
        <v>41</v>
      </c>
      <c r="F168" s="253" t="s">
        <v>94</v>
      </c>
    </row>
    <row r="169" spans="1:6" x14ac:dyDescent="0.3">
      <c r="A169" s="253" t="s">
        <v>297</v>
      </c>
      <c r="B169" s="253" t="s">
        <v>949</v>
      </c>
      <c r="C169" s="253" t="s">
        <v>84</v>
      </c>
      <c r="D169" s="253" t="s">
        <v>240</v>
      </c>
      <c r="E169" s="253" t="s">
        <v>896</v>
      </c>
      <c r="F169" s="253" t="s">
        <v>94</v>
      </c>
    </row>
    <row r="170" spans="1:6" x14ac:dyDescent="0.3">
      <c r="A170" s="253" t="s">
        <v>287</v>
      </c>
      <c r="B170" s="253" t="s">
        <v>942</v>
      </c>
      <c r="C170" s="253" t="s">
        <v>84</v>
      </c>
      <c r="D170" s="253" t="s">
        <v>240</v>
      </c>
      <c r="E170" s="253" t="s">
        <v>896</v>
      </c>
      <c r="F170" s="253" t="s">
        <v>94</v>
      </c>
    </row>
    <row r="171" spans="1:6" x14ac:dyDescent="0.3">
      <c r="A171" s="253" t="s">
        <v>93</v>
      </c>
      <c r="B171" s="253" t="s">
        <v>898</v>
      </c>
      <c r="C171" s="253" t="s">
        <v>8</v>
      </c>
      <c r="D171" s="253" t="s">
        <v>40</v>
      </c>
      <c r="E171" s="253" t="s">
        <v>41</v>
      </c>
      <c r="F171" s="253" t="s">
        <v>94</v>
      </c>
    </row>
    <row r="172" spans="1:6" x14ac:dyDescent="0.3">
      <c r="A172" s="253" t="s">
        <v>274</v>
      </c>
      <c r="B172" s="253" t="s">
        <v>931</v>
      </c>
      <c r="C172" s="253" t="s">
        <v>84</v>
      </c>
      <c r="D172" s="253" t="s">
        <v>240</v>
      </c>
      <c r="E172" s="253" t="s">
        <v>896</v>
      </c>
      <c r="F172" s="253" t="s">
        <v>94</v>
      </c>
    </row>
    <row r="173" spans="1:6" x14ac:dyDescent="0.3">
      <c r="A173" s="253" t="s">
        <v>249</v>
      </c>
      <c r="B173" s="253" t="s">
        <v>926</v>
      </c>
      <c r="C173" s="253" t="s">
        <v>8</v>
      </c>
      <c r="D173" s="253" t="s">
        <v>240</v>
      </c>
      <c r="E173" s="253" t="s">
        <v>896</v>
      </c>
      <c r="F173" s="253" t="s">
        <v>94</v>
      </c>
    </row>
    <row r="174" spans="1:6" x14ac:dyDescent="0.3">
      <c r="A174" s="253" t="s">
        <v>313</v>
      </c>
      <c r="B174" s="253" t="s">
        <v>314</v>
      </c>
      <c r="C174" s="253" t="s">
        <v>8</v>
      </c>
      <c r="D174" s="253" t="s">
        <v>304</v>
      </c>
      <c r="E174" s="253" t="s">
        <v>895</v>
      </c>
      <c r="F174" s="253" t="s">
        <v>42</v>
      </c>
    </row>
    <row r="175" spans="1:6" x14ac:dyDescent="0.3">
      <c r="A175" s="253" t="s">
        <v>323</v>
      </c>
      <c r="B175" s="253" t="s">
        <v>324</v>
      </c>
      <c r="C175" s="253" t="s">
        <v>84</v>
      </c>
      <c r="D175" s="253" t="s">
        <v>304</v>
      </c>
      <c r="E175" s="253" t="s">
        <v>895</v>
      </c>
      <c r="F175" s="253" t="s">
        <v>42</v>
      </c>
    </row>
    <row r="176" spans="1:6" x14ac:dyDescent="0.3">
      <c r="A176" s="253" t="s">
        <v>115</v>
      </c>
      <c r="B176" s="253" t="s">
        <v>116</v>
      </c>
      <c r="C176" s="253" t="s">
        <v>8</v>
      </c>
      <c r="D176" s="253" t="s">
        <v>40</v>
      </c>
      <c r="E176" s="253" t="s">
        <v>41</v>
      </c>
      <c r="F176" s="253" t="s">
        <v>42</v>
      </c>
    </row>
    <row r="177" spans="1:6" x14ac:dyDescent="0.3">
      <c r="A177" s="253" t="s">
        <v>117</v>
      </c>
      <c r="B177" s="253" t="s">
        <v>118</v>
      </c>
      <c r="C177" s="253" t="s">
        <v>8</v>
      </c>
      <c r="D177" s="253" t="s">
        <v>40</v>
      </c>
      <c r="E177" s="253" t="s">
        <v>41</v>
      </c>
      <c r="F177" s="253" t="s">
        <v>42</v>
      </c>
    </row>
    <row r="178" spans="1:6" x14ac:dyDescent="0.3">
      <c r="A178" s="253" t="s">
        <v>251</v>
      </c>
      <c r="B178" s="253" t="s">
        <v>928</v>
      </c>
      <c r="C178" s="253" t="s">
        <v>8</v>
      </c>
      <c r="D178" s="253" t="s">
        <v>240</v>
      </c>
      <c r="E178" s="253" t="s">
        <v>896</v>
      </c>
      <c r="F178" s="253" t="s">
        <v>94</v>
      </c>
    </row>
    <row r="179" spans="1:6" x14ac:dyDescent="0.3">
      <c r="A179" s="253" t="s">
        <v>214</v>
      </c>
      <c r="B179" s="253" t="s">
        <v>912</v>
      </c>
      <c r="C179" s="253" t="s">
        <v>84</v>
      </c>
      <c r="D179" s="253" t="s">
        <v>194</v>
      </c>
      <c r="E179" s="253" t="s">
        <v>896</v>
      </c>
      <c r="F179" s="253" t="s">
        <v>94</v>
      </c>
    </row>
    <row r="180" spans="1:6" x14ac:dyDescent="0.3">
      <c r="A180" s="253" t="s">
        <v>254</v>
      </c>
      <c r="B180" s="253" t="s">
        <v>929</v>
      </c>
      <c r="C180" s="253" t="s">
        <v>8</v>
      </c>
      <c r="D180" s="253" t="s">
        <v>240</v>
      </c>
      <c r="E180" s="253" t="s">
        <v>896</v>
      </c>
      <c r="F180" s="253" t="s">
        <v>94</v>
      </c>
    </row>
    <row r="181" spans="1:6" x14ac:dyDescent="0.3">
      <c r="A181" s="253" t="s">
        <v>960</v>
      </c>
      <c r="B181" s="253" t="s">
        <v>961</v>
      </c>
      <c r="C181" s="253" t="s">
        <v>8</v>
      </c>
      <c r="D181" s="253" t="s">
        <v>289</v>
      </c>
      <c r="E181" s="253" t="s">
        <v>896</v>
      </c>
      <c r="F181" s="253" t="s">
        <v>94</v>
      </c>
    </row>
    <row r="182" spans="1:6" x14ac:dyDescent="0.3">
      <c r="A182" s="253" t="s">
        <v>46</v>
      </c>
      <c r="B182" s="253" t="s">
        <v>47</v>
      </c>
      <c r="C182" s="253" t="s">
        <v>8</v>
      </c>
      <c r="D182" s="253" t="s">
        <v>45</v>
      </c>
      <c r="E182" s="253" t="s">
        <v>41</v>
      </c>
      <c r="F182" s="253" t="s">
        <v>42</v>
      </c>
    </row>
    <row r="183" spans="1:6" x14ac:dyDescent="0.3">
      <c r="A183" s="253" t="s">
        <v>199</v>
      </c>
      <c r="B183" s="253" t="s">
        <v>200</v>
      </c>
      <c r="C183" s="253" t="s">
        <v>8</v>
      </c>
      <c r="D183" s="253" t="s">
        <v>194</v>
      </c>
      <c r="E183" s="253" t="s">
        <v>896</v>
      </c>
      <c r="F183" s="253" t="s">
        <v>42</v>
      </c>
    </row>
    <row r="184" spans="1:6" x14ac:dyDescent="0.3">
      <c r="A184" s="253" t="s">
        <v>956</v>
      </c>
      <c r="B184" s="253" t="s">
        <v>957</v>
      </c>
      <c r="C184" s="253" t="s">
        <v>8</v>
      </c>
      <c r="D184" s="253" t="s">
        <v>289</v>
      </c>
      <c r="E184" s="253" t="s">
        <v>896</v>
      </c>
      <c r="F184" s="253" t="s">
        <v>94</v>
      </c>
    </row>
    <row r="185" spans="1:6" x14ac:dyDescent="0.3">
      <c r="A185" s="253" t="s">
        <v>984</v>
      </c>
      <c r="B185" s="253" t="s">
        <v>342</v>
      </c>
      <c r="C185" s="253" t="s">
        <v>84</v>
      </c>
      <c r="D185" s="253" t="s">
        <v>978</v>
      </c>
      <c r="E185" s="253" t="s">
        <v>896</v>
      </c>
      <c r="F185" s="253" t="s">
        <v>42</v>
      </c>
    </row>
    <row r="186" spans="1:6" x14ac:dyDescent="0.3">
      <c r="A186" s="253" t="s">
        <v>255</v>
      </c>
      <c r="B186" s="253" t="s">
        <v>256</v>
      </c>
      <c r="C186" s="253" t="s">
        <v>8</v>
      </c>
      <c r="D186" s="253" t="s">
        <v>240</v>
      </c>
      <c r="E186" s="253" t="s">
        <v>896</v>
      </c>
      <c r="F186" s="253" t="s">
        <v>42</v>
      </c>
    </row>
    <row r="187" spans="1:6" x14ac:dyDescent="0.3">
      <c r="A187" s="253" t="s">
        <v>184</v>
      </c>
      <c r="B187" s="253" t="s">
        <v>185</v>
      </c>
      <c r="C187" s="253" t="s">
        <v>84</v>
      </c>
      <c r="D187" s="253" t="s">
        <v>139</v>
      </c>
      <c r="E187" s="253" t="s">
        <v>895</v>
      </c>
      <c r="F187" s="253" t="s">
        <v>42</v>
      </c>
    </row>
    <row r="188" spans="1:6" x14ac:dyDescent="0.3">
      <c r="A188" s="253" t="s">
        <v>201</v>
      </c>
      <c r="B188" s="253" t="s">
        <v>202</v>
      </c>
      <c r="C188" s="253" t="s">
        <v>8</v>
      </c>
      <c r="D188" s="253" t="s">
        <v>194</v>
      </c>
      <c r="E188" s="253" t="s">
        <v>896</v>
      </c>
      <c r="F188" s="253" t="s">
        <v>42</v>
      </c>
    </row>
    <row r="189" spans="1:6" x14ac:dyDescent="0.3">
      <c r="A189" s="253" t="s">
        <v>101</v>
      </c>
      <c r="B189" s="253" t="s">
        <v>901</v>
      </c>
      <c r="C189" s="253" t="s">
        <v>8</v>
      </c>
      <c r="D189" s="253" t="s">
        <v>40</v>
      </c>
      <c r="E189" s="253" t="s">
        <v>41</v>
      </c>
      <c r="F189" s="253" t="s">
        <v>94</v>
      </c>
    </row>
    <row r="190" spans="1:6" x14ac:dyDescent="0.3">
      <c r="A190" s="253" t="s">
        <v>205</v>
      </c>
      <c r="B190" s="253" t="s">
        <v>206</v>
      </c>
      <c r="C190" s="253" t="s">
        <v>8</v>
      </c>
      <c r="D190" s="253" t="s">
        <v>194</v>
      </c>
      <c r="E190" s="253" t="s">
        <v>896</v>
      </c>
      <c r="F190" s="253" t="s">
        <v>42</v>
      </c>
    </row>
    <row r="191" spans="1:6" x14ac:dyDescent="0.3">
      <c r="A191" s="253" t="s">
        <v>128</v>
      </c>
      <c r="B191" s="253" t="s">
        <v>904</v>
      </c>
      <c r="C191" s="253" t="s">
        <v>8</v>
      </c>
      <c r="D191" s="253" t="s">
        <v>40</v>
      </c>
      <c r="E191" s="253" t="s">
        <v>41</v>
      </c>
      <c r="F191" s="253" t="s">
        <v>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61"/>
  <sheetViews>
    <sheetView workbookViewId="0">
      <selection activeCell="E449" sqref="E449"/>
    </sheetView>
  </sheetViews>
  <sheetFormatPr defaultRowHeight="14.4" x14ac:dyDescent="0.3"/>
  <cols>
    <col min="1" max="1" width="11" style="210" bestFit="1" customWidth="1"/>
    <col min="2" max="2" width="34.21875" style="210" bestFit="1" customWidth="1"/>
    <col min="3" max="3" width="6.109375" style="210" bestFit="1" customWidth="1"/>
    <col min="4" max="4" width="8.21875" style="210" bestFit="1" customWidth="1"/>
    <col min="5" max="5" width="8.44140625" style="210" bestFit="1" customWidth="1"/>
    <col min="6" max="6" width="7.6640625" style="210" bestFit="1" customWidth="1"/>
    <col min="7" max="7" width="9.5546875" style="210" bestFit="1" customWidth="1"/>
    <col min="8" max="8" width="8.21875" style="210" bestFit="1" customWidth="1"/>
  </cols>
  <sheetData>
    <row r="1" spans="1:8" x14ac:dyDescent="0.3">
      <c r="A1" t="s">
        <v>855</v>
      </c>
      <c r="B1" t="s">
        <v>857</v>
      </c>
      <c r="C1" t="s">
        <v>859</v>
      </c>
      <c r="D1" t="s">
        <v>858</v>
      </c>
      <c r="E1" t="s">
        <v>20</v>
      </c>
      <c r="F1" t="s">
        <v>862</v>
      </c>
      <c r="G1" t="s">
        <v>357</v>
      </c>
      <c r="H1" t="s">
        <v>9</v>
      </c>
    </row>
    <row r="2" spans="1:8" x14ac:dyDescent="0.3">
      <c r="A2" s="253" t="s">
        <v>133</v>
      </c>
      <c r="B2" s="253" t="s">
        <v>907</v>
      </c>
      <c r="C2" s="253" t="s">
        <v>84</v>
      </c>
      <c r="D2" s="253" t="s">
        <v>40</v>
      </c>
      <c r="E2" s="253" t="s">
        <v>41</v>
      </c>
      <c r="F2" s="253" t="s">
        <v>94</v>
      </c>
      <c r="G2" s="251" t="s">
        <v>864</v>
      </c>
      <c r="H2" s="251" t="s">
        <v>4</v>
      </c>
    </row>
    <row r="3" spans="1:8" x14ac:dyDescent="0.3">
      <c r="A3" s="253" t="s">
        <v>133</v>
      </c>
      <c r="B3" s="253" t="s">
        <v>907</v>
      </c>
      <c r="C3" s="253" t="s">
        <v>84</v>
      </c>
      <c r="D3" s="253" t="s">
        <v>40</v>
      </c>
      <c r="E3" s="253" t="s">
        <v>41</v>
      </c>
      <c r="F3" s="253" t="s">
        <v>94</v>
      </c>
      <c r="G3" s="251" t="s">
        <v>865</v>
      </c>
      <c r="H3" s="251" t="s">
        <v>4</v>
      </c>
    </row>
    <row r="4" spans="1:8" x14ac:dyDescent="0.3">
      <c r="A4" s="253" t="s">
        <v>133</v>
      </c>
      <c r="B4" s="253" t="s">
        <v>907</v>
      </c>
      <c r="C4" s="253" t="s">
        <v>84</v>
      </c>
      <c r="D4" s="253" t="s">
        <v>40</v>
      </c>
      <c r="E4" s="253" t="s">
        <v>41</v>
      </c>
      <c r="F4" s="253" t="s">
        <v>94</v>
      </c>
      <c r="G4" s="251" t="s">
        <v>866</v>
      </c>
      <c r="H4" s="251" t="s">
        <v>2</v>
      </c>
    </row>
    <row r="5" spans="1:8" x14ac:dyDescent="0.3">
      <c r="A5" s="253" t="s">
        <v>133</v>
      </c>
      <c r="B5" s="253" t="s">
        <v>907</v>
      </c>
      <c r="C5" s="253" t="s">
        <v>84</v>
      </c>
      <c r="D5" s="253" t="s">
        <v>40</v>
      </c>
      <c r="E5" s="253" t="s">
        <v>41</v>
      </c>
      <c r="F5" s="253" t="s">
        <v>94</v>
      </c>
      <c r="G5" s="251" t="s">
        <v>863</v>
      </c>
      <c r="H5" s="251" t="s">
        <v>5</v>
      </c>
    </row>
    <row r="6" spans="1:8" x14ac:dyDescent="0.3">
      <c r="A6" s="253" t="s">
        <v>127</v>
      </c>
      <c r="B6" s="253" t="s">
        <v>903</v>
      </c>
      <c r="C6" s="253" t="s">
        <v>8</v>
      </c>
      <c r="D6" s="253" t="s">
        <v>40</v>
      </c>
      <c r="E6" s="253" t="s">
        <v>41</v>
      </c>
      <c r="F6" s="253" t="s">
        <v>94</v>
      </c>
      <c r="G6" s="251" t="s">
        <v>864</v>
      </c>
      <c r="H6" s="251" t="s">
        <v>4</v>
      </c>
    </row>
    <row r="7" spans="1:8" x14ac:dyDescent="0.3">
      <c r="A7" s="253" t="s">
        <v>127</v>
      </c>
      <c r="B7" s="253" t="s">
        <v>903</v>
      </c>
      <c r="C7" s="253" t="s">
        <v>8</v>
      </c>
      <c r="D7" s="253" t="s">
        <v>40</v>
      </c>
      <c r="E7" s="253" t="s">
        <v>41</v>
      </c>
      <c r="F7" s="253" t="s">
        <v>94</v>
      </c>
      <c r="G7" s="251" t="s">
        <v>865</v>
      </c>
      <c r="H7" s="251" t="s">
        <v>5</v>
      </c>
    </row>
    <row r="8" spans="1:8" x14ac:dyDescent="0.3">
      <c r="A8" s="253" t="s">
        <v>127</v>
      </c>
      <c r="B8" s="253" t="s">
        <v>903</v>
      </c>
      <c r="C8" s="253" t="s">
        <v>8</v>
      </c>
      <c r="D8" s="253" t="s">
        <v>40</v>
      </c>
      <c r="E8" s="253" t="s">
        <v>41</v>
      </c>
      <c r="F8" s="253" t="s">
        <v>94</v>
      </c>
      <c r="G8" s="251" t="s">
        <v>866</v>
      </c>
      <c r="H8" s="251" t="s">
        <v>2</v>
      </c>
    </row>
    <row r="9" spans="1:8" x14ac:dyDescent="0.3">
      <c r="A9" s="253" t="s">
        <v>127</v>
      </c>
      <c r="B9" s="253" t="s">
        <v>903</v>
      </c>
      <c r="C9" s="253" t="s">
        <v>8</v>
      </c>
      <c r="D9" s="253" t="s">
        <v>40</v>
      </c>
      <c r="E9" s="253" t="s">
        <v>41</v>
      </c>
      <c r="F9" s="253" t="s">
        <v>94</v>
      </c>
      <c r="G9" s="251" t="s">
        <v>863</v>
      </c>
      <c r="H9" s="251" t="s">
        <v>6</v>
      </c>
    </row>
    <row r="10" spans="1:8" x14ac:dyDescent="0.3">
      <c r="A10" s="253" t="s">
        <v>305</v>
      </c>
      <c r="B10" s="253" t="s">
        <v>306</v>
      </c>
      <c r="C10" s="253" t="s">
        <v>8</v>
      </c>
      <c r="D10" s="253" t="s">
        <v>304</v>
      </c>
      <c r="E10" s="253" t="s">
        <v>895</v>
      </c>
      <c r="F10" s="253" t="s">
        <v>42</v>
      </c>
      <c r="G10" s="251" t="s">
        <v>875</v>
      </c>
      <c r="H10" s="251" t="s">
        <v>8</v>
      </c>
    </row>
    <row r="11" spans="1:8" x14ac:dyDescent="0.3">
      <c r="A11" s="253" t="s">
        <v>305</v>
      </c>
      <c r="B11" s="253" t="s">
        <v>306</v>
      </c>
      <c r="C11" s="253" t="s">
        <v>8</v>
      </c>
      <c r="D11" s="253" t="s">
        <v>304</v>
      </c>
      <c r="E11" s="253" t="s">
        <v>895</v>
      </c>
      <c r="F11" s="253" t="s">
        <v>42</v>
      </c>
      <c r="G11" s="251" t="s">
        <v>876</v>
      </c>
      <c r="H11" s="251" t="s">
        <v>8</v>
      </c>
    </row>
    <row r="12" spans="1:8" x14ac:dyDescent="0.3">
      <c r="A12" s="253" t="s">
        <v>305</v>
      </c>
      <c r="B12" s="253" t="s">
        <v>306</v>
      </c>
      <c r="C12" s="253" t="s">
        <v>8</v>
      </c>
      <c r="D12" s="253" t="s">
        <v>304</v>
      </c>
      <c r="E12" s="253" t="s">
        <v>895</v>
      </c>
      <c r="F12" s="253" t="s">
        <v>42</v>
      </c>
      <c r="G12" s="251" t="s">
        <v>877</v>
      </c>
      <c r="H12" s="251" t="s">
        <v>8</v>
      </c>
    </row>
    <row r="13" spans="1:8" x14ac:dyDescent="0.3">
      <c r="A13" s="253" t="s">
        <v>305</v>
      </c>
      <c r="B13" s="253" t="s">
        <v>306</v>
      </c>
      <c r="C13" s="253" t="s">
        <v>8</v>
      </c>
      <c r="D13" s="253" t="s">
        <v>304</v>
      </c>
      <c r="E13" s="253" t="s">
        <v>895</v>
      </c>
      <c r="F13" s="253" t="s">
        <v>42</v>
      </c>
      <c r="G13" s="251" t="s">
        <v>863</v>
      </c>
      <c r="H13" s="251" t="s">
        <v>6</v>
      </c>
    </row>
    <row r="14" spans="1:8" x14ac:dyDescent="0.3">
      <c r="A14" s="253" t="s">
        <v>250</v>
      </c>
      <c r="B14" s="253" t="s">
        <v>927</v>
      </c>
      <c r="C14" s="253" t="s">
        <v>8</v>
      </c>
      <c r="D14" s="253" t="s">
        <v>240</v>
      </c>
      <c r="E14" s="253" t="s">
        <v>896</v>
      </c>
      <c r="F14" s="253" t="s">
        <v>94</v>
      </c>
      <c r="G14" s="251" t="s">
        <v>868</v>
      </c>
      <c r="H14" s="251" t="s">
        <v>4</v>
      </c>
    </row>
    <row r="15" spans="1:8" x14ac:dyDescent="0.3">
      <c r="A15" s="253" t="s">
        <v>250</v>
      </c>
      <c r="B15" s="253" t="s">
        <v>927</v>
      </c>
      <c r="C15" s="253" t="s">
        <v>8</v>
      </c>
      <c r="D15" s="253" t="s">
        <v>240</v>
      </c>
      <c r="E15" s="253" t="s">
        <v>896</v>
      </c>
      <c r="F15" s="253" t="s">
        <v>94</v>
      </c>
      <c r="G15" s="251" t="s">
        <v>869</v>
      </c>
      <c r="H15" s="251" t="s">
        <v>4</v>
      </c>
    </row>
    <row r="16" spans="1:8" x14ac:dyDescent="0.3">
      <c r="A16" s="253" t="s">
        <v>250</v>
      </c>
      <c r="B16" s="253" t="s">
        <v>927</v>
      </c>
      <c r="C16" s="253" t="s">
        <v>8</v>
      </c>
      <c r="D16" s="253" t="s">
        <v>240</v>
      </c>
      <c r="E16" s="253" t="s">
        <v>896</v>
      </c>
      <c r="F16" s="253" t="s">
        <v>94</v>
      </c>
      <c r="G16" s="251" t="s">
        <v>870</v>
      </c>
      <c r="H16" s="251" t="s">
        <v>8</v>
      </c>
    </row>
    <row r="17" spans="1:8" x14ac:dyDescent="0.3">
      <c r="A17" s="253" t="s">
        <v>250</v>
      </c>
      <c r="B17" s="253" t="s">
        <v>927</v>
      </c>
      <c r="C17" s="253" t="s">
        <v>8</v>
      </c>
      <c r="D17" s="253" t="s">
        <v>240</v>
      </c>
      <c r="E17" s="253" t="s">
        <v>896</v>
      </c>
      <c r="F17" s="253" t="s">
        <v>94</v>
      </c>
      <c r="G17" s="251" t="s">
        <v>863</v>
      </c>
      <c r="H17" s="251" t="s">
        <v>5</v>
      </c>
    </row>
    <row r="18" spans="1:8" x14ac:dyDescent="0.3">
      <c r="A18" s="253" t="s">
        <v>125</v>
      </c>
      <c r="B18" s="253" t="s">
        <v>126</v>
      </c>
      <c r="C18" s="253" t="s">
        <v>8</v>
      </c>
      <c r="D18" s="253" t="s">
        <v>40</v>
      </c>
      <c r="E18" s="253" t="s">
        <v>41</v>
      </c>
      <c r="F18" s="253" t="s">
        <v>42</v>
      </c>
      <c r="G18" s="251" t="s">
        <v>864</v>
      </c>
      <c r="H18" s="251" t="s">
        <v>4</v>
      </c>
    </row>
    <row r="19" spans="1:8" x14ac:dyDescent="0.3">
      <c r="A19" s="253" t="s">
        <v>125</v>
      </c>
      <c r="B19" s="253" t="s">
        <v>126</v>
      </c>
      <c r="C19" s="253" t="s">
        <v>8</v>
      </c>
      <c r="D19" s="253" t="s">
        <v>40</v>
      </c>
      <c r="E19" s="253" t="s">
        <v>41</v>
      </c>
      <c r="F19" s="253" t="s">
        <v>42</v>
      </c>
      <c r="G19" s="251" t="s">
        <v>865</v>
      </c>
      <c r="H19" s="251" t="s">
        <v>4</v>
      </c>
    </row>
    <row r="20" spans="1:8" x14ac:dyDescent="0.3">
      <c r="A20" s="253" t="s">
        <v>125</v>
      </c>
      <c r="B20" s="253" t="s">
        <v>126</v>
      </c>
      <c r="C20" s="253" t="s">
        <v>8</v>
      </c>
      <c r="D20" s="253" t="s">
        <v>40</v>
      </c>
      <c r="E20" s="253" t="s">
        <v>41</v>
      </c>
      <c r="F20" s="253" t="s">
        <v>42</v>
      </c>
      <c r="G20" s="251" t="s">
        <v>866</v>
      </c>
      <c r="H20" s="251" t="s">
        <v>2</v>
      </c>
    </row>
    <row r="21" spans="1:8" x14ac:dyDescent="0.3">
      <c r="A21" s="253" t="s">
        <v>125</v>
      </c>
      <c r="B21" s="253" t="s">
        <v>126</v>
      </c>
      <c r="C21" s="253" t="s">
        <v>8</v>
      </c>
      <c r="D21" s="253" t="s">
        <v>40</v>
      </c>
      <c r="E21" s="253" t="s">
        <v>41</v>
      </c>
      <c r="F21" s="253" t="s">
        <v>42</v>
      </c>
      <c r="G21" s="251" t="s">
        <v>863</v>
      </c>
      <c r="H21" s="251" t="s">
        <v>5</v>
      </c>
    </row>
    <row r="22" spans="1:8" x14ac:dyDescent="0.3">
      <c r="A22" s="253" t="s">
        <v>276</v>
      </c>
      <c r="B22" s="253" t="s">
        <v>933</v>
      </c>
      <c r="C22" s="253" t="s">
        <v>84</v>
      </c>
      <c r="D22" s="253" t="s">
        <v>240</v>
      </c>
      <c r="E22" s="253" t="s">
        <v>896</v>
      </c>
      <c r="F22" s="253" t="s">
        <v>94</v>
      </c>
      <c r="G22" s="251" t="s">
        <v>868</v>
      </c>
      <c r="H22" s="251" t="s">
        <v>4</v>
      </c>
    </row>
    <row r="23" spans="1:8" x14ac:dyDescent="0.3">
      <c r="A23" s="253" t="s">
        <v>276</v>
      </c>
      <c r="B23" s="253" t="s">
        <v>933</v>
      </c>
      <c r="C23" s="253" t="s">
        <v>84</v>
      </c>
      <c r="D23" s="253" t="s">
        <v>240</v>
      </c>
      <c r="E23" s="253" t="s">
        <v>896</v>
      </c>
      <c r="F23" s="253" t="s">
        <v>94</v>
      </c>
      <c r="G23" s="251" t="s">
        <v>869</v>
      </c>
      <c r="H23" s="251" t="s">
        <v>8</v>
      </c>
    </row>
    <row r="24" spans="1:8" x14ac:dyDescent="0.3">
      <c r="A24" s="253" t="s">
        <v>276</v>
      </c>
      <c r="B24" s="253" t="s">
        <v>933</v>
      </c>
      <c r="C24" s="253" t="s">
        <v>84</v>
      </c>
      <c r="D24" s="253" t="s">
        <v>240</v>
      </c>
      <c r="E24" s="253" t="s">
        <v>896</v>
      </c>
      <c r="F24" s="253" t="s">
        <v>94</v>
      </c>
      <c r="G24" s="251" t="s">
        <v>870</v>
      </c>
      <c r="H24" s="251" t="s">
        <v>8</v>
      </c>
    </row>
    <row r="25" spans="1:8" x14ac:dyDescent="0.3">
      <c r="A25" s="253" t="s">
        <v>276</v>
      </c>
      <c r="B25" s="253" t="s">
        <v>933</v>
      </c>
      <c r="C25" s="253" t="s">
        <v>84</v>
      </c>
      <c r="D25" s="253" t="s">
        <v>240</v>
      </c>
      <c r="E25" s="253" t="s">
        <v>896</v>
      </c>
      <c r="F25" s="253" t="s">
        <v>94</v>
      </c>
      <c r="G25" s="251" t="s">
        <v>863</v>
      </c>
      <c r="H25" s="251" t="s">
        <v>7</v>
      </c>
    </row>
    <row r="26" spans="1:8" x14ac:dyDescent="0.3">
      <c r="A26" s="253" t="s">
        <v>134</v>
      </c>
      <c r="B26" s="253" t="s">
        <v>908</v>
      </c>
      <c r="C26" s="253" t="s">
        <v>84</v>
      </c>
      <c r="D26" s="253" t="s">
        <v>40</v>
      </c>
      <c r="E26" s="253" t="s">
        <v>41</v>
      </c>
      <c r="F26" s="253" t="s">
        <v>94</v>
      </c>
      <c r="G26" s="251" t="s">
        <v>864</v>
      </c>
      <c r="H26" s="251" t="s">
        <v>4</v>
      </c>
    </row>
    <row r="27" spans="1:8" x14ac:dyDescent="0.3">
      <c r="A27" s="253" t="s">
        <v>134</v>
      </c>
      <c r="B27" s="253" t="s">
        <v>908</v>
      </c>
      <c r="C27" s="253" t="s">
        <v>84</v>
      </c>
      <c r="D27" s="253" t="s">
        <v>40</v>
      </c>
      <c r="E27" s="253" t="s">
        <v>41</v>
      </c>
      <c r="F27" s="253" t="s">
        <v>94</v>
      </c>
      <c r="G27" s="251" t="s">
        <v>865</v>
      </c>
      <c r="H27" s="251" t="s">
        <v>4</v>
      </c>
    </row>
    <row r="28" spans="1:8" x14ac:dyDescent="0.3">
      <c r="A28" s="253" t="s">
        <v>134</v>
      </c>
      <c r="B28" s="253" t="s">
        <v>908</v>
      </c>
      <c r="C28" s="253" t="s">
        <v>84</v>
      </c>
      <c r="D28" s="253" t="s">
        <v>40</v>
      </c>
      <c r="E28" s="253" t="s">
        <v>41</v>
      </c>
      <c r="F28" s="253" t="s">
        <v>94</v>
      </c>
      <c r="G28" s="251" t="s">
        <v>866</v>
      </c>
      <c r="H28" s="251" t="s">
        <v>2</v>
      </c>
    </row>
    <row r="29" spans="1:8" x14ac:dyDescent="0.3">
      <c r="A29" s="253" t="s">
        <v>134</v>
      </c>
      <c r="B29" s="253" t="s">
        <v>908</v>
      </c>
      <c r="C29" s="253" t="s">
        <v>84</v>
      </c>
      <c r="D29" s="253" t="s">
        <v>40</v>
      </c>
      <c r="E29" s="253" t="s">
        <v>41</v>
      </c>
      <c r="F29" s="253" t="s">
        <v>94</v>
      </c>
      <c r="G29" s="251" t="s">
        <v>863</v>
      </c>
      <c r="H29" s="251" t="s">
        <v>5</v>
      </c>
    </row>
    <row r="30" spans="1:8" x14ac:dyDescent="0.3">
      <c r="A30" s="253" t="s">
        <v>82</v>
      </c>
      <c r="B30" s="253" t="s">
        <v>83</v>
      </c>
      <c r="C30" s="253" t="s">
        <v>84</v>
      </c>
      <c r="D30" s="253" t="s">
        <v>45</v>
      </c>
      <c r="E30" s="253" t="s">
        <v>41</v>
      </c>
      <c r="F30" s="253" t="s">
        <v>42</v>
      </c>
      <c r="G30" s="251" t="s">
        <v>864</v>
      </c>
      <c r="H30" s="251" t="s">
        <v>5</v>
      </c>
    </row>
    <row r="31" spans="1:8" x14ac:dyDescent="0.3">
      <c r="A31" s="253" t="s">
        <v>82</v>
      </c>
      <c r="B31" s="253" t="s">
        <v>83</v>
      </c>
      <c r="C31" s="253" t="s">
        <v>84</v>
      </c>
      <c r="D31" s="253" t="s">
        <v>45</v>
      </c>
      <c r="E31" s="253" t="s">
        <v>41</v>
      </c>
      <c r="F31" s="253" t="s">
        <v>42</v>
      </c>
      <c r="G31" s="251" t="s">
        <v>865</v>
      </c>
      <c r="H31" s="251" t="s">
        <v>6</v>
      </c>
    </row>
    <row r="32" spans="1:8" x14ac:dyDescent="0.3">
      <c r="A32" s="253" t="s">
        <v>82</v>
      </c>
      <c r="B32" s="253" t="s">
        <v>83</v>
      </c>
      <c r="C32" s="253" t="s">
        <v>84</v>
      </c>
      <c r="D32" s="253" t="s">
        <v>45</v>
      </c>
      <c r="E32" s="253" t="s">
        <v>41</v>
      </c>
      <c r="F32" s="253" t="s">
        <v>42</v>
      </c>
      <c r="G32" s="251" t="s">
        <v>867</v>
      </c>
      <c r="H32" s="251" t="s">
        <v>3</v>
      </c>
    </row>
    <row r="33" spans="1:8" x14ac:dyDescent="0.3">
      <c r="A33" s="253" t="s">
        <v>82</v>
      </c>
      <c r="B33" s="253" t="s">
        <v>83</v>
      </c>
      <c r="C33" s="253" t="s">
        <v>84</v>
      </c>
      <c r="D33" s="253" t="s">
        <v>45</v>
      </c>
      <c r="E33" s="253" t="s">
        <v>41</v>
      </c>
      <c r="F33" s="253" t="s">
        <v>42</v>
      </c>
      <c r="G33" s="251" t="s">
        <v>863</v>
      </c>
      <c r="H33" s="251" t="s">
        <v>8</v>
      </c>
    </row>
    <row r="34" spans="1:8" x14ac:dyDescent="0.3">
      <c r="A34" s="253" t="s">
        <v>203</v>
      </c>
      <c r="B34" s="253" t="s">
        <v>204</v>
      </c>
      <c r="C34" s="253" t="s">
        <v>8</v>
      </c>
      <c r="D34" s="253" t="s">
        <v>194</v>
      </c>
      <c r="E34" s="253" t="s">
        <v>896</v>
      </c>
      <c r="F34" s="253" t="s">
        <v>42</v>
      </c>
      <c r="G34" s="251" t="s">
        <v>868</v>
      </c>
      <c r="H34" s="251" t="s">
        <v>4</v>
      </c>
    </row>
    <row r="35" spans="1:8" x14ac:dyDescent="0.3">
      <c r="A35" s="253" t="s">
        <v>203</v>
      </c>
      <c r="B35" s="253" t="s">
        <v>204</v>
      </c>
      <c r="C35" s="253" t="s">
        <v>8</v>
      </c>
      <c r="D35" s="253" t="s">
        <v>194</v>
      </c>
      <c r="E35" s="253" t="s">
        <v>896</v>
      </c>
      <c r="F35" s="253" t="s">
        <v>42</v>
      </c>
      <c r="G35" s="251" t="s">
        <v>869</v>
      </c>
      <c r="H35" s="251" t="s">
        <v>4</v>
      </c>
    </row>
    <row r="36" spans="1:8" x14ac:dyDescent="0.3">
      <c r="A36" s="253" t="s">
        <v>203</v>
      </c>
      <c r="B36" s="253" t="s">
        <v>204</v>
      </c>
      <c r="C36" s="253" t="s">
        <v>8</v>
      </c>
      <c r="D36" s="253" t="s">
        <v>194</v>
      </c>
      <c r="E36" s="253" t="s">
        <v>896</v>
      </c>
      <c r="F36" s="253" t="s">
        <v>42</v>
      </c>
      <c r="G36" s="251" t="s">
        <v>873</v>
      </c>
      <c r="H36" s="251" t="s">
        <v>6</v>
      </c>
    </row>
    <row r="37" spans="1:8" x14ac:dyDescent="0.3">
      <c r="A37" s="253" t="s">
        <v>203</v>
      </c>
      <c r="B37" s="253" t="s">
        <v>204</v>
      </c>
      <c r="C37" s="253" t="s">
        <v>8</v>
      </c>
      <c r="D37" s="253" t="s">
        <v>194</v>
      </c>
      <c r="E37" s="253" t="s">
        <v>896</v>
      </c>
      <c r="F37" s="253" t="s">
        <v>42</v>
      </c>
      <c r="G37" s="251" t="s">
        <v>863</v>
      </c>
      <c r="H37" s="251" t="s">
        <v>7</v>
      </c>
    </row>
    <row r="38" spans="1:8" x14ac:dyDescent="0.3">
      <c r="A38" s="253" t="s">
        <v>954</v>
      </c>
      <c r="B38" s="253" t="s">
        <v>955</v>
      </c>
      <c r="C38" s="253" t="s">
        <v>8</v>
      </c>
      <c r="D38" s="253" t="s">
        <v>289</v>
      </c>
      <c r="E38" s="253" t="s">
        <v>896</v>
      </c>
      <c r="F38" s="253" t="s">
        <v>94</v>
      </c>
      <c r="G38" s="251" t="s">
        <v>869</v>
      </c>
      <c r="H38" s="251" t="s">
        <v>5</v>
      </c>
    </row>
    <row r="39" spans="1:8" x14ac:dyDescent="0.3">
      <c r="A39" s="253" t="s">
        <v>954</v>
      </c>
      <c r="B39" s="253" t="s">
        <v>955</v>
      </c>
      <c r="C39" s="253" t="s">
        <v>8</v>
      </c>
      <c r="D39" s="253" t="s">
        <v>289</v>
      </c>
      <c r="E39" s="253" t="s">
        <v>896</v>
      </c>
      <c r="F39" s="253" t="s">
        <v>94</v>
      </c>
      <c r="G39" s="251" t="s">
        <v>870</v>
      </c>
      <c r="H39" s="251" t="s">
        <v>4</v>
      </c>
    </row>
    <row r="40" spans="1:8" x14ac:dyDescent="0.3">
      <c r="A40" s="253" t="s">
        <v>954</v>
      </c>
      <c r="B40" s="253" t="s">
        <v>955</v>
      </c>
      <c r="C40" s="253" t="s">
        <v>8</v>
      </c>
      <c r="D40" s="253" t="s">
        <v>289</v>
      </c>
      <c r="E40" s="253" t="s">
        <v>896</v>
      </c>
      <c r="F40" s="253" t="s">
        <v>94</v>
      </c>
      <c r="G40" s="251" t="s">
        <v>871</v>
      </c>
      <c r="H40" s="251" t="s">
        <v>4</v>
      </c>
    </row>
    <row r="41" spans="1:8" x14ac:dyDescent="0.3">
      <c r="A41" s="253" t="s">
        <v>954</v>
      </c>
      <c r="B41" s="253" t="s">
        <v>955</v>
      </c>
      <c r="C41" s="253" t="s">
        <v>8</v>
      </c>
      <c r="D41" s="253" t="s">
        <v>289</v>
      </c>
      <c r="E41" s="253" t="s">
        <v>896</v>
      </c>
      <c r="F41" s="253" t="s">
        <v>94</v>
      </c>
      <c r="G41" s="251" t="s">
        <v>863</v>
      </c>
      <c r="H41" s="251" t="s">
        <v>6</v>
      </c>
    </row>
    <row r="42" spans="1:8" x14ac:dyDescent="0.3">
      <c r="A42" s="253" t="s">
        <v>230</v>
      </c>
      <c r="B42" s="253" t="s">
        <v>916</v>
      </c>
      <c r="C42" s="253" t="s">
        <v>84</v>
      </c>
      <c r="D42" s="253" t="s">
        <v>194</v>
      </c>
      <c r="E42" s="253" t="s">
        <v>896</v>
      </c>
      <c r="F42" s="253" t="s">
        <v>94</v>
      </c>
      <c r="G42" s="251" t="s">
        <v>868</v>
      </c>
      <c r="H42" s="251" t="s">
        <v>5</v>
      </c>
    </row>
    <row r="43" spans="1:8" x14ac:dyDescent="0.3">
      <c r="A43" s="253" t="s">
        <v>230</v>
      </c>
      <c r="B43" s="253" t="s">
        <v>916</v>
      </c>
      <c r="C43" s="253" t="s">
        <v>84</v>
      </c>
      <c r="D43" s="253" t="s">
        <v>194</v>
      </c>
      <c r="E43" s="253" t="s">
        <v>896</v>
      </c>
      <c r="F43" s="253" t="s">
        <v>94</v>
      </c>
      <c r="G43" s="251" t="s">
        <v>869</v>
      </c>
      <c r="H43" s="251" t="s">
        <v>4</v>
      </c>
    </row>
    <row r="44" spans="1:8" x14ac:dyDescent="0.3">
      <c r="A44" s="253" t="s">
        <v>230</v>
      </c>
      <c r="B44" s="253" t="s">
        <v>916</v>
      </c>
      <c r="C44" s="253" t="s">
        <v>84</v>
      </c>
      <c r="D44" s="253" t="s">
        <v>194</v>
      </c>
      <c r="E44" s="253" t="s">
        <v>896</v>
      </c>
      <c r="F44" s="253" t="s">
        <v>94</v>
      </c>
      <c r="G44" s="251" t="s">
        <v>873</v>
      </c>
      <c r="H44" s="251" t="s">
        <v>5</v>
      </c>
    </row>
    <row r="45" spans="1:8" x14ac:dyDescent="0.3">
      <c r="A45" s="253" t="s">
        <v>230</v>
      </c>
      <c r="B45" s="253" t="s">
        <v>916</v>
      </c>
      <c r="C45" s="253" t="s">
        <v>84</v>
      </c>
      <c r="D45" s="253" t="s">
        <v>194</v>
      </c>
      <c r="E45" s="253" t="s">
        <v>896</v>
      </c>
      <c r="F45" s="253" t="s">
        <v>94</v>
      </c>
      <c r="G45" s="251" t="s">
        <v>863</v>
      </c>
      <c r="H45" s="251" t="s">
        <v>6</v>
      </c>
    </row>
    <row r="46" spans="1:8" x14ac:dyDescent="0.3">
      <c r="A46" s="253" t="s">
        <v>280</v>
      </c>
      <c r="B46" s="253" t="s">
        <v>937</v>
      </c>
      <c r="C46" s="253" t="s">
        <v>84</v>
      </c>
      <c r="D46" s="253" t="s">
        <v>240</v>
      </c>
      <c r="E46" s="253" t="s">
        <v>896</v>
      </c>
      <c r="F46" s="253" t="s">
        <v>94</v>
      </c>
      <c r="G46" s="251" t="s">
        <v>868</v>
      </c>
      <c r="H46" s="251" t="s">
        <v>4</v>
      </c>
    </row>
    <row r="47" spans="1:8" x14ac:dyDescent="0.3">
      <c r="A47" s="253" t="s">
        <v>280</v>
      </c>
      <c r="B47" s="253" t="s">
        <v>937</v>
      </c>
      <c r="C47" s="253" t="s">
        <v>84</v>
      </c>
      <c r="D47" s="253" t="s">
        <v>240</v>
      </c>
      <c r="E47" s="253" t="s">
        <v>896</v>
      </c>
      <c r="F47" s="253" t="s">
        <v>94</v>
      </c>
      <c r="G47" s="251" t="s">
        <v>869</v>
      </c>
      <c r="H47" s="251" t="s">
        <v>4</v>
      </c>
    </row>
    <row r="48" spans="1:8" x14ac:dyDescent="0.3">
      <c r="A48" s="253" t="s">
        <v>280</v>
      </c>
      <c r="B48" s="253" t="s">
        <v>937</v>
      </c>
      <c r="C48" s="253" t="s">
        <v>84</v>
      </c>
      <c r="D48" s="253" t="s">
        <v>240</v>
      </c>
      <c r="E48" s="253" t="s">
        <v>896</v>
      </c>
      <c r="F48" s="253" t="s">
        <v>94</v>
      </c>
      <c r="G48" s="251" t="s">
        <v>870</v>
      </c>
      <c r="H48" s="251" t="s">
        <v>8</v>
      </c>
    </row>
    <row r="49" spans="1:8" x14ac:dyDescent="0.3">
      <c r="A49" s="253" t="s">
        <v>280</v>
      </c>
      <c r="B49" s="253" t="s">
        <v>937</v>
      </c>
      <c r="C49" s="253" t="s">
        <v>84</v>
      </c>
      <c r="D49" s="253" t="s">
        <v>240</v>
      </c>
      <c r="E49" s="253" t="s">
        <v>896</v>
      </c>
      <c r="F49" s="253" t="s">
        <v>94</v>
      </c>
      <c r="G49" s="251" t="s">
        <v>863</v>
      </c>
      <c r="H49" s="251" t="s">
        <v>6</v>
      </c>
    </row>
    <row r="50" spans="1:8" x14ac:dyDescent="0.3">
      <c r="A50" s="253" t="s">
        <v>209</v>
      </c>
      <c r="B50" s="253" t="s">
        <v>210</v>
      </c>
      <c r="C50" s="253" t="s">
        <v>8</v>
      </c>
      <c r="D50" s="253" t="s">
        <v>194</v>
      </c>
      <c r="E50" s="253" t="s">
        <v>896</v>
      </c>
      <c r="F50" s="253" t="s">
        <v>42</v>
      </c>
      <c r="G50" s="251" t="s">
        <v>868</v>
      </c>
      <c r="H50" s="251" t="s">
        <v>5</v>
      </c>
    </row>
    <row r="51" spans="1:8" x14ac:dyDescent="0.3">
      <c r="A51" s="253" t="s">
        <v>209</v>
      </c>
      <c r="B51" s="253" t="s">
        <v>210</v>
      </c>
      <c r="C51" s="253" t="s">
        <v>8</v>
      </c>
      <c r="D51" s="253" t="s">
        <v>194</v>
      </c>
      <c r="E51" s="253" t="s">
        <v>896</v>
      </c>
      <c r="F51" s="253" t="s">
        <v>42</v>
      </c>
      <c r="G51" s="251" t="s">
        <v>869</v>
      </c>
      <c r="H51" s="251" t="s">
        <v>4</v>
      </c>
    </row>
    <row r="52" spans="1:8" x14ac:dyDescent="0.3">
      <c r="A52" s="253" t="s">
        <v>209</v>
      </c>
      <c r="B52" s="253" t="s">
        <v>210</v>
      </c>
      <c r="C52" s="253" t="s">
        <v>8</v>
      </c>
      <c r="D52" s="253" t="s">
        <v>194</v>
      </c>
      <c r="E52" s="253" t="s">
        <v>896</v>
      </c>
      <c r="F52" s="253" t="s">
        <v>42</v>
      </c>
      <c r="G52" s="251" t="s">
        <v>873</v>
      </c>
      <c r="H52" s="251" t="s">
        <v>5</v>
      </c>
    </row>
    <row r="53" spans="1:8" x14ac:dyDescent="0.3">
      <c r="A53" s="253" t="s">
        <v>209</v>
      </c>
      <c r="B53" s="253" t="s">
        <v>210</v>
      </c>
      <c r="C53" s="253" t="s">
        <v>8</v>
      </c>
      <c r="D53" s="253" t="s">
        <v>194</v>
      </c>
      <c r="E53" s="253" t="s">
        <v>896</v>
      </c>
      <c r="F53" s="253" t="s">
        <v>42</v>
      </c>
      <c r="G53" s="251" t="s">
        <v>863</v>
      </c>
      <c r="H53" s="251" t="s">
        <v>6</v>
      </c>
    </row>
    <row r="54" spans="1:8" x14ac:dyDescent="0.3">
      <c r="A54" s="253" t="s">
        <v>309</v>
      </c>
      <c r="B54" s="253" t="s">
        <v>310</v>
      </c>
      <c r="C54" s="253" t="s">
        <v>8</v>
      </c>
      <c r="D54" s="253" t="s">
        <v>304</v>
      </c>
      <c r="E54" s="253" t="s">
        <v>895</v>
      </c>
      <c r="F54" s="253" t="s">
        <v>42</v>
      </c>
      <c r="G54" s="251" t="s">
        <v>875</v>
      </c>
      <c r="H54" s="251" t="s">
        <v>8</v>
      </c>
    </row>
    <row r="55" spans="1:8" x14ac:dyDescent="0.3">
      <c r="A55" s="253" t="s">
        <v>309</v>
      </c>
      <c r="B55" s="253" t="s">
        <v>310</v>
      </c>
      <c r="C55" s="253" t="s">
        <v>8</v>
      </c>
      <c r="D55" s="253" t="s">
        <v>304</v>
      </c>
      <c r="E55" s="253" t="s">
        <v>895</v>
      </c>
      <c r="F55" s="253" t="s">
        <v>42</v>
      </c>
      <c r="G55" s="251" t="s">
        <v>876</v>
      </c>
      <c r="H55" s="251" t="s">
        <v>8</v>
      </c>
    </row>
    <row r="56" spans="1:8" x14ac:dyDescent="0.3">
      <c r="A56" s="253" t="s">
        <v>309</v>
      </c>
      <c r="B56" s="253" t="s">
        <v>310</v>
      </c>
      <c r="C56" s="253" t="s">
        <v>8</v>
      </c>
      <c r="D56" s="253" t="s">
        <v>304</v>
      </c>
      <c r="E56" s="253" t="s">
        <v>895</v>
      </c>
      <c r="F56" s="253" t="s">
        <v>42</v>
      </c>
      <c r="G56" s="251" t="s">
        <v>877</v>
      </c>
      <c r="H56" s="251" t="s">
        <v>5</v>
      </c>
    </row>
    <row r="57" spans="1:8" x14ac:dyDescent="0.3">
      <c r="A57" s="253" t="s">
        <v>309</v>
      </c>
      <c r="B57" s="253" t="s">
        <v>310</v>
      </c>
      <c r="C57" s="253" t="s">
        <v>8</v>
      </c>
      <c r="D57" s="253" t="s">
        <v>304</v>
      </c>
      <c r="E57" s="253" t="s">
        <v>895</v>
      </c>
      <c r="F57" s="253" t="s">
        <v>42</v>
      </c>
      <c r="G57" s="251" t="s">
        <v>863</v>
      </c>
      <c r="H57" s="251" t="s">
        <v>6</v>
      </c>
    </row>
    <row r="58" spans="1:8" x14ac:dyDescent="0.3">
      <c r="A58" s="253" t="s">
        <v>114</v>
      </c>
      <c r="B58" s="253" t="s">
        <v>902</v>
      </c>
      <c r="C58" s="253" t="s">
        <v>8</v>
      </c>
      <c r="D58" s="253" t="s">
        <v>40</v>
      </c>
      <c r="E58" s="253" t="s">
        <v>41</v>
      </c>
      <c r="F58" s="253" t="s">
        <v>94</v>
      </c>
      <c r="G58" s="251" t="s">
        <v>864</v>
      </c>
      <c r="H58" s="251" t="s">
        <v>5</v>
      </c>
    </row>
    <row r="59" spans="1:8" x14ac:dyDescent="0.3">
      <c r="A59" s="253" t="s">
        <v>114</v>
      </c>
      <c r="B59" s="253" t="s">
        <v>902</v>
      </c>
      <c r="C59" s="253" t="s">
        <v>8</v>
      </c>
      <c r="D59" s="253" t="s">
        <v>40</v>
      </c>
      <c r="E59" s="253" t="s">
        <v>41</v>
      </c>
      <c r="F59" s="253" t="s">
        <v>94</v>
      </c>
      <c r="G59" s="251" t="s">
        <v>865</v>
      </c>
      <c r="H59" s="251" t="s">
        <v>3</v>
      </c>
    </row>
    <row r="60" spans="1:8" x14ac:dyDescent="0.3">
      <c r="A60" s="253" t="s">
        <v>114</v>
      </c>
      <c r="B60" s="253" t="s">
        <v>902</v>
      </c>
      <c r="C60" s="253" t="s">
        <v>8</v>
      </c>
      <c r="D60" s="253" t="s">
        <v>40</v>
      </c>
      <c r="E60" s="253" t="s">
        <v>41</v>
      </c>
      <c r="F60" s="253" t="s">
        <v>94</v>
      </c>
      <c r="G60" s="251" t="s">
        <v>866</v>
      </c>
      <c r="H60" s="251" t="s">
        <v>2</v>
      </c>
    </row>
    <row r="61" spans="1:8" x14ac:dyDescent="0.3">
      <c r="A61" s="253" t="s">
        <v>114</v>
      </c>
      <c r="B61" s="253" t="s">
        <v>902</v>
      </c>
      <c r="C61" s="253" t="s">
        <v>8</v>
      </c>
      <c r="D61" s="253" t="s">
        <v>40</v>
      </c>
      <c r="E61" s="253" t="s">
        <v>41</v>
      </c>
      <c r="F61" s="253" t="s">
        <v>94</v>
      </c>
      <c r="G61" s="251" t="s">
        <v>863</v>
      </c>
      <c r="H61" s="251" t="s">
        <v>6</v>
      </c>
    </row>
    <row r="62" spans="1:8" x14ac:dyDescent="0.3">
      <c r="A62" s="253" t="s">
        <v>217</v>
      </c>
      <c r="B62" s="253" t="s">
        <v>218</v>
      </c>
      <c r="C62" s="253" t="s">
        <v>84</v>
      </c>
      <c r="D62" s="253" t="s">
        <v>194</v>
      </c>
      <c r="E62" s="253" t="s">
        <v>896</v>
      </c>
      <c r="F62" s="253" t="s">
        <v>42</v>
      </c>
      <c r="G62" s="251" t="s">
        <v>868</v>
      </c>
      <c r="H62" s="251" t="s">
        <v>6</v>
      </c>
    </row>
    <row r="63" spans="1:8" x14ac:dyDescent="0.3">
      <c r="A63" s="253" t="s">
        <v>217</v>
      </c>
      <c r="B63" s="253" t="s">
        <v>218</v>
      </c>
      <c r="C63" s="253" t="s">
        <v>84</v>
      </c>
      <c r="D63" s="253" t="s">
        <v>194</v>
      </c>
      <c r="E63" s="253" t="s">
        <v>896</v>
      </c>
      <c r="F63" s="253" t="s">
        <v>42</v>
      </c>
      <c r="G63" s="251" t="s">
        <v>869</v>
      </c>
      <c r="H63" s="251" t="s">
        <v>8</v>
      </c>
    </row>
    <row r="64" spans="1:8" x14ac:dyDescent="0.3">
      <c r="A64" s="253" t="s">
        <v>217</v>
      </c>
      <c r="B64" s="253" t="s">
        <v>218</v>
      </c>
      <c r="C64" s="253" t="s">
        <v>84</v>
      </c>
      <c r="D64" s="253" t="s">
        <v>194</v>
      </c>
      <c r="E64" s="253" t="s">
        <v>896</v>
      </c>
      <c r="F64" s="253" t="s">
        <v>42</v>
      </c>
      <c r="G64" s="251" t="s">
        <v>873</v>
      </c>
      <c r="H64" s="251" t="s">
        <v>5</v>
      </c>
    </row>
    <row r="65" spans="1:8" x14ac:dyDescent="0.3">
      <c r="A65" s="253" t="s">
        <v>217</v>
      </c>
      <c r="B65" s="253" t="s">
        <v>218</v>
      </c>
      <c r="C65" s="253" t="s">
        <v>84</v>
      </c>
      <c r="D65" s="253" t="s">
        <v>194</v>
      </c>
      <c r="E65" s="253" t="s">
        <v>896</v>
      </c>
      <c r="F65" s="253" t="s">
        <v>42</v>
      </c>
      <c r="G65" s="251" t="s">
        <v>863</v>
      </c>
      <c r="H65" s="251" t="s">
        <v>6</v>
      </c>
    </row>
    <row r="66" spans="1:8" x14ac:dyDescent="0.3">
      <c r="A66" s="253" t="s">
        <v>215</v>
      </c>
      <c r="B66" s="253" t="s">
        <v>216</v>
      </c>
      <c r="C66" s="253" t="s">
        <v>84</v>
      </c>
      <c r="D66" s="253" t="s">
        <v>194</v>
      </c>
      <c r="E66" s="253" t="s">
        <v>896</v>
      </c>
      <c r="F66" s="253" t="s">
        <v>42</v>
      </c>
      <c r="G66" s="251" t="s">
        <v>868</v>
      </c>
      <c r="H66" s="251" t="s">
        <v>6</v>
      </c>
    </row>
    <row r="67" spans="1:8" x14ac:dyDescent="0.3">
      <c r="A67" s="253" t="s">
        <v>215</v>
      </c>
      <c r="B67" s="253" t="s">
        <v>216</v>
      </c>
      <c r="C67" s="253" t="s">
        <v>84</v>
      </c>
      <c r="D67" s="253" t="s">
        <v>194</v>
      </c>
      <c r="E67" s="253" t="s">
        <v>896</v>
      </c>
      <c r="F67" s="253" t="s">
        <v>42</v>
      </c>
      <c r="G67" s="251" t="s">
        <v>869</v>
      </c>
      <c r="H67" s="251" t="s">
        <v>4</v>
      </c>
    </row>
    <row r="68" spans="1:8" x14ac:dyDescent="0.3">
      <c r="A68" s="253" t="s">
        <v>215</v>
      </c>
      <c r="B68" s="253" t="s">
        <v>216</v>
      </c>
      <c r="C68" s="253" t="s">
        <v>84</v>
      </c>
      <c r="D68" s="253" t="s">
        <v>194</v>
      </c>
      <c r="E68" s="253" t="s">
        <v>896</v>
      </c>
      <c r="F68" s="253" t="s">
        <v>42</v>
      </c>
      <c r="G68" s="251" t="s">
        <v>873</v>
      </c>
      <c r="H68" s="251" t="s">
        <v>4</v>
      </c>
    </row>
    <row r="69" spans="1:8" x14ac:dyDescent="0.3">
      <c r="A69" s="253" t="s">
        <v>215</v>
      </c>
      <c r="B69" s="253" t="s">
        <v>216</v>
      </c>
      <c r="C69" s="253" t="s">
        <v>84</v>
      </c>
      <c r="D69" s="253" t="s">
        <v>194</v>
      </c>
      <c r="E69" s="253" t="s">
        <v>896</v>
      </c>
      <c r="F69" s="253" t="s">
        <v>42</v>
      </c>
      <c r="G69" s="251" t="s">
        <v>863</v>
      </c>
      <c r="H69" s="251" t="s">
        <v>7</v>
      </c>
    </row>
    <row r="70" spans="1:8" x14ac:dyDescent="0.3">
      <c r="A70" s="253" t="s">
        <v>172</v>
      </c>
      <c r="B70" s="253" t="s">
        <v>173</v>
      </c>
      <c r="C70" s="253" t="s">
        <v>84</v>
      </c>
      <c r="D70" s="253" t="s">
        <v>139</v>
      </c>
      <c r="E70" s="253" t="s">
        <v>895</v>
      </c>
      <c r="F70" s="253" t="s">
        <v>42</v>
      </c>
      <c r="G70" s="251" t="s">
        <v>865</v>
      </c>
      <c r="H70" s="251" t="s">
        <v>3</v>
      </c>
    </row>
    <row r="71" spans="1:8" x14ac:dyDescent="0.3">
      <c r="A71" s="253" t="s">
        <v>172</v>
      </c>
      <c r="B71" s="253" t="s">
        <v>173</v>
      </c>
      <c r="C71" s="253" t="s">
        <v>84</v>
      </c>
      <c r="D71" s="253" t="s">
        <v>139</v>
      </c>
      <c r="E71" s="253" t="s">
        <v>895</v>
      </c>
      <c r="F71" s="253" t="s">
        <v>42</v>
      </c>
      <c r="G71" s="251" t="s">
        <v>873</v>
      </c>
      <c r="H71" s="251" t="s">
        <v>6</v>
      </c>
    </row>
    <row r="72" spans="1:8" x14ac:dyDescent="0.3">
      <c r="A72" s="253" t="s">
        <v>172</v>
      </c>
      <c r="B72" s="253" t="s">
        <v>173</v>
      </c>
      <c r="C72" s="253" t="s">
        <v>84</v>
      </c>
      <c r="D72" s="253" t="s">
        <v>139</v>
      </c>
      <c r="E72" s="253" t="s">
        <v>895</v>
      </c>
      <c r="F72" s="253" t="s">
        <v>42</v>
      </c>
      <c r="G72" s="251" t="s">
        <v>875</v>
      </c>
      <c r="H72" s="251" t="s">
        <v>4</v>
      </c>
    </row>
    <row r="73" spans="1:8" x14ac:dyDescent="0.3">
      <c r="A73" s="253" t="s">
        <v>172</v>
      </c>
      <c r="B73" s="253" t="s">
        <v>173</v>
      </c>
      <c r="C73" s="253" t="s">
        <v>84</v>
      </c>
      <c r="D73" s="253" t="s">
        <v>139</v>
      </c>
      <c r="E73" s="253" t="s">
        <v>895</v>
      </c>
      <c r="F73" s="253" t="s">
        <v>42</v>
      </c>
      <c r="G73" s="251" t="s">
        <v>863</v>
      </c>
      <c r="H73" s="251" t="s">
        <v>6</v>
      </c>
    </row>
    <row r="74" spans="1:8" x14ac:dyDescent="0.3">
      <c r="A74" s="253" t="s">
        <v>231</v>
      </c>
      <c r="B74" s="253" t="s">
        <v>917</v>
      </c>
      <c r="C74" s="253" t="s">
        <v>84</v>
      </c>
      <c r="D74" s="253" t="s">
        <v>194</v>
      </c>
      <c r="E74" s="253" t="s">
        <v>896</v>
      </c>
      <c r="F74" s="253" t="s">
        <v>94</v>
      </c>
      <c r="G74" s="251" t="s">
        <v>868</v>
      </c>
      <c r="H74" s="251" t="s">
        <v>4</v>
      </c>
    </row>
    <row r="75" spans="1:8" x14ac:dyDescent="0.3">
      <c r="A75" s="253" t="s">
        <v>231</v>
      </c>
      <c r="B75" s="253" t="s">
        <v>917</v>
      </c>
      <c r="C75" s="253" t="s">
        <v>84</v>
      </c>
      <c r="D75" s="253" t="s">
        <v>194</v>
      </c>
      <c r="E75" s="253" t="s">
        <v>896</v>
      </c>
      <c r="F75" s="253" t="s">
        <v>94</v>
      </c>
      <c r="G75" s="251" t="s">
        <v>869</v>
      </c>
      <c r="H75" s="251" t="s">
        <v>5</v>
      </c>
    </row>
    <row r="76" spans="1:8" x14ac:dyDescent="0.3">
      <c r="A76" s="253" t="s">
        <v>231</v>
      </c>
      <c r="B76" s="253" t="s">
        <v>917</v>
      </c>
      <c r="C76" s="253" t="s">
        <v>84</v>
      </c>
      <c r="D76" s="253" t="s">
        <v>194</v>
      </c>
      <c r="E76" s="253" t="s">
        <v>896</v>
      </c>
      <c r="F76" s="253" t="s">
        <v>94</v>
      </c>
      <c r="G76" s="251" t="s">
        <v>873</v>
      </c>
      <c r="H76" s="251" t="s">
        <v>4</v>
      </c>
    </row>
    <row r="77" spans="1:8" x14ac:dyDescent="0.3">
      <c r="A77" s="253" t="s">
        <v>231</v>
      </c>
      <c r="B77" s="253" t="s">
        <v>917</v>
      </c>
      <c r="C77" s="253" t="s">
        <v>84</v>
      </c>
      <c r="D77" s="253" t="s">
        <v>194</v>
      </c>
      <c r="E77" s="253" t="s">
        <v>896</v>
      </c>
      <c r="F77" s="253" t="s">
        <v>94</v>
      </c>
      <c r="G77" s="251" t="s">
        <v>863</v>
      </c>
      <c r="H77" s="251" t="s">
        <v>8</v>
      </c>
    </row>
    <row r="78" spans="1:8" x14ac:dyDescent="0.3">
      <c r="A78" s="253" t="s">
        <v>317</v>
      </c>
      <c r="B78" s="253" t="s">
        <v>318</v>
      </c>
      <c r="C78" s="253" t="s">
        <v>84</v>
      </c>
      <c r="D78" s="253" t="s">
        <v>304</v>
      </c>
      <c r="E78" s="253" t="s">
        <v>895</v>
      </c>
      <c r="F78" s="253" t="s">
        <v>42</v>
      </c>
      <c r="G78" s="251" t="s">
        <v>875</v>
      </c>
      <c r="H78" s="251" t="s">
        <v>8</v>
      </c>
    </row>
    <row r="79" spans="1:8" x14ac:dyDescent="0.3">
      <c r="A79" s="253" t="s">
        <v>317</v>
      </c>
      <c r="B79" s="253" t="s">
        <v>318</v>
      </c>
      <c r="C79" s="253" t="s">
        <v>84</v>
      </c>
      <c r="D79" s="253" t="s">
        <v>304</v>
      </c>
      <c r="E79" s="253" t="s">
        <v>895</v>
      </c>
      <c r="F79" s="253" t="s">
        <v>42</v>
      </c>
      <c r="G79" s="251" t="s">
        <v>876</v>
      </c>
      <c r="H79" s="251" t="s">
        <v>8</v>
      </c>
    </row>
    <row r="80" spans="1:8" x14ac:dyDescent="0.3">
      <c r="A80" s="253" t="s">
        <v>317</v>
      </c>
      <c r="B80" s="253" t="s">
        <v>318</v>
      </c>
      <c r="C80" s="253" t="s">
        <v>84</v>
      </c>
      <c r="D80" s="253" t="s">
        <v>304</v>
      </c>
      <c r="E80" s="253" t="s">
        <v>895</v>
      </c>
      <c r="F80" s="253" t="s">
        <v>42</v>
      </c>
      <c r="G80" s="251" t="s">
        <v>877</v>
      </c>
      <c r="H80" s="251" t="s">
        <v>5</v>
      </c>
    </row>
    <row r="81" spans="1:8" x14ac:dyDescent="0.3">
      <c r="A81" s="253" t="s">
        <v>317</v>
      </c>
      <c r="B81" s="253" t="s">
        <v>318</v>
      </c>
      <c r="C81" s="253" t="s">
        <v>84</v>
      </c>
      <c r="D81" s="253" t="s">
        <v>304</v>
      </c>
      <c r="E81" s="253" t="s">
        <v>895</v>
      </c>
      <c r="F81" s="253" t="s">
        <v>42</v>
      </c>
      <c r="G81" s="251" t="s">
        <v>863</v>
      </c>
      <c r="H81" s="251" t="s">
        <v>6</v>
      </c>
    </row>
    <row r="82" spans="1:8" x14ac:dyDescent="0.3">
      <c r="A82" s="253" t="s">
        <v>166</v>
      </c>
      <c r="B82" s="253" t="s">
        <v>167</v>
      </c>
      <c r="C82" s="253" t="s">
        <v>84</v>
      </c>
      <c r="D82" s="253" t="s">
        <v>139</v>
      </c>
      <c r="E82" s="253" t="s">
        <v>895</v>
      </c>
      <c r="F82" s="253" t="s">
        <v>42</v>
      </c>
      <c r="G82" s="251" t="s">
        <v>865</v>
      </c>
      <c r="H82" s="251" t="s">
        <v>3</v>
      </c>
    </row>
    <row r="83" spans="1:8" x14ac:dyDescent="0.3">
      <c r="A83" s="253" t="s">
        <v>166</v>
      </c>
      <c r="B83" s="253" t="s">
        <v>167</v>
      </c>
      <c r="C83" s="253" t="s">
        <v>84</v>
      </c>
      <c r="D83" s="253" t="s">
        <v>139</v>
      </c>
      <c r="E83" s="253" t="s">
        <v>895</v>
      </c>
      <c r="F83" s="253" t="s">
        <v>42</v>
      </c>
      <c r="G83" s="251" t="s">
        <v>873</v>
      </c>
      <c r="H83" s="251" t="s">
        <v>6</v>
      </c>
    </row>
    <row r="84" spans="1:8" x14ac:dyDescent="0.3">
      <c r="A84" s="253" t="s">
        <v>166</v>
      </c>
      <c r="B84" s="253" t="s">
        <v>167</v>
      </c>
      <c r="C84" s="253" t="s">
        <v>84</v>
      </c>
      <c r="D84" s="253" t="s">
        <v>139</v>
      </c>
      <c r="E84" s="253" t="s">
        <v>895</v>
      </c>
      <c r="F84" s="253" t="s">
        <v>42</v>
      </c>
      <c r="G84" s="251" t="s">
        <v>875</v>
      </c>
      <c r="H84" s="251" t="s">
        <v>5</v>
      </c>
    </row>
    <row r="85" spans="1:8" x14ac:dyDescent="0.3">
      <c r="A85" s="253" t="s">
        <v>166</v>
      </c>
      <c r="B85" s="253" t="s">
        <v>167</v>
      </c>
      <c r="C85" s="253" t="s">
        <v>84</v>
      </c>
      <c r="D85" s="253" t="s">
        <v>139</v>
      </c>
      <c r="E85" s="253" t="s">
        <v>895</v>
      </c>
      <c r="F85" s="253" t="s">
        <v>42</v>
      </c>
      <c r="G85" s="251" t="s">
        <v>863</v>
      </c>
      <c r="H85" s="251" t="s">
        <v>8</v>
      </c>
    </row>
    <row r="86" spans="1:8" x14ac:dyDescent="0.3">
      <c r="A86" s="253" t="s">
        <v>168</v>
      </c>
      <c r="B86" s="253" t="s">
        <v>169</v>
      </c>
      <c r="C86" s="253" t="s">
        <v>84</v>
      </c>
      <c r="D86" s="253" t="s">
        <v>139</v>
      </c>
      <c r="E86" s="253" t="s">
        <v>895</v>
      </c>
      <c r="F86" s="253" t="s">
        <v>42</v>
      </c>
      <c r="G86" s="251" t="s">
        <v>865</v>
      </c>
      <c r="H86" s="251" t="s">
        <v>4</v>
      </c>
    </row>
    <row r="87" spans="1:8" x14ac:dyDescent="0.3">
      <c r="A87" s="253" t="s">
        <v>168</v>
      </c>
      <c r="B87" s="253" t="s">
        <v>169</v>
      </c>
      <c r="C87" s="253" t="s">
        <v>84</v>
      </c>
      <c r="D87" s="253" t="s">
        <v>139</v>
      </c>
      <c r="E87" s="253" t="s">
        <v>895</v>
      </c>
      <c r="F87" s="253" t="s">
        <v>42</v>
      </c>
      <c r="G87" s="251" t="s">
        <v>873</v>
      </c>
      <c r="H87" s="251" t="s">
        <v>6</v>
      </c>
    </row>
    <row r="88" spans="1:8" x14ac:dyDescent="0.3">
      <c r="A88" s="253" t="s">
        <v>168</v>
      </c>
      <c r="B88" s="253" t="s">
        <v>169</v>
      </c>
      <c r="C88" s="253" t="s">
        <v>84</v>
      </c>
      <c r="D88" s="253" t="s">
        <v>139</v>
      </c>
      <c r="E88" s="253" t="s">
        <v>895</v>
      </c>
      <c r="F88" s="253" t="s">
        <v>42</v>
      </c>
      <c r="G88" s="251" t="s">
        <v>875</v>
      </c>
      <c r="H88" s="251" t="s">
        <v>4</v>
      </c>
    </row>
    <row r="89" spans="1:8" x14ac:dyDescent="0.3">
      <c r="A89" s="253" t="s">
        <v>168</v>
      </c>
      <c r="B89" s="253" t="s">
        <v>169</v>
      </c>
      <c r="C89" s="253" t="s">
        <v>84</v>
      </c>
      <c r="D89" s="253" t="s">
        <v>139</v>
      </c>
      <c r="E89" s="253" t="s">
        <v>895</v>
      </c>
      <c r="F89" s="253" t="s">
        <v>42</v>
      </c>
      <c r="G89" s="251" t="s">
        <v>863</v>
      </c>
      <c r="H89" s="251" t="s">
        <v>6</v>
      </c>
    </row>
    <row r="90" spans="1:8" x14ac:dyDescent="0.3">
      <c r="A90" s="253" t="s">
        <v>170</v>
      </c>
      <c r="B90" s="253" t="s">
        <v>171</v>
      </c>
      <c r="C90" s="253" t="s">
        <v>84</v>
      </c>
      <c r="D90" s="253" t="s">
        <v>139</v>
      </c>
      <c r="E90" s="253" t="s">
        <v>895</v>
      </c>
      <c r="F90" s="253" t="s">
        <v>42</v>
      </c>
      <c r="G90" s="251" t="s">
        <v>865</v>
      </c>
      <c r="H90" s="251" t="s">
        <v>4</v>
      </c>
    </row>
    <row r="91" spans="1:8" x14ac:dyDescent="0.3">
      <c r="A91" s="253" t="s">
        <v>170</v>
      </c>
      <c r="B91" s="253" t="s">
        <v>171</v>
      </c>
      <c r="C91" s="253" t="s">
        <v>84</v>
      </c>
      <c r="D91" s="253" t="s">
        <v>139</v>
      </c>
      <c r="E91" s="253" t="s">
        <v>895</v>
      </c>
      <c r="F91" s="253" t="s">
        <v>42</v>
      </c>
      <c r="G91" s="251" t="s">
        <v>873</v>
      </c>
      <c r="H91" s="251" t="s">
        <v>6</v>
      </c>
    </row>
    <row r="92" spans="1:8" x14ac:dyDescent="0.3">
      <c r="A92" s="253" t="s">
        <v>170</v>
      </c>
      <c r="B92" s="253" t="s">
        <v>171</v>
      </c>
      <c r="C92" s="253" t="s">
        <v>84</v>
      </c>
      <c r="D92" s="253" t="s">
        <v>139</v>
      </c>
      <c r="E92" s="253" t="s">
        <v>895</v>
      </c>
      <c r="F92" s="253" t="s">
        <v>42</v>
      </c>
      <c r="G92" s="251" t="s">
        <v>875</v>
      </c>
      <c r="H92" s="251" t="s">
        <v>5</v>
      </c>
    </row>
    <row r="93" spans="1:8" x14ac:dyDescent="0.3">
      <c r="A93" s="253" t="s">
        <v>170</v>
      </c>
      <c r="B93" s="253" t="s">
        <v>171</v>
      </c>
      <c r="C93" s="253" t="s">
        <v>84</v>
      </c>
      <c r="D93" s="253" t="s">
        <v>139</v>
      </c>
      <c r="E93" s="253" t="s">
        <v>895</v>
      </c>
      <c r="F93" s="253" t="s">
        <v>42</v>
      </c>
      <c r="G93" s="251" t="s">
        <v>863</v>
      </c>
      <c r="H93" s="251" t="s">
        <v>6</v>
      </c>
    </row>
    <row r="94" spans="1:8" x14ac:dyDescent="0.3">
      <c r="A94" s="253" t="s">
        <v>219</v>
      </c>
      <c r="B94" s="253" t="s">
        <v>220</v>
      </c>
      <c r="C94" s="253" t="s">
        <v>84</v>
      </c>
      <c r="D94" s="253" t="s">
        <v>194</v>
      </c>
      <c r="E94" s="253" t="s">
        <v>896</v>
      </c>
      <c r="F94" s="253" t="s">
        <v>42</v>
      </c>
      <c r="G94" s="251" t="s">
        <v>868</v>
      </c>
      <c r="H94" s="251" t="s">
        <v>6</v>
      </c>
    </row>
    <row r="95" spans="1:8" x14ac:dyDescent="0.3">
      <c r="A95" s="253" t="s">
        <v>219</v>
      </c>
      <c r="B95" s="253" t="s">
        <v>220</v>
      </c>
      <c r="C95" s="253" t="s">
        <v>84</v>
      </c>
      <c r="D95" s="253" t="s">
        <v>194</v>
      </c>
      <c r="E95" s="253" t="s">
        <v>896</v>
      </c>
      <c r="F95" s="253" t="s">
        <v>42</v>
      </c>
      <c r="G95" s="251" t="s">
        <v>869</v>
      </c>
      <c r="H95" s="251" t="s">
        <v>8</v>
      </c>
    </row>
    <row r="96" spans="1:8" x14ac:dyDescent="0.3">
      <c r="A96" s="253" t="s">
        <v>219</v>
      </c>
      <c r="B96" s="253" t="s">
        <v>220</v>
      </c>
      <c r="C96" s="253" t="s">
        <v>84</v>
      </c>
      <c r="D96" s="253" t="s">
        <v>194</v>
      </c>
      <c r="E96" s="253" t="s">
        <v>896</v>
      </c>
      <c r="F96" s="253" t="s">
        <v>42</v>
      </c>
      <c r="G96" s="251" t="s">
        <v>873</v>
      </c>
      <c r="H96" s="251" t="s">
        <v>6</v>
      </c>
    </row>
    <row r="97" spans="1:8" x14ac:dyDescent="0.3">
      <c r="A97" s="253" t="s">
        <v>219</v>
      </c>
      <c r="B97" s="253" t="s">
        <v>220</v>
      </c>
      <c r="C97" s="253" t="s">
        <v>84</v>
      </c>
      <c r="D97" s="253" t="s">
        <v>194</v>
      </c>
      <c r="E97" s="253" t="s">
        <v>896</v>
      </c>
      <c r="F97" s="253" t="s">
        <v>42</v>
      </c>
      <c r="G97" s="251" t="s">
        <v>863</v>
      </c>
      <c r="H97" s="251" t="s">
        <v>5</v>
      </c>
    </row>
    <row r="98" spans="1:8" x14ac:dyDescent="0.3">
      <c r="A98" s="253" t="s">
        <v>321</v>
      </c>
      <c r="B98" s="253" t="s">
        <v>322</v>
      </c>
      <c r="C98" s="253" t="s">
        <v>84</v>
      </c>
      <c r="D98" s="253" t="s">
        <v>304</v>
      </c>
      <c r="E98" s="253" t="s">
        <v>895</v>
      </c>
      <c r="F98" s="253" t="s">
        <v>42</v>
      </c>
      <c r="G98" s="251" t="s">
        <v>875</v>
      </c>
      <c r="H98" s="251" t="s">
        <v>4</v>
      </c>
    </row>
    <row r="99" spans="1:8" x14ac:dyDescent="0.3">
      <c r="A99" s="253" t="s">
        <v>321</v>
      </c>
      <c r="B99" s="253" t="s">
        <v>322</v>
      </c>
      <c r="C99" s="253" t="s">
        <v>84</v>
      </c>
      <c r="D99" s="253" t="s">
        <v>304</v>
      </c>
      <c r="E99" s="253" t="s">
        <v>895</v>
      </c>
      <c r="F99" s="253" t="s">
        <v>42</v>
      </c>
      <c r="G99" s="251" t="s">
        <v>876</v>
      </c>
      <c r="H99" s="251" t="s">
        <v>8</v>
      </c>
    </row>
    <row r="100" spans="1:8" x14ac:dyDescent="0.3">
      <c r="A100" s="253" t="s">
        <v>321</v>
      </c>
      <c r="B100" s="253" t="s">
        <v>322</v>
      </c>
      <c r="C100" s="253" t="s">
        <v>84</v>
      </c>
      <c r="D100" s="253" t="s">
        <v>304</v>
      </c>
      <c r="E100" s="253" t="s">
        <v>895</v>
      </c>
      <c r="F100" s="253" t="s">
        <v>42</v>
      </c>
      <c r="G100" s="251" t="s">
        <v>877</v>
      </c>
      <c r="H100" s="251" t="s">
        <v>5</v>
      </c>
    </row>
    <row r="101" spans="1:8" x14ac:dyDescent="0.3">
      <c r="A101" s="253" t="s">
        <v>321</v>
      </c>
      <c r="B101" s="253" t="s">
        <v>322</v>
      </c>
      <c r="C101" s="253" t="s">
        <v>84</v>
      </c>
      <c r="D101" s="253" t="s">
        <v>304</v>
      </c>
      <c r="E101" s="253" t="s">
        <v>895</v>
      </c>
      <c r="F101" s="253" t="s">
        <v>42</v>
      </c>
      <c r="G101" s="251" t="s">
        <v>863</v>
      </c>
      <c r="H101" s="251" t="s">
        <v>8</v>
      </c>
    </row>
    <row r="102" spans="1:8" x14ac:dyDescent="0.3">
      <c r="A102" s="253" t="s">
        <v>174</v>
      </c>
      <c r="B102" s="253" t="s">
        <v>175</v>
      </c>
      <c r="C102" s="253" t="s">
        <v>84</v>
      </c>
      <c r="D102" s="253" t="s">
        <v>139</v>
      </c>
      <c r="E102" s="253" t="s">
        <v>895</v>
      </c>
      <c r="F102" s="253" t="s">
        <v>42</v>
      </c>
      <c r="G102" s="251" t="s">
        <v>865</v>
      </c>
      <c r="H102" s="251" t="s">
        <v>3</v>
      </c>
    </row>
    <row r="103" spans="1:8" x14ac:dyDescent="0.3">
      <c r="A103" s="253" t="s">
        <v>174</v>
      </c>
      <c r="B103" s="253" t="s">
        <v>175</v>
      </c>
      <c r="C103" s="253" t="s">
        <v>84</v>
      </c>
      <c r="D103" s="253" t="s">
        <v>139</v>
      </c>
      <c r="E103" s="253" t="s">
        <v>895</v>
      </c>
      <c r="F103" s="253" t="s">
        <v>42</v>
      </c>
      <c r="G103" s="251" t="s">
        <v>873</v>
      </c>
      <c r="H103" s="251" t="s">
        <v>4</v>
      </c>
    </row>
    <row r="104" spans="1:8" x14ac:dyDescent="0.3">
      <c r="A104" s="253" t="s">
        <v>174</v>
      </c>
      <c r="B104" s="253" t="s">
        <v>175</v>
      </c>
      <c r="C104" s="253" t="s">
        <v>84</v>
      </c>
      <c r="D104" s="253" t="s">
        <v>139</v>
      </c>
      <c r="E104" s="253" t="s">
        <v>895</v>
      </c>
      <c r="F104" s="253" t="s">
        <v>42</v>
      </c>
      <c r="G104" s="251" t="s">
        <v>875</v>
      </c>
      <c r="H104" s="251" t="s">
        <v>4</v>
      </c>
    </row>
    <row r="105" spans="1:8" x14ac:dyDescent="0.3">
      <c r="A105" s="253" t="s">
        <v>174</v>
      </c>
      <c r="B105" s="253" t="s">
        <v>175</v>
      </c>
      <c r="C105" s="253" t="s">
        <v>84</v>
      </c>
      <c r="D105" s="253" t="s">
        <v>139</v>
      </c>
      <c r="E105" s="253" t="s">
        <v>895</v>
      </c>
      <c r="F105" s="253" t="s">
        <v>42</v>
      </c>
      <c r="G105" s="251" t="s">
        <v>863</v>
      </c>
      <c r="H105" s="251" t="s">
        <v>8</v>
      </c>
    </row>
    <row r="106" spans="1:8" x14ac:dyDescent="0.3">
      <c r="A106" s="253" t="s">
        <v>968</v>
      </c>
      <c r="B106" s="253" t="s">
        <v>333</v>
      </c>
      <c r="C106" s="253" t="s">
        <v>84</v>
      </c>
      <c r="D106" s="253" t="s">
        <v>289</v>
      </c>
      <c r="E106" s="253" t="s">
        <v>896</v>
      </c>
      <c r="F106" s="253" t="s">
        <v>42</v>
      </c>
      <c r="G106" s="251" t="s">
        <v>869</v>
      </c>
      <c r="H106" s="251" t="s">
        <v>4</v>
      </c>
    </row>
    <row r="107" spans="1:8" x14ac:dyDescent="0.3">
      <c r="A107" s="253" t="s">
        <v>968</v>
      </c>
      <c r="B107" s="253" t="s">
        <v>333</v>
      </c>
      <c r="C107" s="253" t="s">
        <v>84</v>
      </c>
      <c r="D107" s="253" t="s">
        <v>289</v>
      </c>
      <c r="E107" s="253" t="s">
        <v>896</v>
      </c>
      <c r="F107" s="253" t="s">
        <v>42</v>
      </c>
      <c r="G107" s="251" t="s">
        <v>870</v>
      </c>
      <c r="H107" s="251" t="s">
        <v>8</v>
      </c>
    </row>
    <row r="108" spans="1:8" x14ac:dyDescent="0.3">
      <c r="A108" s="253" t="s">
        <v>968</v>
      </c>
      <c r="B108" s="253" t="s">
        <v>333</v>
      </c>
      <c r="C108" s="253" t="s">
        <v>84</v>
      </c>
      <c r="D108" s="253" t="s">
        <v>289</v>
      </c>
      <c r="E108" s="253" t="s">
        <v>896</v>
      </c>
      <c r="F108" s="253" t="s">
        <v>42</v>
      </c>
      <c r="G108" s="251" t="s">
        <v>871</v>
      </c>
      <c r="H108" s="251" t="s">
        <v>8</v>
      </c>
    </row>
    <row r="109" spans="1:8" x14ac:dyDescent="0.3">
      <c r="A109" s="253" t="s">
        <v>968</v>
      </c>
      <c r="B109" s="253" t="s">
        <v>333</v>
      </c>
      <c r="C109" s="253" t="s">
        <v>84</v>
      </c>
      <c r="D109" s="253" t="s">
        <v>289</v>
      </c>
      <c r="E109" s="253" t="s">
        <v>896</v>
      </c>
      <c r="F109" s="253" t="s">
        <v>42</v>
      </c>
      <c r="G109" s="251" t="s">
        <v>863</v>
      </c>
      <c r="H109" s="251" t="s">
        <v>5</v>
      </c>
    </row>
    <row r="110" spans="1:8" x14ac:dyDescent="0.3">
      <c r="A110" s="253" t="s">
        <v>85</v>
      </c>
      <c r="B110" s="253" t="s">
        <v>86</v>
      </c>
      <c r="C110" s="253" t="s">
        <v>84</v>
      </c>
      <c r="D110" s="253" t="s">
        <v>45</v>
      </c>
      <c r="E110" s="253" t="s">
        <v>41</v>
      </c>
      <c r="F110" s="253" t="s">
        <v>42</v>
      </c>
      <c r="G110" s="251" t="s">
        <v>864</v>
      </c>
      <c r="H110" s="251" t="s">
        <v>4</v>
      </c>
    </row>
    <row r="111" spans="1:8" x14ac:dyDescent="0.3">
      <c r="A111" s="253" t="s">
        <v>85</v>
      </c>
      <c r="B111" s="253" t="s">
        <v>86</v>
      </c>
      <c r="C111" s="253" t="s">
        <v>84</v>
      </c>
      <c r="D111" s="253" t="s">
        <v>45</v>
      </c>
      <c r="E111" s="253" t="s">
        <v>41</v>
      </c>
      <c r="F111" s="253" t="s">
        <v>42</v>
      </c>
      <c r="G111" s="251" t="s">
        <v>865</v>
      </c>
      <c r="H111" s="251" t="s">
        <v>4</v>
      </c>
    </row>
    <row r="112" spans="1:8" x14ac:dyDescent="0.3">
      <c r="A112" s="253" t="s">
        <v>85</v>
      </c>
      <c r="B112" s="253" t="s">
        <v>86</v>
      </c>
      <c r="C112" s="253" t="s">
        <v>84</v>
      </c>
      <c r="D112" s="253" t="s">
        <v>45</v>
      </c>
      <c r="E112" s="253" t="s">
        <v>41</v>
      </c>
      <c r="F112" s="253" t="s">
        <v>42</v>
      </c>
      <c r="G112" s="251" t="s">
        <v>867</v>
      </c>
      <c r="H112" s="251" t="s">
        <v>4</v>
      </c>
    </row>
    <row r="113" spans="1:8" x14ac:dyDescent="0.3">
      <c r="A113" s="253" t="s">
        <v>85</v>
      </c>
      <c r="B113" s="253" t="s">
        <v>86</v>
      </c>
      <c r="C113" s="253" t="s">
        <v>84</v>
      </c>
      <c r="D113" s="253" t="s">
        <v>45</v>
      </c>
      <c r="E113" s="253" t="s">
        <v>41</v>
      </c>
      <c r="F113" s="253" t="s">
        <v>42</v>
      </c>
      <c r="G113" s="251" t="s">
        <v>863</v>
      </c>
      <c r="H113" s="251" t="s">
        <v>6</v>
      </c>
    </row>
    <row r="114" spans="1:8" x14ac:dyDescent="0.3">
      <c r="A114" s="253" t="s">
        <v>176</v>
      </c>
      <c r="B114" s="253" t="s">
        <v>177</v>
      </c>
      <c r="C114" s="253" t="s">
        <v>84</v>
      </c>
      <c r="D114" s="253" t="s">
        <v>139</v>
      </c>
      <c r="E114" s="253" t="s">
        <v>895</v>
      </c>
      <c r="F114" s="253" t="s">
        <v>42</v>
      </c>
      <c r="G114" s="251" t="s">
        <v>865</v>
      </c>
      <c r="H114" s="251" t="s">
        <v>3</v>
      </c>
    </row>
    <row r="115" spans="1:8" x14ac:dyDescent="0.3">
      <c r="A115" s="253" t="s">
        <v>176</v>
      </c>
      <c r="B115" s="253" t="s">
        <v>177</v>
      </c>
      <c r="C115" s="253" t="s">
        <v>84</v>
      </c>
      <c r="D115" s="253" t="s">
        <v>139</v>
      </c>
      <c r="E115" s="253" t="s">
        <v>895</v>
      </c>
      <c r="F115" s="253" t="s">
        <v>42</v>
      </c>
      <c r="G115" s="251" t="s">
        <v>873</v>
      </c>
      <c r="H115" s="251" t="s">
        <v>4</v>
      </c>
    </row>
    <row r="116" spans="1:8" x14ac:dyDescent="0.3">
      <c r="A116" s="253" t="s">
        <v>176</v>
      </c>
      <c r="B116" s="253" t="s">
        <v>177</v>
      </c>
      <c r="C116" s="253" t="s">
        <v>84</v>
      </c>
      <c r="D116" s="253" t="s">
        <v>139</v>
      </c>
      <c r="E116" s="253" t="s">
        <v>895</v>
      </c>
      <c r="F116" s="253" t="s">
        <v>42</v>
      </c>
      <c r="G116" s="251" t="s">
        <v>875</v>
      </c>
      <c r="H116" s="251" t="s">
        <v>8</v>
      </c>
    </row>
    <row r="117" spans="1:8" x14ac:dyDescent="0.3">
      <c r="A117" s="253" t="s">
        <v>176</v>
      </c>
      <c r="B117" s="253" t="s">
        <v>177</v>
      </c>
      <c r="C117" s="253" t="s">
        <v>84</v>
      </c>
      <c r="D117" s="253" t="s">
        <v>139</v>
      </c>
      <c r="E117" s="253" t="s">
        <v>895</v>
      </c>
      <c r="F117" s="253" t="s">
        <v>42</v>
      </c>
      <c r="G117" s="251" t="s">
        <v>863</v>
      </c>
      <c r="H117" s="251" t="s">
        <v>5</v>
      </c>
    </row>
    <row r="118" spans="1:8" x14ac:dyDescent="0.3">
      <c r="A118" s="253" t="s">
        <v>283</v>
      </c>
      <c r="B118" s="253" t="s">
        <v>284</v>
      </c>
      <c r="C118" s="253" t="s">
        <v>84</v>
      </c>
      <c r="D118" s="253" t="s">
        <v>240</v>
      </c>
      <c r="E118" s="253" t="s">
        <v>896</v>
      </c>
      <c r="F118" s="253" t="s">
        <v>42</v>
      </c>
      <c r="G118" s="251" t="s">
        <v>868</v>
      </c>
      <c r="H118" s="251" t="s">
        <v>8</v>
      </c>
    </row>
    <row r="119" spans="1:8" x14ac:dyDescent="0.3">
      <c r="A119" s="253" t="s">
        <v>283</v>
      </c>
      <c r="B119" s="253" t="s">
        <v>284</v>
      </c>
      <c r="C119" s="253" t="s">
        <v>84</v>
      </c>
      <c r="D119" s="253" t="s">
        <v>240</v>
      </c>
      <c r="E119" s="253" t="s">
        <v>896</v>
      </c>
      <c r="F119" s="253" t="s">
        <v>42</v>
      </c>
      <c r="G119" s="251" t="s">
        <v>869</v>
      </c>
      <c r="H119" s="251" t="s">
        <v>8</v>
      </c>
    </row>
    <row r="120" spans="1:8" x14ac:dyDescent="0.3">
      <c r="A120" s="253" t="s">
        <v>283</v>
      </c>
      <c r="B120" s="253" t="s">
        <v>284</v>
      </c>
      <c r="C120" s="253" t="s">
        <v>84</v>
      </c>
      <c r="D120" s="253" t="s">
        <v>240</v>
      </c>
      <c r="E120" s="253" t="s">
        <v>896</v>
      </c>
      <c r="F120" s="253" t="s">
        <v>42</v>
      </c>
      <c r="G120" s="251" t="s">
        <v>870</v>
      </c>
      <c r="H120" s="251" t="s">
        <v>8</v>
      </c>
    </row>
    <row r="121" spans="1:8" x14ac:dyDescent="0.3">
      <c r="A121" s="253" t="s">
        <v>283</v>
      </c>
      <c r="B121" s="253" t="s">
        <v>284</v>
      </c>
      <c r="C121" s="253" t="s">
        <v>84</v>
      </c>
      <c r="D121" s="253" t="s">
        <v>240</v>
      </c>
      <c r="E121" s="253" t="s">
        <v>896</v>
      </c>
      <c r="F121" s="253" t="s">
        <v>42</v>
      </c>
      <c r="G121" s="251" t="s">
        <v>863</v>
      </c>
      <c r="H121" s="251" t="s">
        <v>8</v>
      </c>
    </row>
    <row r="122" spans="1:8" x14ac:dyDescent="0.3">
      <c r="A122" s="253" t="s">
        <v>981</v>
      </c>
      <c r="B122" s="253" t="s">
        <v>339</v>
      </c>
      <c r="C122" s="253" t="s">
        <v>84</v>
      </c>
      <c r="D122" s="253" t="s">
        <v>978</v>
      </c>
      <c r="E122" s="253" t="s">
        <v>896</v>
      </c>
      <c r="F122" s="253" t="s">
        <v>42</v>
      </c>
      <c r="G122" s="251" t="s">
        <v>868</v>
      </c>
      <c r="H122" s="251" t="s">
        <v>6</v>
      </c>
    </row>
    <row r="123" spans="1:8" x14ac:dyDescent="0.3">
      <c r="A123" s="253" t="s">
        <v>981</v>
      </c>
      <c r="B123" s="253" t="s">
        <v>339</v>
      </c>
      <c r="C123" s="253" t="s">
        <v>84</v>
      </c>
      <c r="D123" s="253" t="s">
        <v>978</v>
      </c>
      <c r="E123" s="253" t="s">
        <v>896</v>
      </c>
      <c r="F123" s="253" t="s">
        <v>42</v>
      </c>
      <c r="G123" s="251" t="s">
        <v>873</v>
      </c>
      <c r="H123" s="251" t="s">
        <v>6</v>
      </c>
    </row>
    <row r="124" spans="1:8" x14ac:dyDescent="0.3">
      <c r="A124" s="253" t="s">
        <v>981</v>
      </c>
      <c r="B124" s="253" t="s">
        <v>339</v>
      </c>
      <c r="C124" s="253" t="s">
        <v>84</v>
      </c>
      <c r="D124" s="253" t="s">
        <v>978</v>
      </c>
      <c r="E124" s="253" t="s">
        <v>896</v>
      </c>
      <c r="F124" s="253" t="s">
        <v>42</v>
      </c>
      <c r="G124" s="251" t="s">
        <v>874</v>
      </c>
      <c r="H124" s="251" t="s">
        <v>8</v>
      </c>
    </row>
    <row r="125" spans="1:8" x14ac:dyDescent="0.3">
      <c r="A125" s="253" t="s">
        <v>981</v>
      </c>
      <c r="B125" s="253" t="s">
        <v>339</v>
      </c>
      <c r="C125" s="253" t="s">
        <v>84</v>
      </c>
      <c r="D125" s="253" t="s">
        <v>978</v>
      </c>
      <c r="E125" s="253" t="s">
        <v>896</v>
      </c>
      <c r="F125" s="253" t="s">
        <v>42</v>
      </c>
      <c r="G125" s="251" t="s">
        <v>863</v>
      </c>
      <c r="H125" s="251" t="s">
        <v>8</v>
      </c>
    </row>
    <row r="126" spans="1:8" x14ac:dyDescent="0.3">
      <c r="A126" s="253" t="s">
        <v>225</v>
      </c>
      <c r="B126" s="253" t="s">
        <v>226</v>
      </c>
      <c r="C126" s="253" t="s">
        <v>84</v>
      </c>
      <c r="D126" s="253" t="s">
        <v>194</v>
      </c>
      <c r="E126" s="253" t="s">
        <v>896</v>
      </c>
      <c r="F126" s="253" t="s">
        <v>42</v>
      </c>
      <c r="G126" s="251" t="s">
        <v>868</v>
      </c>
      <c r="H126" s="251" t="s">
        <v>8</v>
      </c>
    </row>
    <row r="127" spans="1:8" x14ac:dyDescent="0.3">
      <c r="A127" s="253" t="s">
        <v>225</v>
      </c>
      <c r="B127" s="253" t="s">
        <v>226</v>
      </c>
      <c r="C127" s="253" t="s">
        <v>84</v>
      </c>
      <c r="D127" s="253" t="s">
        <v>194</v>
      </c>
      <c r="E127" s="253" t="s">
        <v>896</v>
      </c>
      <c r="F127" s="253" t="s">
        <v>42</v>
      </c>
      <c r="G127" s="251" t="s">
        <v>869</v>
      </c>
      <c r="H127" s="251" t="s">
        <v>8</v>
      </c>
    </row>
    <row r="128" spans="1:8" x14ac:dyDescent="0.3">
      <c r="A128" s="253" t="s">
        <v>225</v>
      </c>
      <c r="B128" s="253" t="s">
        <v>226</v>
      </c>
      <c r="C128" s="253" t="s">
        <v>84</v>
      </c>
      <c r="D128" s="253" t="s">
        <v>194</v>
      </c>
      <c r="E128" s="253" t="s">
        <v>896</v>
      </c>
      <c r="F128" s="253" t="s">
        <v>42</v>
      </c>
      <c r="G128" s="251" t="s">
        <v>873</v>
      </c>
      <c r="H128" s="251" t="s">
        <v>8</v>
      </c>
    </row>
    <row r="129" spans="1:8" x14ac:dyDescent="0.3">
      <c r="A129" s="253" t="s">
        <v>225</v>
      </c>
      <c r="B129" s="253" t="s">
        <v>226</v>
      </c>
      <c r="C129" s="253" t="s">
        <v>84</v>
      </c>
      <c r="D129" s="253" t="s">
        <v>194</v>
      </c>
      <c r="E129" s="253" t="s">
        <v>896</v>
      </c>
      <c r="F129" s="253" t="s">
        <v>42</v>
      </c>
      <c r="G129" s="251" t="s">
        <v>863</v>
      </c>
      <c r="H129" s="251" t="s">
        <v>6</v>
      </c>
    </row>
    <row r="130" spans="1:8" x14ac:dyDescent="0.3">
      <c r="A130" s="253" t="s">
        <v>982</v>
      </c>
      <c r="B130" s="253" t="s">
        <v>340</v>
      </c>
      <c r="C130" s="253" t="s">
        <v>84</v>
      </c>
      <c r="D130" s="253" t="s">
        <v>978</v>
      </c>
      <c r="E130" s="253" t="s">
        <v>896</v>
      </c>
      <c r="F130" s="253" t="s">
        <v>42</v>
      </c>
      <c r="G130" s="251" t="s">
        <v>868</v>
      </c>
      <c r="H130" s="251" t="s">
        <v>7</v>
      </c>
    </row>
    <row r="131" spans="1:8" x14ac:dyDescent="0.3">
      <c r="A131" s="253" t="s">
        <v>982</v>
      </c>
      <c r="B131" s="253" t="s">
        <v>340</v>
      </c>
      <c r="C131" s="253" t="s">
        <v>84</v>
      </c>
      <c r="D131" s="253" t="s">
        <v>978</v>
      </c>
      <c r="E131" s="253" t="s">
        <v>896</v>
      </c>
      <c r="F131" s="253" t="s">
        <v>42</v>
      </c>
      <c r="G131" s="251" t="s">
        <v>873</v>
      </c>
      <c r="H131" s="251" t="s">
        <v>7</v>
      </c>
    </row>
    <row r="132" spans="1:8" x14ac:dyDescent="0.3">
      <c r="A132" s="253" t="s">
        <v>982</v>
      </c>
      <c r="B132" s="253" t="s">
        <v>340</v>
      </c>
      <c r="C132" s="253" t="s">
        <v>84</v>
      </c>
      <c r="D132" s="253" t="s">
        <v>978</v>
      </c>
      <c r="E132" s="253" t="s">
        <v>896</v>
      </c>
      <c r="F132" s="253" t="s">
        <v>42</v>
      </c>
      <c r="G132" s="251" t="s">
        <v>874</v>
      </c>
      <c r="H132" s="251" t="s">
        <v>5</v>
      </c>
    </row>
    <row r="133" spans="1:8" x14ac:dyDescent="0.3">
      <c r="A133" s="253" t="s">
        <v>982</v>
      </c>
      <c r="B133" s="253" t="s">
        <v>340</v>
      </c>
      <c r="C133" s="253" t="s">
        <v>84</v>
      </c>
      <c r="D133" s="253" t="s">
        <v>978</v>
      </c>
      <c r="E133" s="253" t="s">
        <v>896</v>
      </c>
      <c r="F133" s="253" t="s">
        <v>42</v>
      </c>
      <c r="G133" s="251" t="s">
        <v>863</v>
      </c>
      <c r="H133" s="251" t="s">
        <v>5</v>
      </c>
    </row>
    <row r="134" spans="1:8" x14ac:dyDescent="0.3">
      <c r="A134" s="253" t="s">
        <v>87</v>
      </c>
      <c r="B134" s="253" t="s">
        <v>88</v>
      </c>
      <c r="C134" s="253" t="s">
        <v>84</v>
      </c>
      <c r="D134" s="253" t="s">
        <v>45</v>
      </c>
      <c r="E134" s="253" t="s">
        <v>41</v>
      </c>
      <c r="F134" s="253" t="s">
        <v>42</v>
      </c>
      <c r="G134" s="251" t="s">
        <v>864</v>
      </c>
      <c r="H134" s="251" t="s">
        <v>6</v>
      </c>
    </row>
    <row r="135" spans="1:8" x14ac:dyDescent="0.3">
      <c r="A135" s="253" t="s">
        <v>87</v>
      </c>
      <c r="B135" s="253" t="s">
        <v>88</v>
      </c>
      <c r="C135" s="253" t="s">
        <v>84</v>
      </c>
      <c r="D135" s="253" t="s">
        <v>45</v>
      </c>
      <c r="E135" s="253" t="s">
        <v>41</v>
      </c>
      <c r="F135" s="253" t="s">
        <v>42</v>
      </c>
      <c r="G135" s="251" t="s">
        <v>865</v>
      </c>
      <c r="H135" s="251" t="s">
        <v>5</v>
      </c>
    </row>
    <row r="136" spans="1:8" x14ac:dyDescent="0.3">
      <c r="A136" s="253" t="s">
        <v>87</v>
      </c>
      <c r="B136" s="253" t="s">
        <v>88</v>
      </c>
      <c r="C136" s="253" t="s">
        <v>84</v>
      </c>
      <c r="D136" s="253" t="s">
        <v>45</v>
      </c>
      <c r="E136" s="253" t="s">
        <v>41</v>
      </c>
      <c r="F136" s="253" t="s">
        <v>42</v>
      </c>
      <c r="G136" s="251" t="s">
        <v>867</v>
      </c>
      <c r="H136" s="251" t="s">
        <v>5</v>
      </c>
    </row>
    <row r="137" spans="1:8" x14ac:dyDescent="0.3">
      <c r="A137" s="253" t="s">
        <v>87</v>
      </c>
      <c r="B137" s="253" t="s">
        <v>88</v>
      </c>
      <c r="C137" s="253" t="s">
        <v>84</v>
      </c>
      <c r="D137" s="253" t="s">
        <v>45</v>
      </c>
      <c r="E137" s="253" t="s">
        <v>41</v>
      </c>
      <c r="F137" s="253" t="s">
        <v>42</v>
      </c>
      <c r="G137" s="251" t="s">
        <v>863</v>
      </c>
      <c r="H137" s="251" t="s">
        <v>7</v>
      </c>
    </row>
    <row r="138" spans="1:8" x14ac:dyDescent="0.3">
      <c r="A138" s="253" t="s">
        <v>983</v>
      </c>
      <c r="B138" s="253" t="s">
        <v>341</v>
      </c>
      <c r="C138" s="253" t="s">
        <v>84</v>
      </c>
      <c r="D138" s="253" t="s">
        <v>978</v>
      </c>
      <c r="E138" s="253" t="s">
        <v>896</v>
      </c>
      <c r="F138" s="253" t="s">
        <v>42</v>
      </c>
      <c r="G138" s="251" t="s">
        <v>868</v>
      </c>
      <c r="H138" s="251" t="s">
        <v>6</v>
      </c>
    </row>
    <row r="139" spans="1:8" x14ac:dyDescent="0.3">
      <c r="A139" s="253" t="s">
        <v>983</v>
      </c>
      <c r="B139" s="253" t="s">
        <v>341</v>
      </c>
      <c r="C139" s="253" t="s">
        <v>84</v>
      </c>
      <c r="D139" s="253" t="s">
        <v>978</v>
      </c>
      <c r="E139" s="253" t="s">
        <v>896</v>
      </c>
      <c r="F139" s="253" t="s">
        <v>42</v>
      </c>
      <c r="G139" s="251" t="s">
        <v>873</v>
      </c>
      <c r="H139" s="251" t="s">
        <v>4</v>
      </c>
    </row>
    <row r="140" spans="1:8" x14ac:dyDescent="0.3">
      <c r="A140" s="253" t="s">
        <v>983</v>
      </c>
      <c r="B140" s="253" t="s">
        <v>341</v>
      </c>
      <c r="C140" s="253" t="s">
        <v>84</v>
      </c>
      <c r="D140" s="253" t="s">
        <v>978</v>
      </c>
      <c r="E140" s="253" t="s">
        <v>896</v>
      </c>
      <c r="F140" s="253" t="s">
        <v>42</v>
      </c>
      <c r="G140" s="251" t="s">
        <v>874</v>
      </c>
      <c r="H140" s="251" t="s">
        <v>4</v>
      </c>
    </row>
    <row r="141" spans="1:8" x14ac:dyDescent="0.3">
      <c r="A141" s="253" t="s">
        <v>983</v>
      </c>
      <c r="B141" s="253" t="s">
        <v>341</v>
      </c>
      <c r="C141" s="253" t="s">
        <v>84</v>
      </c>
      <c r="D141" s="253" t="s">
        <v>978</v>
      </c>
      <c r="E141" s="253" t="s">
        <v>896</v>
      </c>
      <c r="F141" s="253" t="s">
        <v>42</v>
      </c>
      <c r="G141" s="251" t="s">
        <v>863</v>
      </c>
      <c r="H141" s="251" t="s">
        <v>6</v>
      </c>
    </row>
    <row r="142" spans="1:8" x14ac:dyDescent="0.3">
      <c r="A142" s="253" t="s">
        <v>293</v>
      </c>
      <c r="B142" s="253" t="s">
        <v>294</v>
      </c>
      <c r="C142" s="253" t="s">
        <v>84</v>
      </c>
      <c r="D142" s="253" t="s">
        <v>240</v>
      </c>
      <c r="E142" s="253" t="s">
        <v>896</v>
      </c>
      <c r="F142" s="253" t="s">
        <v>42</v>
      </c>
      <c r="G142" s="251" t="s">
        <v>868</v>
      </c>
      <c r="H142" s="251" t="s">
        <v>5</v>
      </c>
    </row>
    <row r="143" spans="1:8" x14ac:dyDescent="0.3">
      <c r="A143" s="253" t="s">
        <v>293</v>
      </c>
      <c r="B143" s="253" t="s">
        <v>294</v>
      </c>
      <c r="C143" s="253" t="s">
        <v>84</v>
      </c>
      <c r="D143" s="253" t="s">
        <v>240</v>
      </c>
      <c r="E143" s="253" t="s">
        <v>896</v>
      </c>
      <c r="F143" s="253" t="s">
        <v>42</v>
      </c>
      <c r="G143" s="251" t="s">
        <v>869</v>
      </c>
      <c r="H143" s="251" t="s">
        <v>5</v>
      </c>
    </row>
    <row r="144" spans="1:8" x14ac:dyDescent="0.3">
      <c r="A144" s="253" t="s">
        <v>293</v>
      </c>
      <c r="B144" s="253" t="s">
        <v>294</v>
      </c>
      <c r="C144" s="253" t="s">
        <v>84</v>
      </c>
      <c r="D144" s="253" t="s">
        <v>240</v>
      </c>
      <c r="E144" s="253" t="s">
        <v>896</v>
      </c>
      <c r="F144" s="253" t="s">
        <v>42</v>
      </c>
      <c r="G144" s="251" t="s">
        <v>870</v>
      </c>
      <c r="H144" s="251" t="s">
        <v>8</v>
      </c>
    </row>
    <row r="145" spans="1:8" x14ac:dyDescent="0.3">
      <c r="A145" s="253" t="s">
        <v>293</v>
      </c>
      <c r="B145" s="253" t="s">
        <v>294</v>
      </c>
      <c r="C145" s="253" t="s">
        <v>84</v>
      </c>
      <c r="D145" s="253" t="s">
        <v>240</v>
      </c>
      <c r="E145" s="253" t="s">
        <v>896</v>
      </c>
      <c r="F145" s="253" t="s">
        <v>42</v>
      </c>
      <c r="G145" s="251" t="s">
        <v>863</v>
      </c>
      <c r="H145" s="251" t="s">
        <v>7</v>
      </c>
    </row>
    <row r="146" spans="1:8" x14ac:dyDescent="0.3">
      <c r="A146" s="253" t="s">
        <v>970</v>
      </c>
      <c r="B146" s="253" t="s">
        <v>335</v>
      </c>
      <c r="C146" s="253" t="s">
        <v>84</v>
      </c>
      <c r="D146" s="253" t="s">
        <v>289</v>
      </c>
      <c r="E146" s="253" t="s">
        <v>896</v>
      </c>
      <c r="F146" s="253" t="s">
        <v>42</v>
      </c>
      <c r="G146" s="251" t="s">
        <v>869</v>
      </c>
      <c r="H146" s="251" t="s">
        <v>5</v>
      </c>
    </row>
    <row r="147" spans="1:8" x14ac:dyDescent="0.3">
      <c r="A147" s="253" t="s">
        <v>970</v>
      </c>
      <c r="B147" s="253" t="s">
        <v>335</v>
      </c>
      <c r="C147" s="253" t="s">
        <v>84</v>
      </c>
      <c r="D147" s="253" t="s">
        <v>289</v>
      </c>
      <c r="E147" s="253" t="s">
        <v>896</v>
      </c>
      <c r="F147" s="253" t="s">
        <v>42</v>
      </c>
      <c r="G147" s="251" t="s">
        <v>870</v>
      </c>
      <c r="H147" s="251" t="s">
        <v>8</v>
      </c>
    </row>
    <row r="148" spans="1:8" x14ac:dyDescent="0.3">
      <c r="A148" s="253" t="s">
        <v>970</v>
      </c>
      <c r="B148" s="253" t="s">
        <v>335</v>
      </c>
      <c r="C148" s="253" t="s">
        <v>84</v>
      </c>
      <c r="D148" s="253" t="s">
        <v>289</v>
      </c>
      <c r="E148" s="253" t="s">
        <v>896</v>
      </c>
      <c r="F148" s="253" t="s">
        <v>42</v>
      </c>
      <c r="G148" s="251" t="s">
        <v>871</v>
      </c>
      <c r="H148" s="251" t="s">
        <v>4</v>
      </c>
    </row>
    <row r="149" spans="1:8" x14ac:dyDescent="0.3">
      <c r="A149" s="253" t="s">
        <v>970</v>
      </c>
      <c r="B149" s="253" t="s">
        <v>335</v>
      </c>
      <c r="C149" s="253" t="s">
        <v>84</v>
      </c>
      <c r="D149" s="253" t="s">
        <v>289</v>
      </c>
      <c r="E149" s="253" t="s">
        <v>896</v>
      </c>
      <c r="F149" s="253" t="s">
        <v>42</v>
      </c>
      <c r="G149" s="251" t="s">
        <v>863</v>
      </c>
      <c r="H149" s="251" t="s">
        <v>5</v>
      </c>
    </row>
    <row r="150" spans="1:8" x14ac:dyDescent="0.3">
      <c r="A150" s="253" t="s">
        <v>182</v>
      </c>
      <c r="B150" s="253" t="s">
        <v>183</v>
      </c>
      <c r="C150" s="253" t="s">
        <v>84</v>
      </c>
      <c r="D150" s="253" t="s">
        <v>139</v>
      </c>
      <c r="E150" s="253" t="s">
        <v>895</v>
      </c>
      <c r="F150" s="253" t="s">
        <v>42</v>
      </c>
      <c r="G150" s="251" t="s">
        <v>865</v>
      </c>
      <c r="H150" s="251" t="s">
        <v>4</v>
      </c>
    </row>
    <row r="151" spans="1:8" x14ac:dyDescent="0.3">
      <c r="A151" s="253" t="s">
        <v>182</v>
      </c>
      <c r="B151" s="253" t="s">
        <v>183</v>
      </c>
      <c r="C151" s="253" t="s">
        <v>84</v>
      </c>
      <c r="D151" s="253" t="s">
        <v>139</v>
      </c>
      <c r="E151" s="253" t="s">
        <v>895</v>
      </c>
      <c r="F151" s="253" t="s">
        <v>42</v>
      </c>
      <c r="G151" s="251" t="s">
        <v>873</v>
      </c>
      <c r="H151" s="251" t="s">
        <v>5</v>
      </c>
    </row>
    <row r="152" spans="1:8" x14ac:dyDescent="0.3">
      <c r="A152" s="253" t="s">
        <v>182</v>
      </c>
      <c r="B152" s="253" t="s">
        <v>183</v>
      </c>
      <c r="C152" s="253" t="s">
        <v>84</v>
      </c>
      <c r="D152" s="253" t="s">
        <v>139</v>
      </c>
      <c r="E152" s="253" t="s">
        <v>895</v>
      </c>
      <c r="F152" s="253" t="s">
        <v>42</v>
      </c>
      <c r="G152" s="251" t="s">
        <v>875</v>
      </c>
      <c r="H152" s="251" t="s">
        <v>4</v>
      </c>
    </row>
    <row r="153" spans="1:8" x14ac:dyDescent="0.3">
      <c r="A153" s="253" t="s">
        <v>182</v>
      </c>
      <c r="B153" s="253" t="s">
        <v>183</v>
      </c>
      <c r="C153" s="253" t="s">
        <v>84</v>
      </c>
      <c r="D153" s="253" t="s">
        <v>139</v>
      </c>
      <c r="E153" s="253" t="s">
        <v>895</v>
      </c>
      <c r="F153" s="253" t="s">
        <v>42</v>
      </c>
      <c r="G153" s="251" t="s">
        <v>863</v>
      </c>
      <c r="H153" s="251" t="s">
        <v>7</v>
      </c>
    </row>
    <row r="154" spans="1:8" x14ac:dyDescent="0.3">
      <c r="A154" s="253" t="s">
        <v>234</v>
      </c>
      <c r="B154" s="253" t="s">
        <v>235</v>
      </c>
      <c r="C154" s="253" t="s">
        <v>84</v>
      </c>
      <c r="D154" s="253" t="s">
        <v>194</v>
      </c>
      <c r="E154" s="253" t="s">
        <v>896</v>
      </c>
      <c r="F154" s="253" t="s">
        <v>42</v>
      </c>
      <c r="G154" s="251" t="s">
        <v>868</v>
      </c>
      <c r="H154" s="251" t="s">
        <v>5</v>
      </c>
    </row>
    <row r="155" spans="1:8" x14ac:dyDescent="0.3">
      <c r="A155" s="253" t="s">
        <v>234</v>
      </c>
      <c r="B155" s="253" t="s">
        <v>235</v>
      </c>
      <c r="C155" s="253" t="s">
        <v>84</v>
      </c>
      <c r="D155" s="253" t="s">
        <v>194</v>
      </c>
      <c r="E155" s="253" t="s">
        <v>896</v>
      </c>
      <c r="F155" s="253" t="s">
        <v>42</v>
      </c>
      <c r="G155" s="251" t="s">
        <v>869</v>
      </c>
      <c r="H155" s="251" t="s">
        <v>4</v>
      </c>
    </row>
    <row r="156" spans="1:8" x14ac:dyDescent="0.3">
      <c r="A156" s="253" t="s">
        <v>234</v>
      </c>
      <c r="B156" s="253" t="s">
        <v>235</v>
      </c>
      <c r="C156" s="253" t="s">
        <v>84</v>
      </c>
      <c r="D156" s="253" t="s">
        <v>194</v>
      </c>
      <c r="E156" s="253" t="s">
        <v>896</v>
      </c>
      <c r="F156" s="253" t="s">
        <v>42</v>
      </c>
      <c r="G156" s="251" t="s">
        <v>873</v>
      </c>
      <c r="H156" s="251" t="s">
        <v>5</v>
      </c>
    </row>
    <row r="157" spans="1:8" x14ac:dyDescent="0.3">
      <c r="A157" s="253" t="s">
        <v>234</v>
      </c>
      <c r="B157" s="253" t="s">
        <v>235</v>
      </c>
      <c r="C157" s="253" t="s">
        <v>84</v>
      </c>
      <c r="D157" s="253" t="s">
        <v>194</v>
      </c>
      <c r="E157" s="253" t="s">
        <v>896</v>
      </c>
      <c r="F157" s="253" t="s">
        <v>42</v>
      </c>
      <c r="G157" s="251" t="s">
        <v>863</v>
      </c>
      <c r="H157" s="251" t="s">
        <v>6</v>
      </c>
    </row>
    <row r="158" spans="1:8" x14ac:dyDescent="0.3">
      <c r="A158" s="253" t="s">
        <v>186</v>
      </c>
      <c r="B158" s="253" t="s">
        <v>187</v>
      </c>
      <c r="C158" s="253" t="s">
        <v>84</v>
      </c>
      <c r="D158" s="253" t="s">
        <v>139</v>
      </c>
      <c r="E158" s="253" t="s">
        <v>895</v>
      </c>
      <c r="F158" s="253" t="s">
        <v>42</v>
      </c>
      <c r="G158" s="251" t="s">
        <v>865</v>
      </c>
      <c r="H158" s="251" t="s">
        <v>4</v>
      </c>
    </row>
    <row r="159" spans="1:8" x14ac:dyDescent="0.3">
      <c r="A159" s="253" t="s">
        <v>186</v>
      </c>
      <c r="B159" s="253" t="s">
        <v>187</v>
      </c>
      <c r="C159" s="253" t="s">
        <v>84</v>
      </c>
      <c r="D159" s="253" t="s">
        <v>139</v>
      </c>
      <c r="E159" s="253" t="s">
        <v>895</v>
      </c>
      <c r="F159" s="253" t="s">
        <v>42</v>
      </c>
      <c r="G159" s="251" t="s">
        <v>873</v>
      </c>
      <c r="H159" s="251" t="s">
        <v>6</v>
      </c>
    </row>
    <row r="160" spans="1:8" x14ac:dyDescent="0.3">
      <c r="A160" s="253" t="s">
        <v>186</v>
      </c>
      <c r="B160" s="253" t="s">
        <v>187</v>
      </c>
      <c r="C160" s="253" t="s">
        <v>84</v>
      </c>
      <c r="D160" s="253" t="s">
        <v>139</v>
      </c>
      <c r="E160" s="253" t="s">
        <v>895</v>
      </c>
      <c r="F160" s="253" t="s">
        <v>42</v>
      </c>
      <c r="G160" s="251" t="s">
        <v>875</v>
      </c>
      <c r="H160" s="251" t="s">
        <v>8</v>
      </c>
    </row>
    <row r="161" spans="1:8" x14ac:dyDescent="0.3">
      <c r="A161" s="253" t="s">
        <v>186</v>
      </c>
      <c r="B161" s="253" t="s">
        <v>187</v>
      </c>
      <c r="C161" s="253" t="s">
        <v>84</v>
      </c>
      <c r="D161" s="253" t="s">
        <v>139</v>
      </c>
      <c r="E161" s="253" t="s">
        <v>895</v>
      </c>
      <c r="F161" s="253" t="s">
        <v>42</v>
      </c>
      <c r="G161" s="251" t="s">
        <v>863</v>
      </c>
      <c r="H161" s="251" t="s">
        <v>6</v>
      </c>
    </row>
    <row r="162" spans="1:8" x14ac:dyDescent="0.3">
      <c r="A162" s="253" t="s">
        <v>325</v>
      </c>
      <c r="B162" s="253" t="s">
        <v>326</v>
      </c>
      <c r="C162" s="253" t="s">
        <v>84</v>
      </c>
      <c r="D162" s="253" t="s">
        <v>304</v>
      </c>
      <c r="E162" s="253" t="s">
        <v>895</v>
      </c>
      <c r="F162" s="253" t="s">
        <v>42</v>
      </c>
      <c r="G162" s="251" t="s">
        <v>875</v>
      </c>
      <c r="H162" s="251" t="s">
        <v>8</v>
      </c>
    </row>
    <row r="163" spans="1:8" x14ac:dyDescent="0.3">
      <c r="A163" s="253" t="s">
        <v>325</v>
      </c>
      <c r="B163" s="253" t="s">
        <v>326</v>
      </c>
      <c r="C163" s="253" t="s">
        <v>84</v>
      </c>
      <c r="D163" s="253" t="s">
        <v>304</v>
      </c>
      <c r="E163" s="253" t="s">
        <v>895</v>
      </c>
      <c r="F163" s="253" t="s">
        <v>42</v>
      </c>
      <c r="G163" s="251" t="s">
        <v>876</v>
      </c>
      <c r="H163" s="251" t="s">
        <v>8</v>
      </c>
    </row>
    <row r="164" spans="1:8" x14ac:dyDescent="0.3">
      <c r="A164" s="253" t="s">
        <v>325</v>
      </c>
      <c r="B164" s="253" t="s">
        <v>326</v>
      </c>
      <c r="C164" s="253" t="s">
        <v>84</v>
      </c>
      <c r="D164" s="253" t="s">
        <v>304</v>
      </c>
      <c r="E164" s="253" t="s">
        <v>895</v>
      </c>
      <c r="F164" s="253" t="s">
        <v>42</v>
      </c>
      <c r="G164" s="251" t="s">
        <v>877</v>
      </c>
      <c r="H164" s="251" t="s">
        <v>4</v>
      </c>
    </row>
    <row r="165" spans="1:8" x14ac:dyDescent="0.3">
      <c r="A165" s="253" t="s">
        <v>325</v>
      </c>
      <c r="B165" s="253" t="s">
        <v>326</v>
      </c>
      <c r="C165" s="253" t="s">
        <v>84</v>
      </c>
      <c r="D165" s="253" t="s">
        <v>304</v>
      </c>
      <c r="E165" s="253" t="s">
        <v>895</v>
      </c>
      <c r="F165" s="253" t="s">
        <v>42</v>
      </c>
      <c r="G165" s="251" t="s">
        <v>863</v>
      </c>
      <c r="H165" s="251" t="s">
        <v>6</v>
      </c>
    </row>
    <row r="166" spans="1:8" x14ac:dyDescent="0.3">
      <c r="A166" s="253" t="s">
        <v>89</v>
      </c>
      <c r="B166" s="253" t="s">
        <v>90</v>
      </c>
      <c r="C166" s="253" t="s">
        <v>84</v>
      </c>
      <c r="D166" s="253" t="s">
        <v>45</v>
      </c>
      <c r="E166" s="253" t="s">
        <v>41</v>
      </c>
      <c r="F166" s="253" t="s">
        <v>42</v>
      </c>
      <c r="G166" s="251" t="s">
        <v>864</v>
      </c>
      <c r="H166" s="251" t="s">
        <v>5</v>
      </c>
    </row>
    <row r="167" spans="1:8" x14ac:dyDescent="0.3">
      <c r="A167" s="253" t="s">
        <v>89</v>
      </c>
      <c r="B167" s="253" t="s">
        <v>90</v>
      </c>
      <c r="C167" s="253" t="s">
        <v>84</v>
      </c>
      <c r="D167" s="253" t="s">
        <v>45</v>
      </c>
      <c r="E167" s="253" t="s">
        <v>41</v>
      </c>
      <c r="F167" s="253" t="s">
        <v>42</v>
      </c>
      <c r="G167" s="251" t="s">
        <v>865</v>
      </c>
      <c r="H167" s="251" t="s">
        <v>5</v>
      </c>
    </row>
    <row r="168" spans="1:8" x14ac:dyDescent="0.3">
      <c r="A168" s="253" t="s">
        <v>89</v>
      </c>
      <c r="B168" s="253" t="s">
        <v>90</v>
      </c>
      <c r="C168" s="253" t="s">
        <v>84</v>
      </c>
      <c r="D168" s="253" t="s">
        <v>45</v>
      </c>
      <c r="E168" s="253" t="s">
        <v>41</v>
      </c>
      <c r="F168" s="253" t="s">
        <v>42</v>
      </c>
      <c r="G168" s="251" t="s">
        <v>867</v>
      </c>
      <c r="H168" s="251" t="s">
        <v>5</v>
      </c>
    </row>
    <row r="169" spans="1:8" x14ac:dyDescent="0.3">
      <c r="A169" s="253" t="s">
        <v>89</v>
      </c>
      <c r="B169" s="253" t="s">
        <v>90</v>
      </c>
      <c r="C169" s="253" t="s">
        <v>84</v>
      </c>
      <c r="D169" s="253" t="s">
        <v>45</v>
      </c>
      <c r="E169" s="253" t="s">
        <v>41</v>
      </c>
      <c r="F169" s="253" t="s">
        <v>42</v>
      </c>
      <c r="G169" s="251" t="s">
        <v>863</v>
      </c>
      <c r="H169" s="251" t="s">
        <v>8</v>
      </c>
    </row>
    <row r="170" spans="1:8" x14ac:dyDescent="0.3">
      <c r="A170" s="253" t="s">
        <v>91</v>
      </c>
      <c r="B170" s="253" t="s">
        <v>92</v>
      </c>
      <c r="C170" s="253" t="s">
        <v>84</v>
      </c>
      <c r="D170" s="253" t="s">
        <v>45</v>
      </c>
      <c r="E170" s="253" t="s">
        <v>41</v>
      </c>
      <c r="F170" s="253" t="s">
        <v>42</v>
      </c>
      <c r="G170" s="251" t="s">
        <v>864</v>
      </c>
      <c r="H170" s="251" t="s">
        <v>5</v>
      </c>
    </row>
    <row r="171" spans="1:8" x14ac:dyDescent="0.3">
      <c r="A171" s="253" t="s">
        <v>91</v>
      </c>
      <c r="B171" s="253" t="s">
        <v>92</v>
      </c>
      <c r="C171" s="253" t="s">
        <v>84</v>
      </c>
      <c r="D171" s="253" t="s">
        <v>45</v>
      </c>
      <c r="E171" s="253" t="s">
        <v>41</v>
      </c>
      <c r="F171" s="253" t="s">
        <v>42</v>
      </c>
      <c r="G171" s="251" t="s">
        <v>865</v>
      </c>
      <c r="H171" s="251" t="s">
        <v>6</v>
      </c>
    </row>
    <row r="172" spans="1:8" x14ac:dyDescent="0.3">
      <c r="A172" s="253" t="s">
        <v>91</v>
      </c>
      <c r="B172" s="253" t="s">
        <v>92</v>
      </c>
      <c r="C172" s="253" t="s">
        <v>84</v>
      </c>
      <c r="D172" s="253" t="s">
        <v>45</v>
      </c>
      <c r="E172" s="253" t="s">
        <v>41</v>
      </c>
      <c r="F172" s="253" t="s">
        <v>42</v>
      </c>
      <c r="G172" s="251" t="s">
        <v>867</v>
      </c>
      <c r="H172" s="251" t="s">
        <v>5</v>
      </c>
    </row>
    <row r="173" spans="1:8" x14ac:dyDescent="0.3">
      <c r="A173" s="253" t="s">
        <v>91</v>
      </c>
      <c r="B173" s="253" t="s">
        <v>92</v>
      </c>
      <c r="C173" s="253" t="s">
        <v>84</v>
      </c>
      <c r="D173" s="253" t="s">
        <v>45</v>
      </c>
      <c r="E173" s="253" t="s">
        <v>41</v>
      </c>
      <c r="F173" s="253" t="s">
        <v>42</v>
      </c>
      <c r="G173" s="251" t="s">
        <v>863</v>
      </c>
      <c r="H173" s="251" t="s">
        <v>8</v>
      </c>
    </row>
    <row r="174" spans="1:8" x14ac:dyDescent="0.3">
      <c r="A174" s="253" t="s">
        <v>327</v>
      </c>
      <c r="B174" s="253" t="s">
        <v>328</v>
      </c>
      <c r="C174" s="253" t="s">
        <v>84</v>
      </c>
      <c r="D174" s="253" t="s">
        <v>304</v>
      </c>
      <c r="E174" s="253" t="s">
        <v>895</v>
      </c>
      <c r="F174" s="253" t="s">
        <v>42</v>
      </c>
      <c r="G174" s="251" t="s">
        <v>875</v>
      </c>
      <c r="H174" s="251" t="s">
        <v>4</v>
      </c>
    </row>
    <row r="175" spans="1:8" x14ac:dyDescent="0.3">
      <c r="A175" s="253" t="s">
        <v>327</v>
      </c>
      <c r="B175" s="253" t="s">
        <v>328</v>
      </c>
      <c r="C175" s="253" t="s">
        <v>84</v>
      </c>
      <c r="D175" s="253" t="s">
        <v>304</v>
      </c>
      <c r="E175" s="253" t="s">
        <v>895</v>
      </c>
      <c r="F175" s="253" t="s">
        <v>42</v>
      </c>
      <c r="G175" s="251" t="s">
        <v>876</v>
      </c>
      <c r="H175" s="251" t="s">
        <v>8</v>
      </c>
    </row>
    <row r="176" spans="1:8" x14ac:dyDescent="0.3">
      <c r="A176" s="253" t="s">
        <v>327</v>
      </c>
      <c r="B176" s="253" t="s">
        <v>328</v>
      </c>
      <c r="C176" s="253" t="s">
        <v>84</v>
      </c>
      <c r="D176" s="253" t="s">
        <v>304</v>
      </c>
      <c r="E176" s="253" t="s">
        <v>895</v>
      </c>
      <c r="F176" s="253" t="s">
        <v>42</v>
      </c>
      <c r="G176" s="251" t="s">
        <v>877</v>
      </c>
      <c r="H176" s="251" t="s">
        <v>6</v>
      </c>
    </row>
    <row r="177" spans="1:8" x14ac:dyDescent="0.3">
      <c r="A177" s="253" t="s">
        <v>327</v>
      </c>
      <c r="B177" s="253" t="s">
        <v>328</v>
      </c>
      <c r="C177" s="253" t="s">
        <v>84</v>
      </c>
      <c r="D177" s="253" t="s">
        <v>304</v>
      </c>
      <c r="E177" s="253" t="s">
        <v>895</v>
      </c>
      <c r="F177" s="253" t="s">
        <v>42</v>
      </c>
      <c r="G177" s="251" t="s">
        <v>863</v>
      </c>
      <c r="H177" s="251" t="s">
        <v>6</v>
      </c>
    </row>
    <row r="178" spans="1:8" x14ac:dyDescent="0.3">
      <c r="A178" s="253" t="s">
        <v>190</v>
      </c>
      <c r="B178" s="253" t="s">
        <v>191</v>
      </c>
      <c r="C178" s="253" t="s">
        <v>84</v>
      </c>
      <c r="D178" s="253" t="s">
        <v>139</v>
      </c>
      <c r="E178" s="253" t="s">
        <v>895</v>
      </c>
      <c r="F178" s="253" t="s">
        <v>42</v>
      </c>
      <c r="G178" s="251" t="s">
        <v>865</v>
      </c>
      <c r="H178" s="251" t="s">
        <v>3</v>
      </c>
    </row>
    <row r="179" spans="1:8" x14ac:dyDescent="0.3">
      <c r="A179" s="253" t="s">
        <v>190</v>
      </c>
      <c r="B179" s="253" t="s">
        <v>191</v>
      </c>
      <c r="C179" s="253" t="s">
        <v>84</v>
      </c>
      <c r="D179" s="253" t="s">
        <v>139</v>
      </c>
      <c r="E179" s="253" t="s">
        <v>895</v>
      </c>
      <c r="F179" s="253" t="s">
        <v>42</v>
      </c>
      <c r="G179" s="251" t="s">
        <v>873</v>
      </c>
      <c r="H179" s="251" t="s">
        <v>6</v>
      </c>
    </row>
    <row r="180" spans="1:8" x14ac:dyDescent="0.3">
      <c r="A180" s="253" t="s">
        <v>190</v>
      </c>
      <c r="B180" s="253" t="s">
        <v>191</v>
      </c>
      <c r="C180" s="253" t="s">
        <v>84</v>
      </c>
      <c r="D180" s="253" t="s">
        <v>139</v>
      </c>
      <c r="E180" s="253" t="s">
        <v>895</v>
      </c>
      <c r="F180" s="253" t="s">
        <v>42</v>
      </c>
      <c r="G180" s="251" t="s">
        <v>875</v>
      </c>
      <c r="H180" s="251" t="s">
        <v>5</v>
      </c>
    </row>
    <row r="181" spans="1:8" x14ac:dyDescent="0.3">
      <c r="A181" s="253" t="s">
        <v>190</v>
      </c>
      <c r="B181" s="253" t="s">
        <v>191</v>
      </c>
      <c r="C181" s="253" t="s">
        <v>84</v>
      </c>
      <c r="D181" s="253" t="s">
        <v>139</v>
      </c>
      <c r="E181" s="253" t="s">
        <v>895</v>
      </c>
      <c r="F181" s="253" t="s">
        <v>42</v>
      </c>
      <c r="G181" s="251" t="s">
        <v>863</v>
      </c>
      <c r="H181" s="251" t="s">
        <v>6</v>
      </c>
    </row>
    <row r="182" spans="1:8" x14ac:dyDescent="0.3">
      <c r="A182" s="253" t="s">
        <v>237</v>
      </c>
      <c r="B182" s="253" t="s">
        <v>238</v>
      </c>
      <c r="C182" s="253" t="s">
        <v>84</v>
      </c>
      <c r="D182" s="253" t="s">
        <v>194</v>
      </c>
      <c r="E182" s="253" t="s">
        <v>896</v>
      </c>
      <c r="F182" s="253" t="s">
        <v>42</v>
      </c>
      <c r="G182" s="251" t="s">
        <v>868</v>
      </c>
      <c r="H182" s="251" t="s">
        <v>7</v>
      </c>
    </row>
    <row r="183" spans="1:8" x14ac:dyDescent="0.3">
      <c r="A183" s="253" t="s">
        <v>237</v>
      </c>
      <c r="B183" s="253" t="s">
        <v>238</v>
      </c>
      <c r="C183" s="253" t="s">
        <v>84</v>
      </c>
      <c r="D183" s="253" t="s">
        <v>194</v>
      </c>
      <c r="E183" s="253" t="s">
        <v>896</v>
      </c>
      <c r="F183" s="253" t="s">
        <v>42</v>
      </c>
      <c r="G183" s="251" t="s">
        <v>869</v>
      </c>
      <c r="H183" s="251" t="s">
        <v>5</v>
      </c>
    </row>
    <row r="184" spans="1:8" x14ac:dyDescent="0.3">
      <c r="A184" s="253" t="s">
        <v>237</v>
      </c>
      <c r="B184" s="253" t="s">
        <v>238</v>
      </c>
      <c r="C184" s="253" t="s">
        <v>84</v>
      </c>
      <c r="D184" s="253" t="s">
        <v>194</v>
      </c>
      <c r="E184" s="253" t="s">
        <v>896</v>
      </c>
      <c r="F184" s="253" t="s">
        <v>42</v>
      </c>
      <c r="G184" s="251" t="s">
        <v>873</v>
      </c>
      <c r="H184" s="251" t="s">
        <v>6</v>
      </c>
    </row>
    <row r="185" spans="1:8" x14ac:dyDescent="0.3">
      <c r="A185" s="253" t="s">
        <v>237</v>
      </c>
      <c r="B185" s="253" t="s">
        <v>238</v>
      </c>
      <c r="C185" s="253" t="s">
        <v>84</v>
      </c>
      <c r="D185" s="253" t="s">
        <v>194</v>
      </c>
      <c r="E185" s="253" t="s">
        <v>896</v>
      </c>
      <c r="F185" s="253" t="s">
        <v>42</v>
      </c>
      <c r="G185" s="251" t="s">
        <v>863</v>
      </c>
      <c r="H185" s="251" t="s">
        <v>6</v>
      </c>
    </row>
    <row r="186" spans="1:8" x14ac:dyDescent="0.3">
      <c r="A186" s="253" t="s">
        <v>192</v>
      </c>
      <c r="B186" s="253" t="s">
        <v>193</v>
      </c>
      <c r="C186" s="253" t="s">
        <v>8</v>
      </c>
      <c r="D186" s="253" t="s">
        <v>194</v>
      </c>
      <c r="E186" s="253" t="s">
        <v>896</v>
      </c>
      <c r="F186" s="253" t="s">
        <v>42</v>
      </c>
      <c r="G186" s="251" t="s">
        <v>868</v>
      </c>
      <c r="H186" s="251" t="s">
        <v>8</v>
      </c>
    </row>
    <row r="187" spans="1:8" x14ac:dyDescent="0.3">
      <c r="A187" s="253" t="s">
        <v>192</v>
      </c>
      <c r="B187" s="253" t="s">
        <v>193</v>
      </c>
      <c r="C187" s="253" t="s">
        <v>8</v>
      </c>
      <c r="D187" s="253" t="s">
        <v>194</v>
      </c>
      <c r="E187" s="253" t="s">
        <v>896</v>
      </c>
      <c r="F187" s="253" t="s">
        <v>42</v>
      </c>
      <c r="G187" s="251" t="s">
        <v>869</v>
      </c>
      <c r="H187" s="251" t="s">
        <v>5</v>
      </c>
    </row>
    <row r="188" spans="1:8" x14ac:dyDescent="0.3">
      <c r="A188" s="253" t="s">
        <v>192</v>
      </c>
      <c r="B188" s="253" t="s">
        <v>193</v>
      </c>
      <c r="C188" s="253" t="s">
        <v>8</v>
      </c>
      <c r="D188" s="253" t="s">
        <v>194</v>
      </c>
      <c r="E188" s="253" t="s">
        <v>896</v>
      </c>
      <c r="F188" s="253" t="s">
        <v>42</v>
      </c>
      <c r="G188" s="251" t="s">
        <v>873</v>
      </c>
      <c r="H188" s="251" t="s">
        <v>7</v>
      </c>
    </row>
    <row r="189" spans="1:8" x14ac:dyDescent="0.3">
      <c r="A189" s="253" t="s">
        <v>192</v>
      </c>
      <c r="B189" s="253" t="s">
        <v>193</v>
      </c>
      <c r="C189" s="253" t="s">
        <v>8</v>
      </c>
      <c r="D189" s="253" t="s">
        <v>194</v>
      </c>
      <c r="E189" s="253" t="s">
        <v>896</v>
      </c>
      <c r="F189" s="253" t="s">
        <v>42</v>
      </c>
      <c r="G189" s="251" t="s">
        <v>863</v>
      </c>
      <c r="H189" s="251" t="s">
        <v>6</v>
      </c>
    </row>
    <row r="190" spans="1:8" x14ac:dyDescent="0.3">
      <c r="A190" s="253" t="s">
        <v>137</v>
      </c>
      <c r="B190" s="253" t="s">
        <v>138</v>
      </c>
      <c r="C190" s="253" t="s">
        <v>8</v>
      </c>
      <c r="D190" s="253" t="s">
        <v>139</v>
      </c>
      <c r="E190" s="253" t="s">
        <v>895</v>
      </c>
      <c r="F190" s="253" t="s">
        <v>42</v>
      </c>
      <c r="G190" s="251" t="s">
        <v>865</v>
      </c>
      <c r="H190" s="251" t="s">
        <v>2</v>
      </c>
    </row>
    <row r="191" spans="1:8" x14ac:dyDescent="0.3">
      <c r="A191" s="253" t="s">
        <v>137</v>
      </c>
      <c r="B191" s="253" t="s">
        <v>138</v>
      </c>
      <c r="C191" s="253" t="s">
        <v>8</v>
      </c>
      <c r="D191" s="253" t="s">
        <v>139</v>
      </c>
      <c r="E191" s="253" t="s">
        <v>895</v>
      </c>
      <c r="F191" s="253" t="s">
        <v>42</v>
      </c>
      <c r="G191" s="251" t="s">
        <v>873</v>
      </c>
      <c r="H191" s="251" t="s">
        <v>6</v>
      </c>
    </row>
    <row r="192" spans="1:8" x14ac:dyDescent="0.3">
      <c r="A192" s="253" t="s">
        <v>137</v>
      </c>
      <c r="B192" s="253" t="s">
        <v>138</v>
      </c>
      <c r="C192" s="253" t="s">
        <v>8</v>
      </c>
      <c r="D192" s="253" t="s">
        <v>139</v>
      </c>
      <c r="E192" s="253" t="s">
        <v>895</v>
      </c>
      <c r="F192" s="253" t="s">
        <v>42</v>
      </c>
      <c r="G192" s="251" t="s">
        <v>875</v>
      </c>
      <c r="H192" s="251" t="s">
        <v>8</v>
      </c>
    </row>
    <row r="193" spans="1:8" x14ac:dyDescent="0.3">
      <c r="A193" s="253" t="s">
        <v>137</v>
      </c>
      <c r="B193" s="253" t="s">
        <v>138</v>
      </c>
      <c r="C193" s="253" t="s">
        <v>8</v>
      </c>
      <c r="D193" s="253" t="s">
        <v>139</v>
      </c>
      <c r="E193" s="253" t="s">
        <v>895</v>
      </c>
      <c r="F193" s="253" t="s">
        <v>42</v>
      </c>
      <c r="G193" s="251" t="s">
        <v>863</v>
      </c>
      <c r="H193" s="251" t="s">
        <v>5</v>
      </c>
    </row>
    <row r="194" spans="1:8" x14ac:dyDescent="0.3">
      <c r="A194" s="253" t="s">
        <v>38</v>
      </c>
      <c r="B194" s="253" t="s">
        <v>39</v>
      </c>
      <c r="C194" s="253" t="s">
        <v>8</v>
      </c>
      <c r="D194" s="253" t="s">
        <v>40</v>
      </c>
      <c r="E194" s="253" t="s">
        <v>41</v>
      </c>
      <c r="F194" s="253" t="s">
        <v>42</v>
      </c>
      <c r="G194" s="251" t="s">
        <v>864</v>
      </c>
      <c r="H194" s="251" t="s">
        <v>5</v>
      </c>
    </row>
    <row r="195" spans="1:8" x14ac:dyDescent="0.3">
      <c r="A195" s="253" t="s">
        <v>38</v>
      </c>
      <c r="B195" s="253" t="s">
        <v>39</v>
      </c>
      <c r="C195" s="253" t="s">
        <v>8</v>
      </c>
      <c r="D195" s="253" t="s">
        <v>40</v>
      </c>
      <c r="E195" s="253" t="s">
        <v>41</v>
      </c>
      <c r="F195" s="253" t="s">
        <v>42</v>
      </c>
      <c r="G195" s="251" t="s">
        <v>865</v>
      </c>
      <c r="H195" s="251" t="s">
        <v>4</v>
      </c>
    </row>
    <row r="196" spans="1:8" x14ac:dyDescent="0.3">
      <c r="A196" s="253" t="s">
        <v>38</v>
      </c>
      <c r="B196" s="253" t="s">
        <v>39</v>
      </c>
      <c r="C196" s="253" t="s">
        <v>8</v>
      </c>
      <c r="D196" s="253" t="s">
        <v>40</v>
      </c>
      <c r="E196" s="253" t="s">
        <v>41</v>
      </c>
      <c r="F196" s="253" t="s">
        <v>42</v>
      </c>
      <c r="G196" s="251" t="s">
        <v>867</v>
      </c>
      <c r="H196" s="251" t="s">
        <v>6</v>
      </c>
    </row>
    <row r="197" spans="1:8" x14ac:dyDescent="0.3">
      <c r="A197" s="253" t="s">
        <v>38</v>
      </c>
      <c r="B197" s="253" t="s">
        <v>39</v>
      </c>
      <c r="C197" s="253" t="s">
        <v>8</v>
      </c>
      <c r="D197" s="253" t="s">
        <v>40</v>
      </c>
      <c r="E197" s="253" t="s">
        <v>41</v>
      </c>
      <c r="F197" s="253" t="s">
        <v>42</v>
      </c>
      <c r="G197" s="251" t="s">
        <v>863</v>
      </c>
      <c r="H197" s="251" t="s">
        <v>8</v>
      </c>
    </row>
    <row r="198" spans="1:8" x14ac:dyDescent="0.3">
      <c r="A198" s="253" t="s">
        <v>140</v>
      </c>
      <c r="B198" s="253" t="s">
        <v>141</v>
      </c>
      <c r="C198" s="253" t="s">
        <v>8</v>
      </c>
      <c r="D198" s="253" t="s">
        <v>139</v>
      </c>
      <c r="E198" s="253" t="s">
        <v>895</v>
      </c>
      <c r="F198" s="253" t="s">
        <v>42</v>
      </c>
      <c r="G198" s="251" t="s">
        <v>865</v>
      </c>
      <c r="H198" s="251" t="s">
        <v>4</v>
      </c>
    </row>
    <row r="199" spans="1:8" x14ac:dyDescent="0.3">
      <c r="A199" s="253" t="s">
        <v>140</v>
      </c>
      <c r="B199" s="253" t="s">
        <v>141</v>
      </c>
      <c r="C199" s="253" t="s">
        <v>8</v>
      </c>
      <c r="D199" s="253" t="s">
        <v>139</v>
      </c>
      <c r="E199" s="253" t="s">
        <v>895</v>
      </c>
      <c r="F199" s="253" t="s">
        <v>42</v>
      </c>
      <c r="G199" s="251" t="s">
        <v>873</v>
      </c>
      <c r="H199" s="251" t="s">
        <v>6</v>
      </c>
    </row>
    <row r="200" spans="1:8" x14ac:dyDescent="0.3">
      <c r="A200" s="253" t="s">
        <v>140</v>
      </c>
      <c r="B200" s="253" t="s">
        <v>141</v>
      </c>
      <c r="C200" s="253" t="s">
        <v>8</v>
      </c>
      <c r="D200" s="253" t="s">
        <v>139</v>
      </c>
      <c r="E200" s="253" t="s">
        <v>895</v>
      </c>
      <c r="F200" s="253" t="s">
        <v>42</v>
      </c>
      <c r="G200" s="251" t="s">
        <v>875</v>
      </c>
      <c r="H200" s="251" t="s">
        <v>4</v>
      </c>
    </row>
    <row r="201" spans="1:8" x14ac:dyDescent="0.3">
      <c r="A201" s="253" t="s">
        <v>140</v>
      </c>
      <c r="B201" s="253" t="s">
        <v>141</v>
      </c>
      <c r="C201" s="253" t="s">
        <v>8</v>
      </c>
      <c r="D201" s="253" t="s">
        <v>139</v>
      </c>
      <c r="E201" s="253" t="s">
        <v>895</v>
      </c>
      <c r="F201" s="253" t="s">
        <v>42</v>
      </c>
      <c r="G201" s="251" t="s">
        <v>863</v>
      </c>
      <c r="H201" s="251" t="s">
        <v>6</v>
      </c>
    </row>
    <row r="202" spans="1:8" x14ac:dyDescent="0.3">
      <c r="A202" s="253" t="s">
        <v>43</v>
      </c>
      <c r="B202" s="253" t="s">
        <v>44</v>
      </c>
      <c r="C202" s="253" t="s">
        <v>8</v>
      </c>
      <c r="D202" s="253" t="s">
        <v>45</v>
      </c>
      <c r="E202" s="253" t="s">
        <v>41</v>
      </c>
      <c r="F202" s="253" t="s">
        <v>42</v>
      </c>
      <c r="G202" s="251" t="s">
        <v>864</v>
      </c>
      <c r="H202" s="251" t="s">
        <v>5</v>
      </c>
    </row>
    <row r="203" spans="1:8" x14ac:dyDescent="0.3">
      <c r="A203" s="253" t="s">
        <v>43</v>
      </c>
      <c r="B203" s="253" t="s">
        <v>44</v>
      </c>
      <c r="C203" s="253" t="s">
        <v>8</v>
      </c>
      <c r="D203" s="253" t="s">
        <v>45</v>
      </c>
      <c r="E203" s="253" t="s">
        <v>41</v>
      </c>
      <c r="F203" s="253" t="s">
        <v>42</v>
      </c>
      <c r="G203" s="251" t="s">
        <v>865</v>
      </c>
      <c r="H203" s="251" t="s">
        <v>4</v>
      </c>
    </row>
    <row r="204" spans="1:8" x14ac:dyDescent="0.3">
      <c r="A204" s="253" t="s">
        <v>43</v>
      </c>
      <c r="B204" s="253" t="s">
        <v>44</v>
      </c>
      <c r="C204" s="253" t="s">
        <v>8</v>
      </c>
      <c r="D204" s="253" t="s">
        <v>45</v>
      </c>
      <c r="E204" s="253" t="s">
        <v>41</v>
      </c>
      <c r="F204" s="253" t="s">
        <v>42</v>
      </c>
      <c r="G204" s="251" t="s">
        <v>867</v>
      </c>
      <c r="H204" s="251" t="s">
        <v>5</v>
      </c>
    </row>
    <row r="205" spans="1:8" x14ac:dyDescent="0.3">
      <c r="A205" s="253" t="s">
        <v>43</v>
      </c>
      <c r="B205" s="253" t="s">
        <v>44</v>
      </c>
      <c r="C205" s="253" t="s">
        <v>8</v>
      </c>
      <c r="D205" s="253" t="s">
        <v>45</v>
      </c>
      <c r="E205" s="253" t="s">
        <v>41</v>
      </c>
      <c r="F205" s="253" t="s">
        <v>42</v>
      </c>
      <c r="G205" s="251" t="s">
        <v>863</v>
      </c>
      <c r="H205" s="251" t="s">
        <v>8</v>
      </c>
    </row>
    <row r="206" spans="1:8" x14ac:dyDescent="0.3">
      <c r="A206" s="253" t="s">
        <v>95</v>
      </c>
      <c r="B206" s="253" t="s">
        <v>96</v>
      </c>
      <c r="C206" s="253" t="s">
        <v>8</v>
      </c>
      <c r="D206" s="253" t="s">
        <v>40</v>
      </c>
      <c r="E206" s="253" t="s">
        <v>41</v>
      </c>
      <c r="F206" s="253" t="s">
        <v>42</v>
      </c>
      <c r="G206" s="251" t="s">
        <v>864</v>
      </c>
      <c r="H206" s="251" t="s">
        <v>5</v>
      </c>
    </row>
    <row r="207" spans="1:8" x14ac:dyDescent="0.3">
      <c r="A207" s="253" t="s">
        <v>95</v>
      </c>
      <c r="B207" s="253" t="s">
        <v>96</v>
      </c>
      <c r="C207" s="253" t="s">
        <v>8</v>
      </c>
      <c r="D207" s="253" t="s">
        <v>40</v>
      </c>
      <c r="E207" s="253" t="s">
        <v>41</v>
      </c>
      <c r="F207" s="253" t="s">
        <v>42</v>
      </c>
      <c r="G207" s="251" t="s">
        <v>865</v>
      </c>
      <c r="H207" s="251" t="s">
        <v>4</v>
      </c>
    </row>
    <row r="208" spans="1:8" x14ac:dyDescent="0.3">
      <c r="A208" s="253" t="s">
        <v>95</v>
      </c>
      <c r="B208" s="253" t="s">
        <v>96</v>
      </c>
      <c r="C208" s="253" t="s">
        <v>8</v>
      </c>
      <c r="D208" s="253" t="s">
        <v>40</v>
      </c>
      <c r="E208" s="253" t="s">
        <v>41</v>
      </c>
      <c r="F208" s="253" t="s">
        <v>42</v>
      </c>
      <c r="G208" s="251" t="s">
        <v>866</v>
      </c>
      <c r="H208" s="251" t="s">
        <v>2</v>
      </c>
    </row>
    <row r="209" spans="1:8" x14ac:dyDescent="0.3">
      <c r="A209" s="253" t="s">
        <v>95</v>
      </c>
      <c r="B209" s="253" t="s">
        <v>96</v>
      </c>
      <c r="C209" s="253" t="s">
        <v>8</v>
      </c>
      <c r="D209" s="253" t="s">
        <v>40</v>
      </c>
      <c r="E209" s="253" t="s">
        <v>41</v>
      </c>
      <c r="F209" s="253" t="s">
        <v>42</v>
      </c>
      <c r="G209" s="251" t="s">
        <v>863</v>
      </c>
      <c r="H209" s="251" t="s">
        <v>6</v>
      </c>
    </row>
    <row r="210" spans="1:8" x14ac:dyDescent="0.3">
      <c r="A210" s="253" t="s">
        <v>142</v>
      </c>
      <c r="B210" s="253" t="s">
        <v>143</v>
      </c>
      <c r="C210" s="253" t="s">
        <v>8</v>
      </c>
      <c r="D210" s="253" t="s">
        <v>139</v>
      </c>
      <c r="E210" s="253" t="s">
        <v>895</v>
      </c>
      <c r="F210" s="253" t="s">
        <v>42</v>
      </c>
      <c r="G210" s="251" t="s">
        <v>865</v>
      </c>
      <c r="H210" s="251" t="s">
        <v>3</v>
      </c>
    </row>
    <row r="211" spans="1:8" x14ac:dyDescent="0.3">
      <c r="A211" s="253" t="s">
        <v>142</v>
      </c>
      <c r="B211" s="253" t="s">
        <v>143</v>
      </c>
      <c r="C211" s="253" t="s">
        <v>8</v>
      </c>
      <c r="D211" s="253" t="s">
        <v>139</v>
      </c>
      <c r="E211" s="253" t="s">
        <v>895</v>
      </c>
      <c r="F211" s="253" t="s">
        <v>42</v>
      </c>
      <c r="G211" s="251" t="s">
        <v>873</v>
      </c>
      <c r="H211" s="251" t="s">
        <v>7</v>
      </c>
    </row>
    <row r="212" spans="1:8" x14ac:dyDescent="0.3">
      <c r="A212" s="253" t="s">
        <v>142</v>
      </c>
      <c r="B212" s="253" t="s">
        <v>143</v>
      </c>
      <c r="C212" s="253" t="s">
        <v>8</v>
      </c>
      <c r="D212" s="253" t="s">
        <v>139</v>
      </c>
      <c r="E212" s="253" t="s">
        <v>895</v>
      </c>
      <c r="F212" s="253" t="s">
        <v>42</v>
      </c>
      <c r="G212" s="251" t="s">
        <v>875</v>
      </c>
      <c r="H212" s="251" t="s">
        <v>4</v>
      </c>
    </row>
    <row r="213" spans="1:8" x14ac:dyDescent="0.3">
      <c r="A213" s="253" t="s">
        <v>142</v>
      </c>
      <c r="B213" s="253" t="s">
        <v>143</v>
      </c>
      <c r="C213" s="253" t="s">
        <v>8</v>
      </c>
      <c r="D213" s="253" t="s">
        <v>139</v>
      </c>
      <c r="E213" s="253" t="s">
        <v>895</v>
      </c>
      <c r="F213" s="253" t="s">
        <v>42</v>
      </c>
      <c r="G213" s="251" t="s">
        <v>863</v>
      </c>
      <c r="H213" s="251" t="s">
        <v>5</v>
      </c>
    </row>
    <row r="214" spans="1:8" x14ac:dyDescent="0.3">
      <c r="A214" s="253" t="s">
        <v>144</v>
      </c>
      <c r="B214" s="253" t="s">
        <v>145</v>
      </c>
      <c r="C214" s="253" t="s">
        <v>8</v>
      </c>
      <c r="D214" s="253" t="s">
        <v>139</v>
      </c>
      <c r="E214" s="253" t="s">
        <v>895</v>
      </c>
      <c r="F214" s="253" t="s">
        <v>42</v>
      </c>
      <c r="G214" s="251" t="s">
        <v>865</v>
      </c>
      <c r="H214" s="251" t="s">
        <v>4</v>
      </c>
    </row>
    <row r="215" spans="1:8" x14ac:dyDescent="0.3">
      <c r="A215" s="253" t="s">
        <v>144</v>
      </c>
      <c r="B215" s="253" t="s">
        <v>145</v>
      </c>
      <c r="C215" s="253" t="s">
        <v>8</v>
      </c>
      <c r="D215" s="253" t="s">
        <v>139</v>
      </c>
      <c r="E215" s="253" t="s">
        <v>895</v>
      </c>
      <c r="F215" s="253" t="s">
        <v>42</v>
      </c>
      <c r="G215" s="251" t="s">
        <v>873</v>
      </c>
      <c r="H215" s="251" t="s">
        <v>7</v>
      </c>
    </row>
    <row r="216" spans="1:8" x14ac:dyDescent="0.3">
      <c r="A216" s="253" t="s">
        <v>144</v>
      </c>
      <c r="B216" s="253" t="s">
        <v>145</v>
      </c>
      <c r="C216" s="253" t="s">
        <v>8</v>
      </c>
      <c r="D216" s="253" t="s">
        <v>139</v>
      </c>
      <c r="E216" s="253" t="s">
        <v>895</v>
      </c>
      <c r="F216" s="253" t="s">
        <v>42</v>
      </c>
      <c r="G216" s="251" t="s">
        <v>875</v>
      </c>
      <c r="H216" s="251" t="s">
        <v>6</v>
      </c>
    </row>
    <row r="217" spans="1:8" x14ac:dyDescent="0.3">
      <c r="A217" s="253" t="s">
        <v>144</v>
      </c>
      <c r="B217" s="253" t="s">
        <v>145</v>
      </c>
      <c r="C217" s="253" t="s">
        <v>8</v>
      </c>
      <c r="D217" s="253" t="s">
        <v>139</v>
      </c>
      <c r="E217" s="253" t="s">
        <v>895</v>
      </c>
      <c r="F217" s="253" t="s">
        <v>42</v>
      </c>
      <c r="G217" s="251" t="s">
        <v>863</v>
      </c>
      <c r="H217" s="251" t="s">
        <v>5</v>
      </c>
    </row>
    <row r="218" spans="1:8" x14ac:dyDescent="0.3">
      <c r="A218" s="253" t="s">
        <v>195</v>
      </c>
      <c r="B218" s="253" t="s">
        <v>196</v>
      </c>
      <c r="C218" s="253" t="s">
        <v>8</v>
      </c>
      <c r="D218" s="253" t="s">
        <v>194</v>
      </c>
      <c r="E218" s="253" t="s">
        <v>896</v>
      </c>
      <c r="F218" s="253" t="s">
        <v>42</v>
      </c>
      <c r="G218" s="251" t="s">
        <v>868</v>
      </c>
      <c r="H218" s="251" t="s">
        <v>6</v>
      </c>
    </row>
    <row r="219" spans="1:8" x14ac:dyDescent="0.3">
      <c r="A219" s="253" t="s">
        <v>195</v>
      </c>
      <c r="B219" s="253" t="s">
        <v>196</v>
      </c>
      <c r="C219" s="253" t="s">
        <v>8</v>
      </c>
      <c r="D219" s="253" t="s">
        <v>194</v>
      </c>
      <c r="E219" s="253" t="s">
        <v>896</v>
      </c>
      <c r="F219" s="253" t="s">
        <v>42</v>
      </c>
      <c r="G219" s="251" t="s">
        <v>869</v>
      </c>
      <c r="H219" s="251" t="s">
        <v>5</v>
      </c>
    </row>
    <row r="220" spans="1:8" x14ac:dyDescent="0.3">
      <c r="A220" s="253" t="s">
        <v>195</v>
      </c>
      <c r="B220" s="253" t="s">
        <v>196</v>
      </c>
      <c r="C220" s="253" t="s">
        <v>8</v>
      </c>
      <c r="D220" s="253" t="s">
        <v>194</v>
      </c>
      <c r="E220" s="253" t="s">
        <v>896</v>
      </c>
      <c r="F220" s="253" t="s">
        <v>42</v>
      </c>
      <c r="G220" s="251" t="s">
        <v>873</v>
      </c>
      <c r="H220" s="251" t="s">
        <v>8</v>
      </c>
    </row>
    <row r="221" spans="1:8" x14ac:dyDescent="0.3">
      <c r="A221" s="253" t="s">
        <v>195</v>
      </c>
      <c r="B221" s="253" t="s">
        <v>196</v>
      </c>
      <c r="C221" s="253" t="s">
        <v>8</v>
      </c>
      <c r="D221" s="253" t="s">
        <v>194</v>
      </c>
      <c r="E221" s="253" t="s">
        <v>896</v>
      </c>
      <c r="F221" s="253" t="s">
        <v>42</v>
      </c>
      <c r="G221" s="251" t="s">
        <v>863</v>
      </c>
      <c r="H221" s="251" t="s">
        <v>6</v>
      </c>
    </row>
    <row r="222" spans="1:8" x14ac:dyDescent="0.3">
      <c r="A222" s="253" t="s">
        <v>146</v>
      </c>
      <c r="B222" s="253" t="s">
        <v>147</v>
      </c>
      <c r="C222" s="253" t="s">
        <v>8</v>
      </c>
      <c r="D222" s="253" t="s">
        <v>139</v>
      </c>
      <c r="E222" s="253" t="s">
        <v>895</v>
      </c>
      <c r="F222" s="253" t="s">
        <v>42</v>
      </c>
      <c r="G222" s="251" t="s">
        <v>865</v>
      </c>
      <c r="H222" s="251" t="s">
        <v>3</v>
      </c>
    </row>
    <row r="223" spans="1:8" x14ac:dyDescent="0.3">
      <c r="A223" s="253" t="s">
        <v>146</v>
      </c>
      <c r="B223" s="253" t="s">
        <v>147</v>
      </c>
      <c r="C223" s="253" t="s">
        <v>8</v>
      </c>
      <c r="D223" s="253" t="s">
        <v>139</v>
      </c>
      <c r="E223" s="253" t="s">
        <v>895</v>
      </c>
      <c r="F223" s="253" t="s">
        <v>42</v>
      </c>
      <c r="G223" s="251" t="s">
        <v>873</v>
      </c>
      <c r="H223" s="251" t="s">
        <v>8</v>
      </c>
    </row>
    <row r="224" spans="1:8" x14ac:dyDescent="0.3">
      <c r="A224" s="253" t="s">
        <v>146</v>
      </c>
      <c r="B224" s="253" t="s">
        <v>147</v>
      </c>
      <c r="C224" s="253" t="s">
        <v>8</v>
      </c>
      <c r="D224" s="253" t="s">
        <v>139</v>
      </c>
      <c r="E224" s="253" t="s">
        <v>895</v>
      </c>
      <c r="F224" s="253" t="s">
        <v>42</v>
      </c>
      <c r="G224" s="251" t="s">
        <v>875</v>
      </c>
      <c r="H224" s="251" t="s">
        <v>5</v>
      </c>
    </row>
    <row r="225" spans="1:8" x14ac:dyDescent="0.3">
      <c r="A225" s="253" t="s">
        <v>146</v>
      </c>
      <c r="B225" s="253" t="s">
        <v>147</v>
      </c>
      <c r="C225" s="253" t="s">
        <v>8</v>
      </c>
      <c r="D225" s="253" t="s">
        <v>139</v>
      </c>
      <c r="E225" s="253" t="s">
        <v>895</v>
      </c>
      <c r="F225" s="253" t="s">
        <v>42</v>
      </c>
      <c r="G225" s="251" t="s">
        <v>863</v>
      </c>
      <c r="H225" s="251" t="s">
        <v>5</v>
      </c>
    </row>
    <row r="226" spans="1:8" x14ac:dyDescent="0.3">
      <c r="A226" s="253" t="s">
        <v>245</v>
      </c>
      <c r="B226" s="253" t="s">
        <v>246</v>
      </c>
      <c r="C226" s="253" t="s">
        <v>8</v>
      </c>
      <c r="D226" s="253" t="s">
        <v>240</v>
      </c>
      <c r="E226" s="253" t="s">
        <v>896</v>
      </c>
      <c r="F226" s="253" t="s">
        <v>42</v>
      </c>
      <c r="G226" s="251" t="s">
        <v>868</v>
      </c>
      <c r="H226" s="251" t="s">
        <v>6</v>
      </c>
    </row>
    <row r="227" spans="1:8" x14ac:dyDescent="0.3">
      <c r="A227" s="253" t="s">
        <v>245</v>
      </c>
      <c r="B227" s="253" t="s">
        <v>246</v>
      </c>
      <c r="C227" s="253" t="s">
        <v>8</v>
      </c>
      <c r="D227" s="253" t="s">
        <v>240</v>
      </c>
      <c r="E227" s="253" t="s">
        <v>896</v>
      </c>
      <c r="F227" s="253" t="s">
        <v>42</v>
      </c>
      <c r="G227" s="251" t="s">
        <v>869</v>
      </c>
      <c r="H227" s="251" t="s">
        <v>5</v>
      </c>
    </row>
    <row r="228" spans="1:8" x14ac:dyDescent="0.3">
      <c r="A228" s="253" t="s">
        <v>245</v>
      </c>
      <c r="B228" s="253" t="s">
        <v>246</v>
      </c>
      <c r="C228" s="253" t="s">
        <v>8</v>
      </c>
      <c r="D228" s="253" t="s">
        <v>240</v>
      </c>
      <c r="E228" s="253" t="s">
        <v>896</v>
      </c>
      <c r="F228" s="253" t="s">
        <v>42</v>
      </c>
      <c r="G228" s="251" t="s">
        <v>870</v>
      </c>
      <c r="H228" s="251" t="s">
        <v>5</v>
      </c>
    </row>
    <row r="229" spans="1:8" x14ac:dyDescent="0.3">
      <c r="A229" s="253" t="s">
        <v>245</v>
      </c>
      <c r="B229" s="253" t="s">
        <v>246</v>
      </c>
      <c r="C229" s="253" t="s">
        <v>8</v>
      </c>
      <c r="D229" s="253" t="s">
        <v>240</v>
      </c>
      <c r="E229" s="253" t="s">
        <v>896</v>
      </c>
      <c r="F229" s="253" t="s">
        <v>42</v>
      </c>
      <c r="G229" s="251" t="s">
        <v>863</v>
      </c>
      <c r="H229" s="251" t="s">
        <v>7</v>
      </c>
    </row>
    <row r="230" spans="1:8" x14ac:dyDescent="0.3">
      <c r="A230" s="253" t="s">
        <v>48</v>
      </c>
      <c r="B230" s="253" t="s">
        <v>49</v>
      </c>
      <c r="C230" s="253" t="s">
        <v>8</v>
      </c>
      <c r="D230" s="253" t="s">
        <v>45</v>
      </c>
      <c r="E230" s="253" t="s">
        <v>41</v>
      </c>
      <c r="F230" s="253" t="s">
        <v>42</v>
      </c>
      <c r="G230" s="251" t="s">
        <v>864</v>
      </c>
      <c r="H230" s="251" t="s">
        <v>4</v>
      </c>
    </row>
    <row r="231" spans="1:8" x14ac:dyDescent="0.3">
      <c r="A231" s="253" t="s">
        <v>48</v>
      </c>
      <c r="B231" s="253" t="s">
        <v>49</v>
      </c>
      <c r="C231" s="253" t="s">
        <v>8</v>
      </c>
      <c r="D231" s="253" t="s">
        <v>45</v>
      </c>
      <c r="E231" s="253" t="s">
        <v>41</v>
      </c>
      <c r="F231" s="253" t="s">
        <v>42</v>
      </c>
      <c r="G231" s="251" t="s">
        <v>865</v>
      </c>
      <c r="H231" s="251" t="s">
        <v>4</v>
      </c>
    </row>
    <row r="232" spans="1:8" x14ac:dyDescent="0.3">
      <c r="A232" s="253" t="s">
        <v>48</v>
      </c>
      <c r="B232" s="253" t="s">
        <v>49</v>
      </c>
      <c r="C232" s="253" t="s">
        <v>8</v>
      </c>
      <c r="D232" s="253" t="s">
        <v>45</v>
      </c>
      <c r="E232" s="253" t="s">
        <v>41</v>
      </c>
      <c r="F232" s="253" t="s">
        <v>42</v>
      </c>
      <c r="G232" s="251" t="s">
        <v>867</v>
      </c>
      <c r="H232" s="251" t="s">
        <v>4</v>
      </c>
    </row>
    <row r="233" spans="1:8" x14ac:dyDescent="0.3">
      <c r="A233" s="253" t="s">
        <v>48</v>
      </c>
      <c r="B233" s="253" t="s">
        <v>49</v>
      </c>
      <c r="C233" s="253" t="s">
        <v>8</v>
      </c>
      <c r="D233" s="253" t="s">
        <v>45</v>
      </c>
      <c r="E233" s="253" t="s">
        <v>41</v>
      </c>
      <c r="F233" s="253" t="s">
        <v>42</v>
      </c>
      <c r="G233" s="251" t="s">
        <v>863</v>
      </c>
      <c r="H233" s="251" t="s">
        <v>6</v>
      </c>
    </row>
    <row r="234" spans="1:8" x14ac:dyDescent="0.3">
      <c r="A234" s="253" t="s">
        <v>148</v>
      </c>
      <c r="B234" s="253" t="s">
        <v>149</v>
      </c>
      <c r="C234" s="253" t="s">
        <v>8</v>
      </c>
      <c r="D234" s="253" t="s">
        <v>139</v>
      </c>
      <c r="E234" s="253" t="s">
        <v>895</v>
      </c>
      <c r="F234" s="253" t="s">
        <v>42</v>
      </c>
      <c r="G234" s="251" t="s">
        <v>865</v>
      </c>
      <c r="H234" s="251" t="s">
        <v>3</v>
      </c>
    </row>
    <row r="235" spans="1:8" x14ac:dyDescent="0.3">
      <c r="A235" s="253" t="s">
        <v>148</v>
      </c>
      <c r="B235" s="253" t="s">
        <v>149</v>
      </c>
      <c r="C235" s="253" t="s">
        <v>8</v>
      </c>
      <c r="D235" s="253" t="s">
        <v>139</v>
      </c>
      <c r="E235" s="253" t="s">
        <v>895</v>
      </c>
      <c r="F235" s="253" t="s">
        <v>42</v>
      </c>
      <c r="G235" s="251" t="s">
        <v>873</v>
      </c>
      <c r="H235" s="251" t="s">
        <v>8</v>
      </c>
    </row>
    <row r="236" spans="1:8" x14ac:dyDescent="0.3">
      <c r="A236" s="253" t="s">
        <v>148</v>
      </c>
      <c r="B236" s="253" t="s">
        <v>149</v>
      </c>
      <c r="C236" s="253" t="s">
        <v>8</v>
      </c>
      <c r="D236" s="253" t="s">
        <v>139</v>
      </c>
      <c r="E236" s="253" t="s">
        <v>895</v>
      </c>
      <c r="F236" s="253" t="s">
        <v>42</v>
      </c>
      <c r="G236" s="251" t="s">
        <v>875</v>
      </c>
      <c r="H236" s="251" t="s">
        <v>5</v>
      </c>
    </row>
    <row r="237" spans="1:8" x14ac:dyDescent="0.3">
      <c r="A237" s="253" t="s">
        <v>148</v>
      </c>
      <c r="B237" s="253" t="s">
        <v>149</v>
      </c>
      <c r="C237" s="253" t="s">
        <v>8</v>
      </c>
      <c r="D237" s="253" t="s">
        <v>139</v>
      </c>
      <c r="E237" s="253" t="s">
        <v>895</v>
      </c>
      <c r="F237" s="253" t="s">
        <v>42</v>
      </c>
      <c r="G237" s="251" t="s">
        <v>863</v>
      </c>
      <c r="H237" s="251" t="s">
        <v>7</v>
      </c>
    </row>
    <row r="238" spans="1:8" x14ac:dyDescent="0.3">
      <c r="A238" s="253" t="s">
        <v>50</v>
      </c>
      <c r="B238" s="253" t="s">
        <v>51</v>
      </c>
      <c r="C238" s="253" t="s">
        <v>8</v>
      </c>
      <c r="D238" s="253" t="s">
        <v>45</v>
      </c>
      <c r="E238" s="253" t="s">
        <v>41</v>
      </c>
      <c r="F238" s="253" t="s">
        <v>42</v>
      </c>
      <c r="G238" s="251" t="s">
        <v>864</v>
      </c>
      <c r="H238" s="251" t="s">
        <v>5</v>
      </c>
    </row>
    <row r="239" spans="1:8" x14ac:dyDescent="0.3">
      <c r="A239" s="253" t="s">
        <v>50</v>
      </c>
      <c r="B239" s="253" t="s">
        <v>51</v>
      </c>
      <c r="C239" s="253" t="s">
        <v>8</v>
      </c>
      <c r="D239" s="253" t="s">
        <v>45</v>
      </c>
      <c r="E239" s="253" t="s">
        <v>41</v>
      </c>
      <c r="F239" s="253" t="s">
        <v>42</v>
      </c>
      <c r="G239" s="251" t="s">
        <v>865</v>
      </c>
      <c r="H239" s="251" t="s">
        <v>5</v>
      </c>
    </row>
    <row r="240" spans="1:8" x14ac:dyDescent="0.3">
      <c r="A240" s="253" t="s">
        <v>50</v>
      </c>
      <c r="B240" s="253" t="s">
        <v>51</v>
      </c>
      <c r="C240" s="253" t="s">
        <v>8</v>
      </c>
      <c r="D240" s="253" t="s">
        <v>45</v>
      </c>
      <c r="E240" s="253" t="s">
        <v>41</v>
      </c>
      <c r="F240" s="253" t="s">
        <v>42</v>
      </c>
      <c r="G240" s="251" t="s">
        <v>867</v>
      </c>
      <c r="H240" s="251" t="s">
        <v>5</v>
      </c>
    </row>
    <row r="241" spans="1:8" x14ac:dyDescent="0.3">
      <c r="A241" s="253" t="s">
        <v>50</v>
      </c>
      <c r="B241" s="253" t="s">
        <v>51</v>
      </c>
      <c r="C241" s="253" t="s">
        <v>8</v>
      </c>
      <c r="D241" s="253" t="s">
        <v>45</v>
      </c>
      <c r="E241" s="253" t="s">
        <v>41</v>
      </c>
      <c r="F241" s="253" t="s">
        <v>42</v>
      </c>
      <c r="G241" s="251" t="s">
        <v>863</v>
      </c>
      <c r="H241" s="251" t="s">
        <v>6</v>
      </c>
    </row>
    <row r="242" spans="1:8" x14ac:dyDescent="0.3">
      <c r="A242" s="253" t="s">
        <v>52</v>
      </c>
      <c r="B242" s="253" t="s">
        <v>53</v>
      </c>
      <c r="C242" s="253" t="s">
        <v>8</v>
      </c>
      <c r="D242" s="253" t="s">
        <v>45</v>
      </c>
      <c r="E242" s="253" t="s">
        <v>41</v>
      </c>
      <c r="F242" s="253" t="s">
        <v>42</v>
      </c>
      <c r="G242" s="251" t="s">
        <v>864</v>
      </c>
      <c r="H242" s="251" t="s">
        <v>4</v>
      </c>
    </row>
    <row r="243" spans="1:8" x14ac:dyDescent="0.3">
      <c r="A243" s="253" t="s">
        <v>52</v>
      </c>
      <c r="B243" s="253" t="s">
        <v>53</v>
      </c>
      <c r="C243" s="253" t="s">
        <v>8</v>
      </c>
      <c r="D243" s="253" t="s">
        <v>45</v>
      </c>
      <c r="E243" s="253" t="s">
        <v>41</v>
      </c>
      <c r="F243" s="253" t="s">
        <v>42</v>
      </c>
      <c r="G243" s="251" t="s">
        <v>865</v>
      </c>
      <c r="H243" s="251" t="s">
        <v>5</v>
      </c>
    </row>
    <row r="244" spans="1:8" x14ac:dyDescent="0.3">
      <c r="A244" s="253" t="s">
        <v>52</v>
      </c>
      <c r="B244" s="253" t="s">
        <v>53</v>
      </c>
      <c r="C244" s="253" t="s">
        <v>8</v>
      </c>
      <c r="D244" s="253" t="s">
        <v>45</v>
      </c>
      <c r="E244" s="253" t="s">
        <v>41</v>
      </c>
      <c r="F244" s="253" t="s">
        <v>42</v>
      </c>
      <c r="G244" s="251" t="s">
        <v>867</v>
      </c>
      <c r="H244" s="251" t="s">
        <v>4</v>
      </c>
    </row>
    <row r="245" spans="1:8" x14ac:dyDescent="0.3">
      <c r="A245" s="253" t="s">
        <v>52</v>
      </c>
      <c r="B245" s="253" t="s">
        <v>53</v>
      </c>
      <c r="C245" s="253" t="s">
        <v>8</v>
      </c>
      <c r="D245" s="253" t="s">
        <v>45</v>
      </c>
      <c r="E245" s="253" t="s">
        <v>41</v>
      </c>
      <c r="F245" s="253" t="s">
        <v>42</v>
      </c>
      <c r="G245" s="251" t="s">
        <v>863</v>
      </c>
      <c r="H245" s="251" t="s">
        <v>6</v>
      </c>
    </row>
    <row r="246" spans="1:8" x14ac:dyDescent="0.3">
      <c r="A246" s="253" t="s">
        <v>54</v>
      </c>
      <c r="B246" s="253" t="s">
        <v>55</v>
      </c>
      <c r="C246" s="253" t="s">
        <v>8</v>
      </c>
      <c r="D246" s="253" t="s">
        <v>45</v>
      </c>
      <c r="E246" s="253" t="s">
        <v>41</v>
      </c>
      <c r="F246" s="253" t="s">
        <v>42</v>
      </c>
      <c r="G246" s="251" t="s">
        <v>864</v>
      </c>
      <c r="H246" s="251" t="s">
        <v>5</v>
      </c>
    </row>
    <row r="247" spans="1:8" x14ac:dyDescent="0.3">
      <c r="A247" s="253" t="s">
        <v>54</v>
      </c>
      <c r="B247" s="253" t="s">
        <v>55</v>
      </c>
      <c r="C247" s="253" t="s">
        <v>8</v>
      </c>
      <c r="D247" s="253" t="s">
        <v>45</v>
      </c>
      <c r="E247" s="253" t="s">
        <v>41</v>
      </c>
      <c r="F247" s="253" t="s">
        <v>42</v>
      </c>
      <c r="G247" s="251" t="s">
        <v>865</v>
      </c>
      <c r="H247" s="251" t="s">
        <v>5</v>
      </c>
    </row>
    <row r="248" spans="1:8" x14ac:dyDescent="0.3">
      <c r="A248" s="253" t="s">
        <v>54</v>
      </c>
      <c r="B248" s="253" t="s">
        <v>55</v>
      </c>
      <c r="C248" s="253" t="s">
        <v>8</v>
      </c>
      <c r="D248" s="253" t="s">
        <v>45</v>
      </c>
      <c r="E248" s="253" t="s">
        <v>41</v>
      </c>
      <c r="F248" s="253" t="s">
        <v>42</v>
      </c>
      <c r="G248" s="251" t="s">
        <v>867</v>
      </c>
      <c r="H248" s="251" t="s">
        <v>4</v>
      </c>
    </row>
    <row r="249" spans="1:8" x14ac:dyDescent="0.3">
      <c r="A249" s="253" t="s">
        <v>54</v>
      </c>
      <c r="B249" s="253" t="s">
        <v>55</v>
      </c>
      <c r="C249" s="253" t="s">
        <v>8</v>
      </c>
      <c r="D249" s="253" t="s">
        <v>45</v>
      </c>
      <c r="E249" s="253" t="s">
        <v>41</v>
      </c>
      <c r="F249" s="253" t="s">
        <v>42</v>
      </c>
      <c r="G249" s="251" t="s">
        <v>863</v>
      </c>
      <c r="H249" s="251" t="s">
        <v>6</v>
      </c>
    </row>
    <row r="250" spans="1:8" x14ac:dyDescent="0.3">
      <c r="A250" s="253" t="s">
        <v>150</v>
      </c>
      <c r="B250" s="253" t="s">
        <v>151</v>
      </c>
      <c r="C250" s="253" t="s">
        <v>8</v>
      </c>
      <c r="D250" s="253" t="s">
        <v>139</v>
      </c>
      <c r="E250" s="253" t="s">
        <v>895</v>
      </c>
      <c r="F250" s="253" t="s">
        <v>42</v>
      </c>
      <c r="G250" s="251" t="s">
        <v>865</v>
      </c>
      <c r="H250" s="251" t="s">
        <v>2</v>
      </c>
    </row>
    <row r="251" spans="1:8" x14ac:dyDescent="0.3">
      <c r="A251" s="253" t="s">
        <v>150</v>
      </c>
      <c r="B251" s="253" t="s">
        <v>151</v>
      </c>
      <c r="C251" s="253" t="s">
        <v>8</v>
      </c>
      <c r="D251" s="253" t="s">
        <v>139</v>
      </c>
      <c r="E251" s="253" t="s">
        <v>895</v>
      </c>
      <c r="F251" s="253" t="s">
        <v>42</v>
      </c>
      <c r="G251" s="251" t="s">
        <v>873</v>
      </c>
      <c r="H251" s="251" t="s">
        <v>5</v>
      </c>
    </row>
    <row r="252" spans="1:8" x14ac:dyDescent="0.3">
      <c r="A252" s="253" t="s">
        <v>150</v>
      </c>
      <c r="B252" s="253" t="s">
        <v>151</v>
      </c>
      <c r="C252" s="253" t="s">
        <v>8</v>
      </c>
      <c r="D252" s="253" t="s">
        <v>139</v>
      </c>
      <c r="E252" s="253" t="s">
        <v>895</v>
      </c>
      <c r="F252" s="253" t="s">
        <v>42</v>
      </c>
      <c r="G252" s="251" t="s">
        <v>875</v>
      </c>
      <c r="H252" s="251" t="s">
        <v>4</v>
      </c>
    </row>
    <row r="253" spans="1:8" x14ac:dyDescent="0.3">
      <c r="A253" s="253" t="s">
        <v>150</v>
      </c>
      <c r="B253" s="253" t="s">
        <v>151</v>
      </c>
      <c r="C253" s="253" t="s">
        <v>8</v>
      </c>
      <c r="D253" s="253" t="s">
        <v>139</v>
      </c>
      <c r="E253" s="253" t="s">
        <v>895</v>
      </c>
      <c r="F253" s="253" t="s">
        <v>42</v>
      </c>
      <c r="G253" s="251" t="s">
        <v>863</v>
      </c>
      <c r="H253" s="251" t="s">
        <v>6</v>
      </c>
    </row>
    <row r="254" spans="1:8" x14ac:dyDescent="0.3">
      <c r="A254" s="253" t="s">
        <v>152</v>
      </c>
      <c r="B254" s="253" t="s">
        <v>153</v>
      </c>
      <c r="C254" s="253" t="s">
        <v>8</v>
      </c>
      <c r="D254" s="253" t="s">
        <v>139</v>
      </c>
      <c r="E254" s="253" t="s">
        <v>895</v>
      </c>
      <c r="F254" s="253" t="s">
        <v>42</v>
      </c>
      <c r="G254" s="251" t="s">
        <v>865</v>
      </c>
      <c r="H254" s="251" t="s">
        <v>4</v>
      </c>
    </row>
    <row r="255" spans="1:8" x14ac:dyDescent="0.3">
      <c r="A255" s="253" t="s">
        <v>152</v>
      </c>
      <c r="B255" s="253" t="s">
        <v>153</v>
      </c>
      <c r="C255" s="253" t="s">
        <v>8</v>
      </c>
      <c r="D255" s="253" t="s">
        <v>139</v>
      </c>
      <c r="E255" s="253" t="s">
        <v>895</v>
      </c>
      <c r="F255" s="253" t="s">
        <v>42</v>
      </c>
      <c r="G255" s="251" t="s">
        <v>873</v>
      </c>
      <c r="H255" s="251" t="s">
        <v>5</v>
      </c>
    </row>
    <row r="256" spans="1:8" x14ac:dyDescent="0.3">
      <c r="A256" s="253" t="s">
        <v>152</v>
      </c>
      <c r="B256" s="253" t="s">
        <v>153</v>
      </c>
      <c r="C256" s="253" t="s">
        <v>8</v>
      </c>
      <c r="D256" s="253" t="s">
        <v>139</v>
      </c>
      <c r="E256" s="253" t="s">
        <v>895</v>
      </c>
      <c r="F256" s="253" t="s">
        <v>42</v>
      </c>
      <c r="G256" s="251" t="s">
        <v>875</v>
      </c>
      <c r="H256" s="251" t="s">
        <v>5</v>
      </c>
    </row>
    <row r="257" spans="1:8" x14ac:dyDescent="0.3">
      <c r="A257" s="253" t="s">
        <v>152</v>
      </c>
      <c r="B257" s="253" t="s">
        <v>153</v>
      </c>
      <c r="C257" s="253" t="s">
        <v>8</v>
      </c>
      <c r="D257" s="253" t="s">
        <v>139</v>
      </c>
      <c r="E257" s="253" t="s">
        <v>895</v>
      </c>
      <c r="F257" s="253" t="s">
        <v>42</v>
      </c>
      <c r="G257" s="251" t="s">
        <v>863</v>
      </c>
      <c r="H257" s="251" t="s">
        <v>6</v>
      </c>
    </row>
    <row r="258" spans="1:8" x14ac:dyDescent="0.3">
      <c r="A258" s="253" t="s">
        <v>311</v>
      </c>
      <c r="B258" s="253" t="s">
        <v>312</v>
      </c>
      <c r="C258" s="253" t="s">
        <v>8</v>
      </c>
      <c r="D258" s="253" t="s">
        <v>304</v>
      </c>
      <c r="E258" s="253" t="s">
        <v>895</v>
      </c>
      <c r="F258" s="253" t="s">
        <v>42</v>
      </c>
      <c r="G258" s="251" t="s">
        <v>875</v>
      </c>
      <c r="H258" s="251" t="s">
        <v>8</v>
      </c>
    </row>
    <row r="259" spans="1:8" x14ac:dyDescent="0.3">
      <c r="A259" s="253" t="s">
        <v>311</v>
      </c>
      <c r="B259" s="253" t="s">
        <v>312</v>
      </c>
      <c r="C259" s="253" t="s">
        <v>8</v>
      </c>
      <c r="D259" s="253" t="s">
        <v>304</v>
      </c>
      <c r="E259" s="253" t="s">
        <v>895</v>
      </c>
      <c r="F259" s="253" t="s">
        <v>42</v>
      </c>
      <c r="G259" s="251" t="s">
        <v>876</v>
      </c>
      <c r="H259" s="251" t="s">
        <v>8</v>
      </c>
    </row>
    <row r="260" spans="1:8" x14ac:dyDescent="0.3">
      <c r="A260" s="253" t="s">
        <v>311</v>
      </c>
      <c r="B260" s="253" t="s">
        <v>312</v>
      </c>
      <c r="C260" s="253" t="s">
        <v>8</v>
      </c>
      <c r="D260" s="253" t="s">
        <v>304</v>
      </c>
      <c r="E260" s="253" t="s">
        <v>895</v>
      </c>
      <c r="F260" s="253" t="s">
        <v>42</v>
      </c>
      <c r="G260" s="251" t="s">
        <v>877</v>
      </c>
      <c r="H260" s="251" t="s">
        <v>8</v>
      </c>
    </row>
    <row r="261" spans="1:8" x14ac:dyDescent="0.3">
      <c r="A261" s="253" t="s">
        <v>311</v>
      </c>
      <c r="B261" s="253" t="s">
        <v>312</v>
      </c>
      <c r="C261" s="253" t="s">
        <v>8</v>
      </c>
      <c r="D261" s="253" t="s">
        <v>304</v>
      </c>
      <c r="E261" s="253" t="s">
        <v>895</v>
      </c>
      <c r="F261" s="253" t="s">
        <v>42</v>
      </c>
      <c r="G261" s="251" t="s">
        <v>863</v>
      </c>
      <c r="H261" s="251" t="s">
        <v>6</v>
      </c>
    </row>
    <row r="262" spans="1:8" x14ac:dyDescent="0.3">
      <c r="A262" s="253" t="s">
        <v>56</v>
      </c>
      <c r="B262" s="253" t="s">
        <v>57</v>
      </c>
      <c r="C262" s="253" t="s">
        <v>8</v>
      </c>
      <c r="D262" s="253" t="s">
        <v>45</v>
      </c>
      <c r="E262" s="253" t="s">
        <v>41</v>
      </c>
      <c r="F262" s="253" t="s">
        <v>42</v>
      </c>
      <c r="G262" s="251" t="s">
        <v>864</v>
      </c>
      <c r="H262" s="251" t="s">
        <v>5</v>
      </c>
    </row>
    <row r="263" spans="1:8" x14ac:dyDescent="0.3">
      <c r="A263" s="253" t="s">
        <v>56</v>
      </c>
      <c r="B263" s="253" t="s">
        <v>57</v>
      </c>
      <c r="C263" s="253" t="s">
        <v>8</v>
      </c>
      <c r="D263" s="253" t="s">
        <v>45</v>
      </c>
      <c r="E263" s="253" t="s">
        <v>41</v>
      </c>
      <c r="F263" s="253" t="s">
        <v>42</v>
      </c>
      <c r="G263" s="251" t="s">
        <v>865</v>
      </c>
      <c r="H263" s="251" t="s">
        <v>5</v>
      </c>
    </row>
    <row r="264" spans="1:8" x14ac:dyDescent="0.3">
      <c r="A264" s="253" t="s">
        <v>56</v>
      </c>
      <c r="B264" s="253" t="s">
        <v>57</v>
      </c>
      <c r="C264" s="253" t="s">
        <v>8</v>
      </c>
      <c r="D264" s="253" t="s">
        <v>45</v>
      </c>
      <c r="E264" s="253" t="s">
        <v>41</v>
      </c>
      <c r="F264" s="253" t="s">
        <v>42</v>
      </c>
      <c r="G264" s="251" t="s">
        <v>867</v>
      </c>
      <c r="H264" s="251" t="s">
        <v>5</v>
      </c>
    </row>
    <row r="265" spans="1:8" x14ac:dyDescent="0.3">
      <c r="A265" s="253" t="s">
        <v>56</v>
      </c>
      <c r="B265" s="253" t="s">
        <v>57</v>
      </c>
      <c r="C265" s="253" t="s">
        <v>8</v>
      </c>
      <c r="D265" s="253" t="s">
        <v>45</v>
      </c>
      <c r="E265" s="253" t="s">
        <v>41</v>
      </c>
      <c r="F265" s="253" t="s">
        <v>42</v>
      </c>
      <c r="G265" s="251" t="s">
        <v>863</v>
      </c>
      <c r="H265" s="251" t="s">
        <v>8</v>
      </c>
    </row>
    <row r="266" spans="1:8" x14ac:dyDescent="0.3">
      <c r="A266" s="253" t="s">
        <v>977</v>
      </c>
      <c r="B266" s="253" t="s">
        <v>336</v>
      </c>
      <c r="C266" s="253" t="s">
        <v>8</v>
      </c>
      <c r="D266" s="253" t="s">
        <v>978</v>
      </c>
      <c r="E266" s="253" t="s">
        <v>896</v>
      </c>
      <c r="F266" s="253" t="s">
        <v>42</v>
      </c>
      <c r="G266" s="251" t="s">
        <v>868</v>
      </c>
      <c r="H266" s="251" t="s">
        <v>6</v>
      </c>
    </row>
    <row r="267" spans="1:8" x14ac:dyDescent="0.3">
      <c r="A267" s="253" t="s">
        <v>977</v>
      </c>
      <c r="B267" s="253" t="s">
        <v>336</v>
      </c>
      <c r="C267" s="253" t="s">
        <v>8</v>
      </c>
      <c r="D267" s="253" t="s">
        <v>978</v>
      </c>
      <c r="E267" s="253" t="s">
        <v>896</v>
      </c>
      <c r="F267" s="253" t="s">
        <v>42</v>
      </c>
      <c r="G267" s="251" t="s">
        <v>873</v>
      </c>
      <c r="H267" s="251" t="s">
        <v>4</v>
      </c>
    </row>
    <row r="268" spans="1:8" x14ac:dyDescent="0.3">
      <c r="A268" s="253" t="s">
        <v>977</v>
      </c>
      <c r="B268" s="253" t="s">
        <v>336</v>
      </c>
      <c r="C268" s="253" t="s">
        <v>8</v>
      </c>
      <c r="D268" s="253" t="s">
        <v>978</v>
      </c>
      <c r="E268" s="253" t="s">
        <v>896</v>
      </c>
      <c r="F268" s="253" t="s">
        <v>42</v>
      </c>
      <c r="G268" s="251" t="s">
        <v>874</v>
      </c>
      <c r="H268" s="251" t="s">
        <v>4</v>
      </c>
    </row>
    <row r="269" spans="1:8" x14ac:dyDescent="0.3">
      <c r="A269" s="253" t="s">
        <v>977</v>
      </c>
      <c r="B269" s="253" t="s">
        <v>336</v>
      </c>
      <c r="C269" s="253" t="s">
        <v>8</v>
      </c>
      <c r="D269" s="253" t="s">
        <v>978</v>
      </c>
      <c r="E269" s="253" t="s">
        <v>896</v>
      </c>
      <c r="F269" s="253" t="s">
        <v>42</v>
      </c>
      <c r="G269" s="251" t="s">
        <v>863</v>
      </c>
      <c r="H269" s="251" t="s">
        <v>6</v>
      </c>
    </row>
    <row r="270" spans="1:8" x14ac:dyDescent="0.3">
      <c r="A270" s="253" t="s">
        <v>58</v>
      </c>
      <c r="B270" s="253" t="s">
        <v>59</v>
      </c>
      <c r="C270" s="253" t="s">
        <v>8</v>
      </c>
      <c r="D270" s="253" t="s">
        <v>45</v>
      </c>
      <c r="E270" s="253" t="s">
        <v>41</v>
      </c>
      <c r="F270" s="253" t="s">
        <v>42</v>
      </c>
      <c r="G270" s="251" t="s">
        <v>864</v>
      </c>
      <c r="H270" s="251" t="s">
        <v>4</v>
      </c>
    </row>
    <row r="271" spans="1:8" x14ac:dyDescent="0.3">
      <c r="A271" s="253" t="s">
        <v>58</v>
      </c>
      <c r="B271" s="253" t="s">
        <v>59</v>
      </c>
      <c r="C271" s="253" t="s">
        <v>8</v>
      </c>
      <c r="D271" s="253" t="s">
        <v>45</v>
      </c>
      <c r="E271" s="253" t="s">
        <v>41</v>
      </c>
      <c r="F271" s="253" t="s">
        <v>42</v>
      </c>
      <c r="G271" s="251" t="s">
        <v>865</v>
      </c>
      <c r="H271" s="251" t="s">
        <v>4</v>
      </c>
    </row>
    <row r="272" spans="1:8" x14ac:dyDescent="0.3">
      <c r="A272" s="253" t="s">
        <v>58</v>
      </c>
      <c r="B272" s="253" t="s">
        <v>59</v>
      </c>
      <c r="C272" s="253" t="s">
        <v>8</v>
      </c>
      <c r="D272" s="253" t="s">
        <v>45</v>
      </c>
      <c r="E272" s="253" t="s">
        <v>41</v>
      </c>
      <c r="F272" s="253" t="s">
        <v>42</v>
      </c>
      <c r="G272" s="251" t="s">
        <v>867</v>
      </c>
      <c r="H272" s="251" t="s">
        <v>5</v>
      </c>
    </row>
    <row r="273" spans="1:8" x14ac:dyDescent="0.3">
      <c r="A273" s="253" t="s">
        <v>58</v>
      </c>
      <c r="B273" s="253" t="s">
        <v>59</v>
      </c>
      <c r="C273" s="253" t="s">
        <v>8</v>
      </c>
      <c r="D273" s="253" t="s">
        <v>45</v>
      </c>
      <c r="E273" s="253" t="s">
        <v>41</v>
      </c>
      <c r="F273" s="253" t="s">
        <v>42</v>
      </c>
      <c r="G273" s="251" t="s">
        <v>863</v>
      </c>
      <c r="H273" s="251" t="s">
        <v>5</v>
      </c>
    </row>
    <row r="274" spans="1:8" x14ac:dyDescent="0.3">
      <c r="A274" s="253" t="s">
        <v>112</v>
      </c>
      <c r="B274" s="253" t="s">
        <v>113</v>
      </c>
      <c r="C274" s="253" t="s">
        <v>8</v>
      </c>
      <c r="D274" s="253" t="s">
        <v>40</v>
      </c>
      <c r="E274" s="253" t="s">
        <v>41</v>
      </c>
      <c r="F274" s="253" t="s">
        <v>42</v>
      </c>
      <c r="G274" s="251" t="s">
        <v>864</v>
      </c>
      <c r="H274" s="251" t="s">
        <v>5</v>
      </c>
    </row>
    <row r="275" spans="1:8" x14ac:dyDescent="0.3">
      <c r="A275" s="253" t="s">
        <v>112</v>
      </c>
      <c r="B275" s="253" t="s">
        <v>113</v>
      </c>
      <c r="C275" s="253" t="s">
        <v>8</v>
      </c>
      <c r="D275" s="253" t="s">
        <v>40</v>
      </c>
      <c r="E275" s="253" t="s">
        <v>41</v>
      </c>
      <c r="F275" s="253" t="s">
        <v>42</v>
      </c>
      <c r="G275" s="251" t="s">
        <v>865</v>
      </c>
      <c r="H275" s="251" t="s">
        <v>5</v>
      </c>
    </row>
    <row r="276" spans="1:8" x14ac:dyDescent="0.3">
      <c r="A276" s="253" t="s">
        <v>112</v>
      </c>
      <c r="B276" s="253" t="s">
        <v>113</v>
      </c>
      <c r="C276" s="253" t="s">
        <v>8</v>
      </c>
      <c r="D276" s="253" t="s">
        <v>40</v>
      </c>
      <c r="E276" s="253" t="s">
        <v>41</v>
      </c>
      <c r="F276" s="253" t="s">
        <v>42</v>
      </c>
      <c r="G276" s="251" t="s">
        <v>866</v>
      </c>
      <c r="H276" s="251" t="s">
        <v>2</v>
      </c>
    </row>
    <row r="277" spans="1:8" x14ac:dyDescent="0.3">
      <c r="A277" s="253" t="s">
        <v>112</v>
      </c>
      <c r="B277" s="253" t="s">
        <v>113</v>
      </c>
      <c r="C277" s="253" t="s">
        <v>8</v>
      </c>
      <c r="D277" s="253" t="s">
        <v>40</v>
      </c>
      <c r="E277" s="253" t="s">
        <v>41</v>
      </c>
      <c r="F277" s="253" t="s">
        <v>42</v>
      </c>
      <c r="G277" s="251" t="s">
        <v>863</v>
      </c>
      <c r="H277" s="251" t="s">
        <v>6</v>
      </c>
    </row>
    <row r="278" spans="1:8" x14ac:dyDescent="0.3">
      <c r="A278" s="253" t="s">
        <v>60</v>
      </c>
      <c r="B278" s="253" t="s">
        <v>61</v>
      </c>
      <c r="C278" s="253" t="s">
        <v>8</v>
      </c>
      <c r="D278" s="253" t="s">
        <v>45</v>
      </c>
      <c r="E278" s="253" t="s">
        <v>41</v>
      </c>
      <c r="F278" s="253" t="s">
        <v>42</v>
      </c>
      <c r="G278" s="251" t="s">
        <v>864</v>
      </c>
      <c r="H278" s="251" t="s">
        <v>4</v>
      </c>
    </row>
    <row r="279" spans="1:8" x14ac:dyDescent="0.3">
      <c r="A279" s="253" t="s">
        <v>60</v>
      </c>
      <c r="B279" s="253" t="s">
        <v>61</v>
      </c>
      <c r="C279" s="253" t="s">
        <v>8</v>
      </c>
      <c r="D279" s="253" t="s">
        <v>45</v>
      </c>
      <c r="E279" s="253" t="s">
        <v>41</v>
      </c>
      <c r="F279" s="253" t="s">
        <v>42</v>
      </c>
      <c r="G279" s="251" t="s">
        <v>865</v>
      </c>
      <c r="H279" s="251" t="s">
        <v>4</v>
      </c>
    </row>
    <row r="280" spans="1:8" x14ac:dyDescent="0.3">
      <c r="A280" s="253" t="s">
        <v>60</v>
      </c>
      <c r="B280" s="253" t="s">
        <v>61</v>
      </c>
      <c r="C280" s="253" t="s">
        <v>8</v>
      </c>
      <c r="D280" s="253" t="s">
        <v>45</v>
      </c>
      <c r="E280" s="253" t="s">
        <v>41</v>
      </c>
      <c r="F280" s="253" t="s">
        <v>42</v>
      </c>
      <c r="G280" s="251" t="s">
        <v>867</v>
      </c>
      <c r="H280" s="251" t="s">
        <v>3</v>
      </c>
    </row>
    <row r="281" spans="1:8" x14ac:dyDescent="0.3">
      <c r="A281" s="253" t="s">
        <v>60</v>
      </c>
      <c r="B281" s="253" t="s">
        <v>61</v>
      </c>
      <c r="C281" s="253" t="s">
        <v>8</v>
      </c>
      <c r="D281" s="253" t="s">
        <v>45</v>
      </c>
      <c r="E281" s="253" t="s">
        <v>41</v>
      </c>
      <c r="F281" s="253" t="s">
        <v>42</v>
      </c>
      <c r="G281" s="251" t="s">
        <v>863</v>
      </c>
      <c r="H281" s="251" t="s">
        <v>5</v>
      </c>
    </row>
    <row r="282" spans="1:8" x14ac:dyDescent="0.3">
      <c r="A282" s="253" t="s">
        <v>62</v>
      </c>
      <c r="B282" s="253" t="s">
        <v>63</v>
      </c>
      <c r="C282" s="253" t="s">
        <v>8</v>
      </c>
      <c r="D282" s="253" t="s">
        <v>45</v>
      </c>
      <c r="E282" s="253" t="s">
        <v>41</v>
      </c>
      <c r="F282" s="253" t="s">
        <v>42</v>
      </c>
      <c r="G282" s="251" t="s">
        <v>864</v>
      </c>
      <c r="H282" s="251" t="s">
        <v>4</v>
      </c>
    </row>
    <row r="283" spans="1:8" x14ac:dyDescent="0.3">
      <c r="A283" s="253" t="s">
        <v>62</v>
      </c>
      <c r="B283" s="253" t="s">
        <v>63</v>
      </c>
      <c r="C283" s="253" t="s">
        <v>8</v>
      </c>
      <c r="D283" s="253" t="s">
        <v>45</v>
      </c>
      <c r="E283" s="253" t="s">
        <v>41</v>
      </c>
      <c r="F283" s="253" t="s">
        <v>42</v>
      </c>
      <c r="G283" s="251" t="s">
        <v>865</v>
      </c>
      <c r="H283" s="251" t="s">
        <v>5</v>
      </c>
    </row>
    <row r="284" spans="1:8" x14ac:dyDescent="0.3">
      <c r="A284" s="253" t="s">
        <v>62</v>
      </c>
      <c r="B284" s="253" t="s">
        <v>63</v>
      </c>
      <c r="C284" s="253" t="s">
        <v>8</v>
      </c>
      <c r="D284" s="253" t="s">
        <v>45</v>
      </c>
      <c r="E284" s="253" t="s">
        <v>41</v>
      </c>
      <c r="F284" s="253" t="s">
        <v>42</v>
      </c>
      <c r="G284" s="251" t="s">
        <v>867</v>
      </c>
      <c r="H284" s="251" t="s">
        <v>5</v>
      </c>
    </row>
    <row r="285" spans="1:8" x14ac:dyDescent="0.3">
      <c r="A285" s="253" t="s">
        <v>62</v>
      </c>
      <c r="B285" s="253" t="s">
        <v>63</v>
      </c>
      <c r="C285" s="253" t="s">
        <v>8</v>
      </c>
      <c r="D285" s="253" t="s">
        <v>45</v>
      </c>
      <c r="E285" s="253" t="s">
        <v>41</v>
      </c>
      <c r="F285" s="253" t="s">
        <v>42</v>
      </c>
      <c r="G285" s="251" t="s">
        <v>863</v>
      </c>
      <c r="H285" s="251" t="s">
        <v>8</v>
      </c>
    </row>
    <row r="286" spans="1:8" x14ac:dyDescent="0.3">
      <c r="A286" s="253" t="s">
        <v>258</v>
      </c>
      <c r="B286" s="253" t="s">
        <v>259</v>
      </c>
      <c r="C286" s="253" t="s">
        <v>8</v>
      </c>
      <c r="D286" s="253" t="s">
        <v>240</v>
      </c>
      <c r="E286" s="253" t="s">
        <v>896</v>
      </c>
      <c r="F286" s="253" t="s">
        <v>42</v>
      </c>
      <c r="G286" s="251" t="s">
        <v>868</v>
      </c>
      <c r="H286" s="251" t="s">
        <v>8</v>
      </c>
    </row>
    <row r="287" spans="1:8" x14ac:dyDescent="0.3">
      <c r="A287" s="253" t="s">
        <v>258</v>
      </c>
      <c r="B287" s="253" t="s">
        <v>259</v>
      </c>
      <c r="C287" s="253" t="s">
        <v>8</v>
      </c>
      <c r="D287" s="253" t="s">
        <v>240</v>
      </c>
      <c r="E287" s="253" t="s">
        <v>896</v>
      </c>
      <c r="F287" s="253" t="s">
        <v>42</v>
      </c>
      <c r="G287" s="251" t="s">
        <v>869</v>
      </c>
      <c r="H287" s="251" t="s">
        <v>6</v>
      </c>
    </row>
    <row r="288" spans="1:8" x14ac:dyDescent="0.3">
      <c r="A288" s="253" t="s">
        <v>258</v>
      </c>
      <c r="B288" s="253" t="s">
        <v>259</v>
      </c>
      <c r="C288" s="253" t="s">
        <v>8</v>
      </c>
      <c r="D288" s="253" t="s">
        <v>240</v>
      </c>
      <c r="E288" s="253" t="s">
        <v>896</v>
      </c>
      <c r="F288" s="253" t="s">
        <v>42</v>
      </c>
      <c r="G288" s="251" t="s">
        <v>870</v>
      </c>
      <c r="H288" s="251" t="s">
        <v>5</v>
      </c>
    </row>
    <row r="289" spans="1:8" x14ac:dyDescent="0.3">
      <c r="A289" s="253" t="s">
        <v>258</v>
      </c>
      <c r="B289" s="253" t="s">
        <v>259</v>
      </c>
      <c r="C289" s="253" t="s">
        <v>8</v>
      </c>
      <c r="D289" s="253" t="s">
        <v>240</v>
      </c>
      <c r="E289" s="253" t="s">
        <v>896</v>
      </c>
      <c r="F289" s="253" t="s">
        <v>42</v>
      </c>
      <c r="G289" s="251" t="s">
        <v>863</v>
      </c>
      <c r="H289" s="251" t="s">
        <v>6</v>
      </c>
    </row>
    <row r="290" spans="1:8" x14ac:dyDescent="0.3">
      <c r="A290" s="253" t="s">
        <v>260</v>
      </c>
      <c r="B290" s="253" t="s">
        <v>261</v>
      </c>
      <c r="C290" s="253" t="s">
        <v>8</v>
      </c>
      <c r="D290" s="253" t="s">
        <v>240</v>
      </c>
      <c r="E290" s="253" t="s">
        <v>896</v>
      </c>
      <c r="F290" s="253" t="s">
        <v>42</v>
      </c>
      <c r="G290" s="251" t="s">
        <v>868</v>
      </c>
      <c r="H290" s="251" t="s">
        <v>5</v>
      </c>
    </row>
    <row r="291" spans="1:8" x14ac:dyDescent="0.3">
      <c r="A291" s="253" t="s">
        <v>260</v>
      </c>
      <c r="B291" s="253" t="s">
        <v>261</v>
      </c>
      <c r="C291" s="253" t="s">
        <v>8</v>
      </c>
      <c r="D291" s="253" t="s">
        <v>240</v>
      </c>
      <c r="E291" s="253" t="s">
        <v>896</v>
      </c>
      <c r="F291" s="253" t="s">
        <v>42</v>
      </c>
      <c r="G291" s="251" t="s">
        <v>869</v>
      </c>
      <c r="H291" s="251" t="s">
        <v>5</v>
      </c>
    </row>
    <row r="292" spans="1:8" x14ac:dyDescent="0.3">
      <c r="A292" s="253" t="s">
        <v>260</v>
      </c>
      <c r="B292" s="253" t="s">
        <v>261</v>
      </c>
      <c r="C292" s="253" t="s">
        <v>8</v>
      </c>
      <c r="D292" s="253" t="s">
        <v>240</v>
      </c>
      <c r="E292" s="253" t="s">
        <v>896</v>
      </c>
      <c r="F292" s="253" t="s">
        <v>42</v>
      </c>
      <c r="G292" s="251" t="s">
        <v>870</v>
      </c>
      <c r="H292" s="251" t="s">
        <v>8</v>
      </c>
    </row>
    <row r="293" spans="1:8" x14ac:dyDescent="0.3">
      <c r="A293" s="253" t="s">
        <v>260</v>
      </c>
      <c r="B293" s="253" t="s">
        <v>261</v>
      </c>
      <c r="C293" s="253" t="s">
        <v>8</v>
      </c>
      <c r="D293" s="253" t="s">
        <v>240</v>
      </c>
      <c r="E293" s="253" t="s">
        <v>896</v>
      </c>
      <c r="F293" s="253" t="s">
        <v>42</v>
      </c>
      <c r="G293" s="251" t="s">
        <v>863</v>
      </c>
      <c r="H293" s="251" t="s">
        <v>7</v>
      </c>
    </row>
    <row r="294" spans="1:8" x14ac:dyDescent="0.3">
      <c r="A294" s="253" t="s">
        <v>154</v>
      </c>
      <c r="B294" s="253" t="s">
        <v>155</v>
      </c>
      <c r="C294" s="253" t="s">
        <v>8</v>
      </c>
      <c r="D294" s="253" t="s">
        <v>139</v>
      </c>
      <c r="E294" s="253" t="s">
        <v>895</v>
      </c>
      <c r="F294" s="253" t="s">
        <v>42</v>
      </c>
      <c r="G294" s="251" t="s">
        <v>865</v>
      </c>
      <c r="H294" s="251" t="s">
        <v>3</v>
      </c>
    </row>
    <row r="295" spans="1:8" x14ac:dyDescent="0.3">
      <c r="A295" s="253" t="s">
        <v>154</v>
      </c>
      <c r="B295" s="253" t="s">
        <v>155</v>
      </c>
      <c r="C295" s="253" t="s">
        <v>8</v>
      </c>
      <c r="D295" s="253" t="s">
        <v>139</v>
      </c>
      <c r="E295" s="253" t="s">
        <v>895</v>
      </c>
      <c r="F295" s="253" t="s">
        <v>42</v>
      </c>
      <c r="G295" s="251" t="s">
        <v>873</v>
      </c>
      <c r="H295" s="251" t="s">
        <v>4</v>
      </c>
    </row>
    <row r="296" spans="1:8" x14ac:dyDescent="0.3">
      <c r="A296" s="253" t="s">
        <v>154</v>
      </c>
      <c r="B296" s="253" t="s">
        <v>155</v>
      </c>
      <c r="C296" s="253" t="s">
        <v>8</v>
      </c>
      <c r="D296" s="253" t="s">
        <v>139</v>
      </c>
      <c r="E296" s="253" t="s">
        <v>895</v>
      </c>
      <c r="F296" s="253" t="s">
        <v>42</v>
      </c>
      <c r="G296" s="251" t="s">
        <v>875</v>
      </c>
      <c r="H296" s="251" t="s">
        <v>8</v>
      </c>
    </row>
    <row r="297" spans="1:8" x14ac:dyDescent="0.3">
      <c r="A297" s="253" t="s">
        <v>154</v>
      </c>
      <c r="B297" s="253" t="s">
        <v>155</v>
      </c>
      <c r="C297" s="253" t="s">
        <v>8</v>
      </c>
      <c r="D297" s="253" t="s">
        <v>139</v>
      </c>
      <c r="E297" s="253" t="s">
        <v>895</v>
      </c>
      <c r="F297" s="253" t="s">
        <v>42</v>
      </c>
      <c r="G297" s="251" t="s">
        <v>863</v>
      </c>
      <c r="H297" s="251" t="s">
        <v>5</v>
      </c>
    </row>
    <row r="298" spans="1:8" x14ac:dyDescent="0.3">
      <c r="A298" s="253" t="s">
        <v>262</v>
      </c>
      <c r="B298" s="253" t="s">
        <v>263</v>
      </c>
      <c r="C298" s="253" t="s">
        <v>8</v>
      </c>
      <c r="D298" s="253" t="s">
        <v>240</v>
      </c>
      <c r="E298" s="253" t="s">
        <v>896</v>
      </c>
      <c r="F298" s="253" t="s">
        <v>42</v>
      </c>
      <c r="G298" s="251" t="s">
        <v>868</v>
      </c>
      <c r="H298" s="251" t="s">
        <v>5</v>
      </c>
    </row>
    <row r="299" spans="1:8" x14ac:dyDescent="0.3">
      <c r="A299" s="253" t="s">
        <v>262</v>
      </c>
      <c r="B299" s="253" t="s">
        <v>263</v>
      </c>
      <c r="C299" s="253" t="s">
        <v>8</v>
      </c>
      <c r="D299" s="253" t="s">
        <v>240</v>
      </c>
      <c r="E299" s="253" t="s">
        <v>896</v>
      </c>
      <c r="F299" s="253" t="s">
        <v>42</v>
      </c>
      <c r="G299" s="251" t="s">
        <v>869</v>
      </c>
      <c r="H299" s="251" t="s">
        <v>4</v>
      </c>
    </row>
    <row r="300" spans="1:8" x14ac:dyDescent="0.3">
      <c r="A300" s="253" t="s">
        <v>262</v>
      </c>
      <c r="B300" s="253" t="s">
        <v>263</v>
      </c>
      <c r="C300" s="253" t="s">
        <v>8</v>
      </c>
      <c r="D300" s="253" t="s">
        <v>240</v>
      </c>
      <c r="E300" s="253" t="s">
        <v>896</v>
      </c>
      <c r="F300" s="253" t="s">
        <v>42</v>
      </c>
      <c r="G300" s="251" t="s">
        <v>870</v>
      </c>
      <c r="H300" s="251" t="s">
        <v>4</v>
      </c>
    </row>
    <row r="301" spans="1:8" x14ac:dyDescent="0.3">
      <c r="A301" s="253" t="s">
        <v>262</v>
      </c>
      <c r="B301" s="253" t="s">
        <v>263</v>
      </c>
      <c r="C301" s="253" t="s">
        <v>8</v>
      </c>
      <c r="D301" s="253" t="s">
        <v>240</v>
      </c>
      <c r="E301" s="253" t="s">
        <v>896</v>
      </c>
      <c r="F301" s="253" t="s">
        <v>42</v>
      </c>
      <c r="G301" s="251" t="s">
        <v>863</v>
      </c>
      <c r="H301" s="251" t="s">
        <v>5</v>
      </c>
    </row>
    <row r="302" spans="1:8" x14ac:dyDescent="0.3">
      <c r="A302" s="253" t="s">
        <v>66</v>
      </c>
      <c r="B302" s="253" t="s">
        <v>67</v>
      </c>
      <c r="C302" s="253" t="s">
        <v>8</v>
      </c>
      <c r="D302" s="253" t="s">
        <v>45</v>
      </c>
      <c r="E302" s="253" t="s">
        <v>41</v>
      </c>
      <c r="F302" s="253" t="s">
        <v>42</v>
      </c>
      <c r="G302" s="251" t="s">
        <v>864</v>
      </c>
      <c r="H302" s="251" t="s">
        <v>5</v>
      </c>
    </row>
    <row r="303" spans="1:8" x14ac:dyDescent="0.3">
      <c r="A303" s="253" t="s">
        <v>66</v>
      </c>
      <c r="B303" s="253" t="s">
        <v>67</v>
      </c>
      <c r="C303" s="253" t="s">
        <v>8</v>
      </c>
      <c r="D303" s="253" t="s">
        <v>45</v>
      </c>
      <c r="E303" s="253" t="s">
        <v>41</v>
      </c>
      <c r="F303" s="253" t="s">
        <v>42</v>
      </c>
      <c r="G303" s="251" t="s">
        <v>865</v>
      </c>
      <c r="H303" s="251" t="s">
        <v>4</v>
      </c>
    </row>
    <row r="304" spans="1:8" x14ac:dyDescent="0.3">
      <c r="A304" s="253" t="s">
        <v>66</v>
      </c>
      <c r="B304" s="253" t="s">
        <v>67</v>
      </c>
      <c r="C304" s="253" t="s">
        <v>8</v>
      </c>
      <c r="D304" s="253" t="s">
        <v>45</v>
      </c>
      <c r="E304" s="253" t="s">
        <v>41</v>
      </c>
      <c r="F304" s="253" t="s">
        <v>42</v>
      </c>
      <c r="G304" s="251" t="s">
        <v>867</v>
      </c>
      <c r="H304" s="251" t="s">
        <v>5</v>
      </c>
    </row>
    <row r="305" spans="1:8" x14ac:dyDescent="0.3">
      <c r="A305" s="253" t="s">
        <v>66</v>
      </c>
      <c r="B305" s="253" t="s">
        <v>67</v>
      </c>
      <c r="C305" s="253" t="s">
        <v>8</v>
      </c>
      <c r="D305" s="253" t="s">
        <v>45</v>
      </c>
      <c r="E305" s="253" t="s">
        <v>41</v>
      </c>
      <c r="F305" s="253" t="s">
        <v>42</v>
      </c>
      <c r="G305" s="251" t="s">
        <v>863</v>
      </c>
      <c r="H305" s="251" t="s">
        <v>6</v>
      </c>
    </row>
    <row r="306" spans="1:8" x14ac:dyDescent="0.3">
      <c r="A306" s="253" t="s">
        <v>264</v>
      </c>
      <c r="B306" s="253" t="s">
        <v>265</v>
      </c>
      <c r="C306" s="253" t="s">
        <v>8</v>
      </c>
      <c r="D306" s="253" t="s">
        <v>240</v>
      </c>
      <c r="E306" s="253" t="s">
        <v>896</v>
      </c>
      <c r="F306" s="253" t="s">
        <v>42</v>
      </c>
      <c r="G306" s="251" t="s">
        <v>868</v>
      </c>
      <c r="H306" s="251" t="s">
        <v>6</v>
      </c>
    </row>
    <row r="307" spans="1:8" x14ac:dyDescent="0.3">
      <c r="A307" s="253" t="s">
        <v>264</v>
      </c>
      <c r="B307" s="253" t="s">
        <v>265</v>
      </c>
      <c r="C307" s="253" t="s">
        <v>8</v>
      </c>
      <c r="D307" s="253" t="s">
        <v>240</v>
      </c>
      <c r="E307" s="253" t="s">
        <v>896</v>
      </c>
      <c r="F307" s="253" t="s">
        <v>42</v>
      </c>
      <c r="G307" s="251" t="s">
        <v>869</v>
      </c>
      <c r="H307" s="251" t="s">
        <v>5</v>
      </c>
    </row>
    <row r="308" spans="1:8" x14ac:dyDescent="0.3">
      <c r="A308" s="253" t="s">
        <v>264</v>
      </c>
      <c r="B308" s="253" t="s">
        <v>265</v>
      </c>
      <c r="C308" s="253" t="s">
        <v>8</v>
      </c>
      <c r="D308" s="253" t="s">
        <v>240</v>
      </c>
      <c r="E308" s="253" t="s">
        <v>896</v>
      </c>
      <c r="F308" s="253" t="s">
        <v>42</v>
      </c>
      <c r="G308" s="251" t="s">
        <v>870</v>
      </c>
      <c r="H308" s="251" t="s">
        <v>8</v>
      </c>
    </row>
    <row r="309" spans="1:8" x14ac:dyDescent="0.3">
      <c r="A309" s="253" t="s">
        <v>264</v>
      </c>
      <c r="B309" s="253" t="s">
        <v>265</v>
      </c>
      <c r="C309" s="253" t="s">
        <v>8</v>
      </c>
      <c r="D309" s="253" t="s">
        <v>240</v>
      </c>
      <c r="E309" s="253" t="s">
        <v>896</v>
      </c>
      <c r="F309" s="253" t="s">
        <v>42</v>
      </c>
      <c r="G309" s="251" t="s">
        <v>863</v>
      </c>
      <c r="H309" s="251" t="s">
        <v>6</v>
      </c>
    </row>
    <row r="310" spans="1:8" x14ac:dyDescent="0.3">
      <c r="A310" s="253" t="s">
        <v>156</v>
      </c>
      <c r="B310" s="253" t="s">
        <v>157</v>
      </c>
      <c r="C310" s="253" t="s">
        <v>8</v>
      </c>
      <c r="D310" s="253" t="s">
        <v>139</v>
      </c>
      <c r="E310" s="253" t="s">
        <v>895</v>
      </c>
      <c r="F310" s="253" t="s">
        <v>42</v>
      </c>
      <c r="G310" s="251" t="s">
        <v>865</v>
      </c>
      <c r="H310" s="251" t="s">
        <v>4</v>
      </c>
    </row>
    <row r="311" spans="1:8" x14ac:dyDescent="0.3">
      <c r="A311" s="253" t="s">
        <v>156</v>
      </c>
      <c r="B311" s="253" t="s">
        <v>157</v>
      </c>
      <c r="C311" s="253" t="s">
        <v>8</v>
      </c>
      <c r="D311" s="253" t="s">
        <v>139</v>
      </c>
      <c r="E311" s="253" t="s">
        <v>895</v>
      </c>
      <c r="F311" s="253" t="s">
        <v>42</v>
      </c>
      <c r="G311" s="251" t="s">
        <v>873</v>
      </c>
      <c r="H311" s="251" t="s">
        <v>5</v>
      </c>
    </row>
    <row r="312" spans="1:8" x14ac:dyDescent="0.3">
      <c r="A312" s="253" t="s">
        <v>156</v>
      </c>
      <c r="B312" s="253" t="s">
        <v>157</v>
      </c>
      <c r="C312" s="253" t="s">
        <v>8</v>
      </c>
      <c r="D312" s="253" t="s">
        <v>139</v>
      </c>
      <c r="E312" s="253" t="s">
        <v>895</v>
      </c>
      <c r="F312" s="253" t="s">
        <v>42</v>
      </c>
      <c r="G312" s="251" t="s">
        <v>875</v>
      </c>
      <c r="H312" s="251" t="s">
        <v>8</v>
      </c>
    </row>
    <row r="313" spans="1:8" x14ac:dyDescent="0.3">
      <c r="A313" s="253" t="s">
        <v>156</v>
      </c>
      <c r="B313" s="253" t="s">
        <v>157</v>
      </c>
      <c r="C313" s="253" t="s">
        <v>8</v>
      </c>
      <c r="D313" s="253" t="s">
        <v>139</v>
      </c>
      <c r="E313" s="253" t="s">
        <v>895</v>
      </c>
      <c r="F313" s="253" t="s">
        <v>42</v>
      </c>
      <c r="G313" s="251" t="s">
        <v>863</v>
      </c>
      <c r="H313" s="251" t="s">
        <v>5</v>
      </c>
    </row>
    <row r="314" spans="1:8" x14ac:dyDescent="0.3">
      <c r="A314" s="253" t="s">
        <v>212</v>
      </c>
      <c r="B314" s="253" t="s">
        <v>213</v>
      </c>
      <c r="C314" s="253" t="s">
        <v>8</v>
      </c>
      <c r="D314" s="253" t="s">
        <v>194</v>
      </c>
      <c r="E314" s="253" t="s">
        <v>896</v>
      </c>
      <c r="F314" s="253" t="s">
        <v>42</v>
      </c>
      <c r="G314" s="251" t="s">
        <v>868</v>
      </c>
      <c r="H314" s="251" t="s">
        <v>6</v>
      </c>
    </row>
    <row r="315" spans="1:8" x14ac:dyDescent="0.3">
      <c r="A315" s="253" t="s">
        <v>212</v>
      </c>
      <c r="B315" s="253" t="s">
        <v>213</v>
      </c>
      <c r="C315" s="253" t="s">
        <v>8</v>
      </c>
      <c r="D315" s="253" t="s">
        <v>194</v>
      </c>
      <c r="E315" s="253" t="s">
        <v>896</v>
      </c>
      <c r="F315" s="253" t="s">
        <v>42</v>
      </c>
      <c r="G315" s="251" t="s">
        <v>869</v>
      </c>
      <c r="H315" s="251" t="s">
        <v>4</v>
      </c>
    </row>
    <row r="316" spans="1:8" x14ac:dyDescent="0.3">
      <c r="A316" s="253" t="s">
        <v>212</v>
      </c>
      <c r="B316" s="253" t="s">
        <v>213</v>
      </c>
      <c r="C316" s="253" t="s">
        <v>8</v>
      </c>
      <c r="D316" s="253" t="s">
        <v>194</v>
      </c>
      <c r="E316" s="253" t="s">
        <v>896</v>
      </c>
      <c r="F316" s="253" t="s">
        <v>42</v>
      </c>
      <c r="G316" s="251" t="s">
        <v>873</v>
      </c>
      <c r="H316" s="251" t="s">
        <v>6</v>
      </c>
    </row>
    <row r="317" spans="1:8" x14ac:dyDescent="0.3">
      <c r="A317" s="253" t="s">
        <v>212</v>
      </c>
      <c r="B317" s="253" t="s">
        <v>213</v>
      </c>
      <c r="C317" s="253" t="s">
        <v>8</v>
      </c>
      <c r="D317" s="253" t="s">
        <v>194</v>
      </c>
      <c r="E317" s="253" t="s">
        <v>896</v>
      </c>
      <c r="F317" s="253" t="s">
        <v>42</v>
      </c>
      <c r="G317" s="251" t="s">
        <v>863</v>
      </c>
      <c r="H317" s="251" t="s">
        <v>7</v>
      </c>
    </row>
    <row r="318" spans="1:8" x14ac:dyDescent="0.3">
      <c r="A318" s="253" t="s">
        <v>68</v>
      </c>
      <c r="B318" s="253" t="s">
        <v>69</v>
      </c>
      <c r="C318" s="253" t="s">
        <v>8</v>
      </c>
      <c r="D318" s="253" t="s">
        <v>45</v>
      </c>
      <c r="E318" s="253" t="s">
        <v>41</v>
      </c>
      <c r="F318" s="253" t="s">
        <v>42</v>
      </c>
      <c r="G318" s="251" t="s">
        <v>864</v>
      </c>
      <c r="H318" s="251" t="s">
        <v>5</v>
      </c>
    </row>
    <row r="319" spans="1:8" x14ac:dyDescent="0.3">
      <c r="A319" s="253" t="s">
        <v>68</v>
      </c>
      <c r="B319" s="253" t="s">
        <v>69</v>
      </c>
      <c r="C319" s="253" t="s">
        <v>8</v>
      </c>
      <c r="D319" s="253" t="s">
        <v>45</v>
      </c>
      <c r="E319" s="253" t="s">
        <v>41</v>
      </c>
      <c r="F319" s="253" t="s">
        <v>42</v>
      </c>
      <c r="G319" s="251" t="s">
        <v>865</v>
      </c>
      <c r="H319" s="251" t="s">
        <v>4</v>
      </c>
    </row>
    <row r="320" spans="1:8" x14ac:dyDescent="0.3">
      <c r="A320" s="253" t="s">
        <v>68</v>
      </c>
      <c r="B320" s="253" t="s">
        <v>69</v>
      </c>
      <c r="C320" s="253" t="s">
        <v>8</v>
      </c>
      <c r="D320" s="253" t="s">
        <v>45</v>
      </c>
      <c r="E320" s="253" t="s">
        <v>41</v>
      </c>
      <c r="F320" s="253" t="s">
        <v>42</v>
      </c>
      <c r="G320" s="251" t="s">
        <v>867</v>
      </c>
      <c r="H320" s="251" t="s">
        <v>3</v>
      </c>
    </row>
    <row r="321" spans="1:8" x14ac:dyDescent="0.3">
      <c r="A321" s="253" t="s">
        <v>68</v>
      </c>
      <c r="B321" s="253" t="s">
        <v>69</v>
      </c>
      <c r="C321" s="253" t="s">
        <v>8</v>
      </c>
      <c r="D321" s="253" t="s">
        <v>45</v>
      </c>
      <c r="E321" s="253" t="s">
        <v>41</v>
      </c>
      <c r="F321" s="253" t="s">
        <v>42</v>
      </c>
      <c r="G321" s="251" t="s">
        <v>863</v>
      </c>
      <c r="H321" s="251" t="s">
        <v>5</v>
      </c>
    </row>
    <row r="322" spans="1:8" x14ac:dyDescent="0.3">
      <c r="A322" s="253" t="s">
        <v>70</v>
      </c>
      <c r="B322" s="253" t="s">
        <v>71</v>
      </c>
      <c r="C322" s="253" t="s">
        <v>8</v>
      </c>
      <c r="D322" s="253" t="s">
        <v>45</v>
      </c>
      <c r="E322" s="253" t="s">
        <v>41</v>
      </c>
      <c r="F322" s="253" t="s">
        <v>42</v>
      </c>
      <c r="G322" s="251" t="s">
        <v>864</v>
      </c>
      <c r="H322" s="251" t="s">
        <v>5</v>
      </c>
    </row>
    <row r="323" spans="1:8" x14ac:dyDescent="0.3">
      <c r="A323" s="253" t="s">
        <v>70</v>
      </c>
      <c r="B323" s="253" t="s">
        <v>71</v>
      </c>
      <c r="C323" s="253" t="s">
        <v>8</v>
      </c>
      <c r="D323" s="253" t="s">
        <v>45</v>
      </c>
      <c r="E323" s="253" t="s">
        <v>41</v>
      </c>
      <c r="F323" s="253" t="s">
        <v>42</v>
      </c>
      <c r="G323" s="251" t="s">
        <v>865</v>
      </c>
      <c r="H323" s="251" t="s">
        <v>5</v>
      </c>
    </row>
    <row r="324" spans="1:8" x14ac:dyDescent="0.3">
      <c r="A324" s="253" t="s">
        <v>70</v>
      </c>
      <c r="B324" s="253" t="s">
        <v>71</v>
      </c>
      <c r="C324" s="253" t="s">
        <v>8</v>
      </c>
      <c r="D324" s="253" t="s">
        <v>45</v>
      </c>
      <c r="E324" s="253" t="s">
        <v>41</v>
      </c>
      <c r="F324" s="253" t="s">
        <v>42</v>
      </c>
      <c r="G324" s="251" t="s">
        <v>867</v>
      </c>
      <c r="H324" s="251" t="s">
        <v>3</v>
      </c>
    </row>
    <row r="325" spans="1:8" x14ac:dyDescent="0.3">
      <c r="A325" s="253" t="s">
        <v>70</v>
      </c>
      <c r="B325" s="253" t="s">
        <v>71</v>
      </c>
      <c r="C325" s="253" t="s">
        <v>8</v>
      </c>
      <c r="D325" s="253" t="s">
        <v>45</v>
      </c>
      <c r="E325" s="253" t="s">
        <v>41</v>
      </c>
      <c r="F325" s="253" t="s">
        <v>42</v>
      </c>
      <c r="G325" s="251" t="s">
        <v>863</v>
      </c>
      <c r="H325" s="251" t="s">
        <v>6</v>
      </c>
    </row>
    <row r="326" spans="1:8" x14ac:dyDescent="0.3">
      <c r="A326" s="253" t="s">
        <v>121</v>
      </c>
      <c r="B326" s="253" t="s">
        <v>122</v>
      </c>
      <c r="C326" s="253" t="s">
        <v>8</v>
      </c>
      <c r="D326" s="253" t="s">
        <v>40</v>
      </c>
      <c r="E326" s="253" t="s">
        <v>41</v>
      </c>
      <c r="F326" s="253" t="s">
        <v>42</v>
      </c>
      <c r="G326" s="251" t="s">
        <v>864</v>
      </c>
      <c r="H326" s="251" t="s">
        <v>5</v>
      </c>
    </row>
    <row r="327" spans="1:8" x14ac:dyDescent="0.3">
      <c r="A327" s="253" t="s">
        <v>121</v>
      </c>
      <c r="B327" s="253" t="s">
        <v>122</v>
      </c>
      <c r="C327" s="253" t="s">
        <v>8</v>
      </c>
      <c r="D327" s="253" t="s">
        <v>40</v>
      </c>
      <c r="E327" s="253" t="s">
        <v>41</v>
      </c>
      <c r="F327" s="253" t="s">
        <v>42</v>
      </c>
      <c r="G327" s="251" t="s">
        <v>865</v>
      </c>
      <c r="H327" s="251" t="s">
        <v>4</v>
      </c>
    </row>
    <row r="328" spans="1:8" x14ac:dyDescent="0.3">
      <c r="A328" s="253" t="s">
        <v>121</v>
      </c>
      <c r="B328" s="253" t="s">
        <v>122</v>
      </c>
      <c r="C328" s="253" t="s">
        <v>8</v>
      </c>
      <c r="D328" s="253" t="s">
        <v>40</v>
      </c>
      <c r="E328" s="253" t="s">
        <v>41</v>
      </c>
      <c r="F328" s="253" t="s">
        <v>42</v>
      </c>
      <c r="G328" s="251" t="s">
        <v>866</v>
      </c>
      <c r="H328" s="251" t="s">
        <v>2</v>
      </c>
    </row>
    <row r="329" spans="1:8" x14ac:dyDescent="0.3">
      <c r="A329" s="253" t="s">
        <v>121</v>
      </c>
      <c r="B329" s="253" t="s">
        <v>122</v>
      </c>
      <c r="C329" s="253" t="s">
        <v>8</v>
      </c>
      <c r="D329" s="253" t="s">
        <v>40</v>
      </c>
      <c r="E329" s="253" t="s">
        <v>41</v>
      </c>
      <c r="F329" s="253" t="s">
        <v>42</v>
      </c>
      <c r="G329" s="251" t="s">
        <v>863</v>
      </c>
      <c r="H329" s="251" t="s">
        <v>6</v>
      </c>
    </row>
    <row r="330" spans="1:8" x14ac:dyDescent="0.3">
      <c r="A330" s="253" t="s">
        <v>72</v>
      </c>
      <c r="B330" s="253" t="s">
        <v>73</v>
      </c>
      <c r="C330" s="253" t="s">
        <v>8</v>
      </c>
      <c r="D330" s="253" t="s">
        <v>45</v>
      </c>
      <c r="E330" s="253" t="s">
        <v>41</v>
      </c>
      <c r="F330" s="253" t="s">
        <v>42</v>
      </c>
      <c r="G330" s="251" t="s">
        <v>864</v>
      </c>
      <c r="H330" s="251" t="s">
        <v>5</v>
      </c>
    </row>
    <row r="331" spans="1:8" x14ac:dyDescent="0.3">
      <c r="A331" s="253" t="s">
        <v>72</v>
      </c>
      <c r="B331" s="253" t="s">
        <v>73</v>
      </c>
      <c r="C331" s="253" t="s">
        <v>8</v>
      </c>
      <c r="D331" s="253" t="s">
        <v>45</v>
      </c>
      <c r="E331" s="253" t="s">
        <v>41</v>
      </c>
      <c r="F331" s="253" t="s">
        <v>42</v>
      </c>
      <c r="G331" s="251" t="s">
        <v>865</v>
      </c>
      <c r="H331" s="251" t="s">
        <v>4</v>
      </c>
    </row>
    <row r="332" spans="1:8" x14ac:dyDescent="0.3">
      <c r="A332" s="253" t="s">
        <v>72</v>
      </c>
      <c r="B332" s="253" t="s">
        <v>73</v>
      </c>
      <c r="C332" s="253" t="s">
        <v>8</v>
      </c>
      <c r="D332" s="253" t="s">
        <v>45</v>
      </c>
      <c r="E332" s="253" t="s">
        <v>41</v>
      </c>
      <c r="F332" s="253" t="s">
        <v>42</v>
      </c>
      <c r="G332" s="251" t="s">
        <v>867</v>
      </c>
      <c r="H332" s="251" t="s">
        <v>4</v>
      </c>
    </row>
    <row r="333" spans="1:8" x14ac:dyDescent="0.3">
      <c r="A333" s="253" t="s">
        <v>72</v>
      </c>
      <c r="B333" s="253" t="s">
        <v>73</v>
      </c>
      <c r="C333" s="253" t="s">
        <v>8</v>
      </c>
      <c r="D333" s="253" t="s">
        <v>45</v>
      </c>
      <c r="E333" s="253" t="s">
        <v>41</v>
      </c>
      <c r="F333" s="253" t="s">
        <v>42</v>
      </c>
      <c r="G333" s="251" t="s">
        <v>863</v>
      </c>
      <c r="H333" s="251" t="s">
        <v>8</v>
      </c>
    </row>
    <row r="334" spans="1:8" x14ac:dyDescent="0.3">
      <c r="A334" s="253" t="s">
        <v>74</v>
      </c>
      <c r="B334" s="253" t="s">
        <v>75</v>
      </c>
      <c r="C334" s="253" t="s">
        <v>8</v>
      </c>
      <c r="D334" s="253" t="s">
        <v>45</v>
      </c>
      <c r="E334" s="253" t="s">
        <v>41</v>
      </c>
      <c r="F334" s="253" t="s">
        <v>42</v>
      </c>
      <c r="G334" s="251" t="s">
        <v>864</v>
      </c>
      <c r="H334" s="251" t="s">
        <v>5</v>
      </c>
    </row>
    <row r="335" spans="1:8" x14ac:dyDescent="0.3">
      <c r="A335" s="253" t="s">
        <v>74</v>
      </c>
      <c r="B335" s="253" t="s">
        <v>75</v>
      </c>
      <c r="C335" s="253" t="s">
        <v>8</v>
      </c>
      <c r="D335" s="253" t="s">
        <v>45</v>
      </c>
      <c r="E335" s="253" t="s">
        <v>41</v>
      </c>
      <c r="F335" s="253" t="s">
        <v>42</v>
      </c>
      <c r="G335" s="251" t="s">
        <v>865</v>
      </c>
      <c r="H335" s="251" t="s">
        <v>6</v>
      </c>
    </row>
    <row r="336" spans="1:8" x14ac:dyDescent="0.3">
      <c r="A336" s="253" t="s">
        <v>74</v>
      </c>
      <c r="B336" s="253" t="s">
        <v>75</v>
      </c>
      <c r="C336" s="253" t="s">
        <v>8</v>
      </c>
      <c r="D336" s="253" t="s">
        <v>45</v>
      </c>
      <c r="E336" s="253" t="s">
        <v>41</v>
      </c>
      <c r="F336" s="253" t="s">
        <v>42</v>
      </c>
      <c r="G336" s="251" t="s">
        <v>867</v>
      </c>
      <c r="H336" s="251" t="s">
        <v>5</v>
      </c>
    </row>
    <row r="337" spans="1:8" x14ac:dyDescent="0.3">
      <c r="A337" s="253" t="s">
        <v>74</v>
      </c>
      <c r="B337" s="253" t="s">
        <v>75</v>
      </c>
      <c r="C337" s="253" t="s">
        <v>8</v>
      </c>
      <c r="D337" s="253" t="s">
        <v>45</v>
      </c>
      <c r="E337" s="253" t="s">
        <v>41</v>
      </c>
      <c r="F337" s="253" t="s">
        <v>42</v>
      </c>
      <c r="G337" s="251" t="s">
        <v>863</v>
      </c>
      <c r="H337" s="251" t="s">
        <v>6</v>
      </c>
    </row>
    <row r="338" spans="1:8" x14ac:dyDescent="0.3">
      <c r="A338" s="253" t="s">
        <v>268</v>
      </c>
      <c r="B338" s="253" t="s">
        <v>269</v>
      </c>
      <c r="C338" s="253" t="s">
        <v>8</v>
      </c>
      <c r="D338" s="253" t="s">
        <v>240</v>
      </c>
      <c r="E338" s="253" t="s">
        <v>896</v>
      </c>
      <c r="F338" s="253" t="s">
        <v>42</v>
      </c>
      <c r="G338" s="251" t="s">
        <v>868</v>
      </c>
      <c r="H338" s="251" t="s">
        <v>6</v>
      </c>
    </row>
    <row r="339" spans="1:8" x14ac:dyDescent="0.3">
      <c r="A339" s="253" t="s">
        <v>268</v>
      </c>
      <c r="B339" s="253" t="s">
        <v>269</v>
      </c>
      <c r="C339" s="253" t="s">
        <v>8</v>
      </c>
      <c r="D339" s="253" t="s">
        <v>240</v>
      </c>
      <c r="E339" s="253" t="s">
        <v>896</v>
      </c>
      <c r="F339" s="253" t="s">
        <v>42</v>
      </c>
      <c r="G339" s="251" t="s">
        <v>869</v>
      </c>
      <c r="H339" s="251" t="s">
        <v>5</v>
      </c>
    </row>
    <row r="340" spans="1:8" x14ac:dyDescent="0.3">
      <c r="A340" s="253" t="s">
        <v>268</v>
      </c>
      <c r="B340" s="253" t="s">
        <v>269</v>
      </c>
      <c r="C340" s="253" t="s">
        <v>8</v>
      </c>
      <c r="D340" s="253" t="s">
        <v>240</v>
      </c>
      <c r="E340" s="253" t="s">
        <v>896</v>
      </c>
      <c r="F340" s="253" t="s">
        <v>42</v>
      </c>
      <c r="G340" s="251" t="s">
        <v>870</v>
      </c>
      <c r="H340" s="251" t="s">
        <v>8</v>
      </c>
    </row>
    <row r="341" spans="1:8" x14ac:dyDescent="0.3">
      <c r="A341" s="253" t="s">
        <v>268</v>
      </c>
      <c r="B341" s="253" t="s">
        <v>269</v>
      </c>
      <c r="C341" s="253" t="s">
        <v>8</v>
      </c>
      <c r="D341" s="253" t="s">
        <v>240</v>
      </c>
      <c r="E341" s="253" t="s">
        <v>896</v>
      </c>
      <c r="F341" s="253" t="s">
        <v>42</v>
      </c>
      <c r="G341" s="251" t="s">
        <v>863</v>
      </c>
      <c r="H341" s="251" t="s">
        <v>6</v>
      </c>
    </row>
    <row r="342" spans="1:8" x14ac:dyDescent="0.3">
      <c r="A342" s="253" t="s">
        <v>270</v>
      </c>
      <c r="B342" s="253" t="s">
        <v>271</v>
      </c>
      <c r="C342" s="253" t="s">
        <v>8</v>
      </c>
      <c r="D342" s="253" t="s">
        <v>240</v>
      </c>
      <c r="E342" s="253" t="s">
        <v>896</v>
      </c>
      <c r="F342" s="253" t="s">
        <v>42</v>
      </c>
      <c r="G342" s="251" t="s">
        <v>868</v>
      </c>
      <c r="H342" s="251" t="s">
        <v>5</v>
      </c>
    </row>
    <row r="343" spans="1:8" x14ac:dyDescent="0.3">
      <c r="A343" s="253" t="s">
        <v>270</v>
      </c>
      <c r="B343" s="253" t="s">
        <v>271</v>
      </c>
      <c r="C343" s="253" t="s">
        <v>8</v>
      </c>
      <c r="D343" s="253" t="s">
        <v>240</v>
      </c>
      <c r="E343" s="253" t="s">
        <v>896</v>
      </c>
      <c r="F343" s="253" t="s">
        <v>42</v>
      </c>
      <c r="G343" s="251" t="s">
        <v>869</v>
      </c>
      <c r="H343" s="251" t="s">
        <v>5</v>
      </c>
    </row>
    <row r="344" spans="1:8" x14ac:dyDescent="0.3">
      <c r="A344" s="253" t="s">
        <v>270</v>
      </c>
      <c r="B344" s="253" t="s">
        <v>271</v>
      </c>
      <c r="C344" s="253" t="s">
        <v>8</v>
      </c>
      <c r="D344" s="253" t="s">
        <v>240</v>
      </c>
      <c r="E344" s="253" t="s">
        <v>896</v>
      </c>
      <c r="F344" s="253" t="s">
        <v>42</v>
      </c>
      <c r="G344" s="251" t="s">
        <v>870</v>
      </c>
      <c r="H344" s="251" t="s">
        <v>8</v>
      </c>
    </row>
    <row r="345" spans="1:8" x14ac:dyDescent="0.3">
      <c r="A345" s="253" t="s">
        <v>270</v>
      </c>
      <c r="B345" s="253" t="s">
        <v>271</v>
      </c>
      <c r="C345" s="253" t="s">
        <v>8</v>
      </c>
      <c r="D345" s="253" t="s">
        <v>240</v>
      </c>
      <c r="E345" s="253" t="s">
        <v>896</v>
      </c>
      <c r="F345" s="253" t="s">
        <v>42</v>
      </c>
      <c r="G345" s="251" t="s">
        <v>863</v>
      </c>
      <c r="H345" s="251" t="s">
        <v>5</v>
      </c>
    </row>
    <row r="346" spans="1:8" x14ac:dyDescent="0.3">
      <c r="A346" s="253" t="s">
        <v>76</v>
      </c>
      <c r="B346" s="253" t="s">
        <v>77</v>
      </c>
      <c r="C346" s="253" t="s">
        <v>8</v>
      </c>
      <c r="D346" s="253" t="s">
        <v>45</v>
      </c>
      <c r="E346" s="253" t="s">
        <v>41</v>
      </c>
      <c r="F346" s="253" t="s">
        <v>42</v>
      </c>
      <c r="G346" s="251" t="s">
        <v>864</v>
      </c>
      <c r="H346" s="251" t="s">
        <v>5</v>
      </c>
    </row>
    <row r="347" spans="1:8" x14ac:dyDescent="0.3">
      <c r="A347" s="253" t="s">
        <v>76</v>
      </c>
      <c r="B347" s="253" t="s">
        <v>77</v>
      </c>
      <c r="C347" s="253" t="s">
        <v>8</v>
      </c>
      <c r="D347" s="253" t="s">
        <v>45</v>
      </c>
      <c r="E347" s="253" t="s">
        <v>41</v>
      </c>
      <c r="F347" s="253" t="s">
        <v>42</v>
      </c>
      <c r="G347" s="251" t="s">
        <v>865</v>
      </c>
      <c r="H347" s="251" t="s">
        <v>5</v>
      </c>
    </row>
    <row r="348" spans="1:8" x14ac:dyDescent="0.3">
      <c r="A348" s="253" t="s">
        <v>76</v>
      </c>
      <c r="B348" s="253" t="s">
        <v>77</v>
      </c>
      <c r="C348" s="253" t="s">
        <v>8</v>
      </c>
      <c r="D348" s="253" t="s">
        <v>45</v>
      </c>
      <c r="E348" s="253" t="s">
        <v>41</v>
      </c>
      <c r="F348" s="253" t="s">
        <v>42</v>
      </c>
      <c r="G348" s="251" t="s">
        <v>867</v>
      </c>
      <c r="H348" s="251" t="s">
        <v>5</v>
      </c>
    </row>
    <row r="349" spans="1:8" x14ac:dyDescent="0.3">
      <c r="A349" s="253" t="s">
        <v>76</v>
      </c>
      <c r="B349" s="253" t="s">
        <v>77</v>
      </c>
      <c r="C349" s="253" t="s">
        <v>8</v>
      </c>
      <c r="D349" s="253" t="s">
        <v>45</v>
      </c>
      <c r="E349" s="253" t="s">
        <v>41</v>
      </c>
      <c r="F349" s="253" t="s">
        <v>42</v>
      </c>
      <c r="G349" s="251" t="s">
        <v>863</v>
      </c>
      <c r="H349" s="251" t="s">
        <v>6</v>
      </c>
    </row>
    <row r="350" spans="1:8" x14ac:dyDescent="0.3">
      <c r="A350" s="253" t="s">
        <v>158</v>
      </c>
      <c r="B350" s="253" t="s">
        <v>159</v>
      </c>
      <c r="C350" s="253" t="s">
        <v>8</v>
      </c>
      <c r="D350" s="253" t="s">
        <v>139</v>
      </c>
      <c r="E350" s="253" t="s">
        <v>895</v>
      </c>
      <c r="F350" s="253" t="s">
        <v>42</v>
      </c>
      <c r="G350" s="251" t="s">
        <v>865</v>
      </c>
      <c r="H350" s="251" t="s">
        <v>4</v>
      </c>
    </row>
    <row r="351" spans="1:8" x14ac:dyDescent="0.3">
      <c r="A351" s="253" t="s">
        <v>158</v>
      </c>
      <c r="B351" s="253" t="s">
        <v>159</v>
      </c>
      <c r="C351" s="253" t="s">
        <v>8</v>
      </c>
      <c r="D351" s="253" t="s">
        <v>139</v>
      </c>
      <c r="E351" s="253" t="s">
        <v>895</v>
      </c>
      <c r="F351" s="253" t="s">
        <v>42</v>
      </c>
      <c r="G351" s="251" t="s">
        <v>873</v>
      </c>
      <c r="H351" s="251" t="s">
        <v>8</v>
      </c>
    </row>
    <row r="352" spans="1:8" x14ac:dyDescent="0.3">
      <c r="A352" s="253" t="s">
        <v>158</v>
      </c>
      <c r="B352" s="253" t="s">
        <v>159</v>
      </c>
      <c r="C352" s="253" t="s">
        <v>8</v>
      </c>
      <c r="D352" s="253" t="s">
        <v>139</v>
      </c>
      <c r="E352" s="253" t="s">
        <v>895</v>
      </c>
      <c r="F352" s="253" t="s">
        <v>42</v>
      </c>
      <c r="G352" s="251" t="s">
        <v>875</v>
      </c>
      <c r="H352" s="251" t="s">
        <v>4</v>
      </c>
    </row>
    <row r="353" spans="1:8" x14ac:dyDescent="0.3">
      <c r="A353" s="253" t="s">
        <v>158</v>
      </c>
      <c r="B353" s="253" t="s">
        <v>159</v>
      </c>
      <c r="C353" s="253" t="s">
        <v>8</v>
      </c>
      <c r="D353" s="253" t="s">
        <v>139</v>
      </c>
      <c r="E353" s="253" t="s">
        <v>895</v>
      </c>
      <c r="F353" s="253" t="s">
        <v>42</v>
      </c>
      <c r="G353" s="251" t="s">
        <v>863</v>
      </c>
      <c r="H353" s="251" t="s">
        <v>6</v>
      </c>
    </row>
    <row r="354" spans="1:8" x14ac:dyDescent="0.3">
      <c r="A354" s="253" t="s">
        <v>160</v>
      </c>
      <c r="B354" s="253" t="s">
        <v>161</v>
      </c>
      <c r="C354" s="253" t="s">
        <v>8</v>
      </c>
      <c r="D354" s="253" t="s">
        <v>139</v>
      </c>
      <c r="E354" s="253" t="s">
        <v>895</v>
      </c>
      <c r="F354" s="253" t="s">
        <v>42</v>
      </c>
      <c r="G354" s="251" t="s">
        <v>865</v>
      </c>
      <c r="H354" s="251" t="s">
        <v>4</v>
      </c>
    </row>
    <row r="355" spans="1:8" x14ac:dyDescent="0.3">
      <c r="A355" s="253" t="s">
        <v>160</v>
      </c>
      <c r="B355" s="253" t="s">
        <v>161</v>
      </c>
      <c r="C355" s="253" t="s">
        <v>8</v>
      </c>
      <c r="D355" s="253" t="s">
        <v>139</v>
      </c>
      <c r="E355" s="253" t="s">
        <v>895</v>
      </c>
      <c r="F355" s="253" t="s">
        <v>42</v>
      </c>
      <c r="G355" s="251" t="s">
        <v>873</v>
      </c>
      <c r="H355" s="251" t="s">
        <v>6</v>
      </c>
    </row>
    <row r="356" spans="1:8" x14ac:dyDescent="0.3">
      <c r="A356" s="253" t="s">
        <v>160</v>
      </c>
      <c r="B356" s="253" t="s">
        <v>161</v>
      </c>
      <c r="C356" s="253" t="s">
        <v>8</v>
      </c>
      <c r="D356" s="253" t="s">
        <v>139</v>
      </c>
      <c r="E356" s="253" t="s">
        <v>895</v>
      </c>
      <c r="F356" s="253" t="s">
        <v>42</v>
      </c>
      <c r="G356" s="251" t="s">
        <v>875</v>
      </c>
      <c r="H356" s="251" t="s">
        <v>8</v>
      </c>
    </row>
    <row r="357" spans="1:8" x14ac:dyDescent="0.3">
      <c r="A357" s="253" t="s">
        <v>160</v>
      </c>
      <c r="B357" s="253" t="s">
        <v>161</v>
      </c>
      <c r="C357" s="253" t="s">
        <v>8</v>
      </c>
      <c r="D357" s="253" t="s">
        <v>139</v>
      </c>
      <c r="E357" s="253" t="s">
        <v>895</v>
      </c>
      <c r="F357" s="253" t="s">
        <v>42</v>
      </c>
      <c r="G357" s="251" t="s">
        <v>863</v>
      </c>
      <c r="H357" s="251" t="s">
        <v>6</v>
      </c>
    </row>
    <row r="358" spans="1:8" x14ac:dyDescent="0.3">
      <c r="A358" s="253" t="s">
        <v>78</v>
      </c>
      <c r="B358" s="253" t="s">
        <v>79</v>
      </c>
      <c r="C358" s="253" t="s">
        <v>8</v>
      </c>
      <c r="D358" s="253" t="s">
        <v>45</v>
      </c>
      <c r="E358" s="253" t="s">
        <v>41</v>
      </c>
      <c r="F358" s="253" t="s">
        <v>42</v>
      </c>
      <c r="G358" s="251" t="s">
        <v>864</v>
      </c>
      <c r="H358" s="251" t="s">
        <v>5</v>
      </c>
    </row>
    <row r="359" spans="1:8" x14ac:dyDescent="0.3">
      <c r="A359" s="253" t="s">
        <v>78</v>
      </c>
      <c r="B359" s="253" t="s">
        <v>79</v>
      </c>
      <c r="C359" s="253" t="s">
        <v>8</v>
      </c>
      <c r="D359" s="253" t="s">
        <v>45</v>
      </c>
      <c r="E359" s="253" t="s">
        <v>41</v>
      </c>
      <c r="F359" s="253" t="s">
        <v>42</v>
      </c>
      <c r="G359" s="251" t="s">
        <v>865</v>
      </c>
      <c r="H359" s="251" t="s">
        <v>4</v>
      </c>
    </row>
    <row r="360" spans="1:8" x14ac:dyDescent="0.3">
      <c r="A360" s="253" t="s">
        <v>78</v>
      </c>
      <c r="B360" s="253" t="s">
        <v>79</v>
      </c>
      <c r="C360" s="253" t="s">
        <v>8</v>
      </c>
      <c r="D360" s="253" t="s">
        <v>45</v>
      </c>
      <c r="E360" s="253" t="s">
        <v>41</v>
      </c>
      <c r="F360" s="253" t="s">
        <v>42</v>
      </c>
      <c r="G360" s="251" t="s">
        <v>867</v>
      </c>
      <c r="H360" s="251" t="s">
        <v>4</v>
      </c>
    </row>
    <row r="361" spans="1:8" x14ac:dyDescent="0.3">
      <c r="A361" s="253" t="s">
        <v>78</v>
      </c>
      <c r="B361" s="253" t="s">
        <v>79</v>
      </c>
      <c r="C361" s="253" t="s">
        <v>8</v>
      </c>
      <c r="D361" s="253" t="s">
        <v>45</v>
      </c>
      <c r="E361" s="253" t="s">
        <v>41</v>
      </c>
      <c r="F361" s="253" t="s">
        <v>42</v>
      </c>
      <c r="G361" s="251" t="s">
        <v>863</v>
      </c>
      <c r="H361" s="251" t="s">
        <v>6</v>
      </c>
    </row>
    <row r="362" spans="1:8" x14ac:dyDescent="0.3">
      <c r="A362" s="253" t="s">
        <v>80</v>
      </c>
      <c r="B362" s="253" t="s">
        <v>81</v>
      </c>
      <c r="C362" s="253" t="s">
        <v>8</v>
      </c>
      <c r="D362" s="253" t="s">
        <v>45</v>
      </c>
      <c r="E362" s="253" t="s">
        <v>41</v>
      </c>
      <c r="F362" s="253" t="s">
        <v>42</v>
      </c>
      <c r="G362" s="251" t="s">
        <v>864</v>
      </c>
      <c r="H362" s="251" t="s">
        <v>776</v>
      </c>
    </row>
    <row r="363" spans="1:8" x14ac:dyDescent="0.3">
      <c r="A363" s="253" t="s">
        <v>80</v>
      </c>
      <c r="B363" s="253" t="s">
        <v>81</v>
      </c>
      <c r="C363" s="253" t="s">
        <v>8</v>
      </c>
      <c r="D363" s="253" t="s">
        <v>45</v>
      </c>
      <c r="E363" s="253" t="s">
        <v>41</v>
      </c>
      <c r="F363" s="253" t="s">
        <v>42</v>
      </c>
      <c r="G363" s="251" t="s">
        <v>865</v>
      </c>
      <c r="H363" s="251" t="s">
        <v>776</v>
      </c>
    </row>
    <row r="364" spans="1:8" x14ac:dyDescent="0.3">
      <c r="A364" s="253" t="s">
        <v>80</v>
      </c>
      <c r="B364" s="253" t="s">
        <v>81</v>
      </c>
      <c r="C364" s="253" t="s">
        <v>8</v>
      </c>
      <c r="D364" s="253" t="s">
        <v>45</v>
      </c>
      <c r="E364" s="253" t="s">
        <v>41</v>
      </c>
      <c r="F364" s="253" t="s">
        <v>42</v>
      </c>
      <c r="G364" s="251" t="s">
        <v>867</v>
      </c>
      <c r="H364" s="251" t="s">
        <v>776</v>
      </c>
    </row>
    <row r="365" spans="1:8" x14ac:dyDescent="0.3">
      <c r="A365" s="253" t="s">
        <v>80</v>
      </c>
      <c r="B365" s="253" t="s">
        <v>81</v>
      </c>
      <c r="C365" s="253" t="s">
        <v>8</v>
      </c>
      <c r="D365" s="253" t="s">
        <v>45</v>
      </c>
      <c r="E365" s="253" t="s">
        <v>41</v>
      </c>
      <c r="F365" s="253" t="s">
        <v>42</v>
      </c>
      <c r="G365" s="251" t="s">
        <v>863</v>
      </c>
      <c r="H365" s="251" t="s">
        <v>776</v>
      </c>
    </row>
    <row r="366" spans="1:8" x14ac:dyDescent="0.3">
      <c r="A366" s="253" t="s">
        <v>272</v>
      </c>
      <c r="B366" s="253" t="s">
        <v>273</v>
      </c>
      <c r="C366" s="253" t="s">
        <v>8</v>
      </c>
      <c r="D366" s="253" t="s">
        <v>240</v>
      </c>
      <c r="E366" s="253" t="s">
        <v>896</v>
      </c>
      <c r="F366" s="253" t="s">
        <v>42</v>
      </c>
      <c r="G366" s="251" t="s">
        <v>868</v>
      </c>
      <c r="H366" s="251" t="s">
        <v>5</v>
      </c>
    </row>
    <row r="367" spans="1:8" x14ac:dyDescent="0.3">
      <c r="A367" s="253" t="s">
        <v>272</v>
      </c>
      <c r="B367" s="253" t="s">
        <v>273</v>
      </c>
      <c r="C367" s="253" t="s">
        <v>8</v>
      </c>
      <c r="D367" s="253" t="s">
        <v>240</v>
      </c>
      <c r="E367" s="253" t="s">
        <v>896</v>
      </c>
      <c r="F367" s="253" t="s">
        <v>42</v>
      </c>
      <c r="G367" s="251" t="s">
        <v>869</v>
      </c>
      <c r="H367" s="251" t="s">
        <v>6</v>
      </c>
    </row>
    <row r="368" spans="1:8" x14ac:dyDescent="0.3">
      <c r="A368" s="253" t="s">
        <v>272</v>
      </c>
      <c r="B368" s="253" t="s">
        <v>273</v>
      </c>
      <c r="C368" s="253" t="s">
        <v>8</v>
      </c>
      <c r="D368" s="253" t="s">
        <v>240</v>
      </c>
      <c r="E368" s="253" t="s">
        <v>896</v>
      </c>
      <c r="F368" s="253" t="s">
        <v>42</v>
      </c>
      <c r="G368" s="251" t="s">
        <v>870</v>
      </c>
      <c r="H368" s="251" t="s">
        <v>8</v>
      </c>
    </row>
    <row r="369" spans="1:8" x14ac:dyDescent="0.3">
      <c r="A369" s="253" t="s">
        <v>272</v>
      </c>
      <c r="B369" s="253" t="s">
        <v>273</v>
      </c>
      <c r="C369" s="253" t="s">
        <v>8</v>
      </c>
      <c r="D369" s="253" t="s">
        <v>240</v>
      </c>
      <c r="E369" s="253" t="s">
        <v>896</v>
      </c>
      <c r="F369" s="253" t="s">
        <v>42</v>
      </c>
      <c r="G369" s="251" t="s">
        <v>863</v>
      </c>
      <c r="H369" s="251" t="s">
        <v>6</v>
      </c>
    </row>
    <row r="370" spans="1:8" x14ac:dyDescent="0.3">
      <c r="A370" s="253" t="s">
        <v>315</v>
      </c>
      <c r="B370" s="253" t="s">
        <v>316</v>
      </c>
      <c r="C370" s="253" t="s">
        <v>8</v>
      </c>
      <c r="D370" s="253" t="s">
        <v>304</v>
      </c>
      <c r="E370" s="253" t="s">
        <v>895</v>
      </c>
      <c r="F370" s="253" t="s">
        <v>42</v>
      </c>
      <c r="G370" s="251" t="s">
        <v>875</v>
      </c>
      <c r="H370" s="251" t="s">
        <v>8</v>
      </c>
    </row>
    <row r="371" spans="1:8" x14ac:dyDescent="0.3">
      <c r="A371" s="253" t="s">
        <v>315</v>
      </c>
      <c r="B371" s="253" t="s">
        <v>316</v>
      </c>
      <c r="C371" s="253" t="s">
        <v>8</v>
      </c>
      <c r="D371" s="253" t="s">
        <v>304</v>
      </c>
      <c r="E371" s="253" t="s">
        <v>895</v>
      </c>
      <c r="F371" s="253" t="s">
        <v>42</v>
      </c>
      <c r="G371" s="251" t="s">
        <v>876</v>
      </c>
      <c r="H371" s="251" t="s">
        <v>8</v>
      </c>
    </row>
    <row r="372" spans="1:8" x14ac:dyDescent="0.3">
      <c r="A372" s="253" t="s">
        <v>315</v>
      </c>
      <c r="B372" s="253" t="s">
        <v>316</v>
      </c>
      <c r="C372" s="253" t="s">
        <v>8</v>
      </c>
      <c r="D372" s="253" t="s">
        <v>304</v>
      </c>
      <c r="E372" s="253" t="s">
        <v>895</v>
      </c>
      <c r="F372" s="253" t="s">
        <v>42</v>
      </c>
      <c r="G372" s="251" t="s">
        <v>877</v>
      </c>
      <c r="H372" s="251" t="s">
        <v>4</v>
      </c>
    </row>
    <row r="373" spans="1:8" x14ac:dyDescent="0.3">
      <c r="A373" s="253" t="s">
        <v>315</v>
      </c>
      <c r="B373" s="253" t="s">
        <v>316</v>
      </c>
      <c r="C373" s="253" t="s">
        <v>8</v>
      </c>
      <c r="D373" s="253" t="s">
        <v>304</v>
      </c>
      <c r="E373" s="253" t="s">
        <v>895</v>
      </c>
      <c r="F373" s="253" t="s">
        <v>42</v>
      </c>
      <c r="G373" s="251" t="s">
        <v>863</v>
      </c>
      <c r="H373" s="251" t="s">
        <v>5</v>
      </c>
    </row>
    <row r="374" spans="1:8" x14ac:dyDescent="0.3">
      <c r="A374" s="253" t="s">
        <v>162</v>
      </c>
      <c r="B374" s="253" t="s">
        <v>163</v>
      </c>
      <c r="C374" s="253" t="s">
        <v>8</v>
      </c>
      <c r="D374" s="253" t="s">
        <v>139</v>
      </c>
      <c r="E374" s="253" t="s">
        <v>895</v>
      </c>
      <c r="F374" s="253" t="s">
        <v>42</v>
      </c>
      <c r="G374" s="251" t="s">
        <v>865</v>
      </c>
      <c r="H374" s="251" t="s">
        <v>3</v>
      </c>
    </row>
    <row r="375" spans="1:8" x14ac:dyDescent="0.3">
      <c r="A375" s="253" t="s">
        <v>162</v>
      </c>
      <c r="B375" s="253" t="s">
        <v>163</v>
      </c>
      <c r="C375" s="253" t="s">
        <v>8</v>
      </c>
      <c r="D375" s="253" t="s">
        <v>139</v>
      </c>
      <c r="E375" s="253" t="s">
        <v>895</v>
      </c>
      <c r="F375" s="253" t="s">
        <v>42</v>
      </c>
      <c r="G375" s="251" t="s">
        <v>873</v>
      </c>
      <c r="H375" s="251" t="s">
        <v>7</v>
      </c>
    </row>
    <row r="376" spans="1:8" x14ac:dyDescent="0.3">
      <c r="A376" s="253" t="s">
        <v>162</v>
      </c>
      <c r="B376" s="253" t="s">
        <v>163</v>
      </c>
      <c r="C376" s="253" t="s">
        <v>8</v>
      </c>
      <c r="D376" s="253" t="s">
        <v>139</v>
      </c>
      <c r="E376" s="253" t="s">
        <v>895</v>
      </c>
      <c r="F376" s="253" t="s">
        <v>42</v>
      </c>
      <c r="G376" s="251" t="s">
        <v>875</v>
      </c>
      <c r="H376" s="251" t="s">
        <v>8</v>
      </c>
    </row>
    <row r="377" spans="1:8" x14ac:dyDescent="0.3">
      <c r="A377" s="253" t="s">
        <v>162</v>
      </c>
      <c r="B377" s="253" t="s">
        <v>163</v>
      </c>
      <c r="C377" s="253" t="s">
        <v>8</v>
      </c>
      <c r="D377" s="253" t="s">
        <v>139</v>
      </c>
      <c r="E377" s="253" t="s">
        <v>895</v>
      </c>
      <c r="F377" s="253" t="s">
        <v>42</v>
      </c>
      <c r="G377" s="251" t="s">
        <v>863</v>
      </c>
      <c r="H377" s="251" t="s">
        <v>6</v>
      </c>
    </row>
    <row r="378" spans="1:8" x14ac:dyDescent="0.3">
      <c r="A378" s="253" t="s">
        <v>129</v>
      </c>
      <c r="B378" s="253" t="s">
        <v>130</v>
      </c>
      <c r="C378" s="253" t="s">
        <v>8</v>
      </c>
      <c r="D378" s="253" t="s">
        <v>40</v>
      </c>
      <c r="E378" s="253" t="s">
        <v>41</v>
      </c>
      <c r="F378" s="253" t="s">
        <v>42</v>
      </c>
      <c r="G378" s="251" t="s">
        <v>864</v>
      </c>
      <c r="H378" s="251" t="s">
        <v>5</v>
      </c>
    </row>
    <row r="379" spans="1:8" x14ac:dyDescent="0.3">
      <c r="A379" s="253" t="s">
        <v>129</v>
      </c>
      <c r="B379" s="253" t="s">
        <v>130</v>
      </c>
      <c r="C379" s="253" t="s">
        <v>8</v>
      </c>
      <c r="D379" s="253" t="s">
        <v>40</v>
      </c>
      <c r="E379" s="253" t="s">
        <v>41</v>
      </c>
      <c r="F379" s="253" t="s">
        <v>42</v>
      </c>
      <c r="G379" s="251" t="s">
        <v>865</v>
      </c>
      <c r="H379" s="251" t="s">
        <v>5</v>
      </c>
    </row>
    <row r="380" spans="1:8" x14ac:dyDescent="0.3">
      <c r="A380" s="253" t="s">
        <v>129</v>
      </c>
      <c r="B380" s="253" t="s">
        <v>130</v>
      </c>
      <c r="C380" s="253" t="s">
        <v>8</v>
      </c>
      <c r="D380" s="253" t="s">
        <v>40</v>
      </c>
      <c r="E380" s="253" t="s">
        <v>41</v>
      </c>
      <c r="F380" s="253" t="s">
        <v>42</v>
      </c>
      <c r="G380" s="251" t="s">
        <v>866</v>
      </c>
      <c r="H380" s="251" t="s">
        <v>2</v>
      </c>
    </row>
    <row r="381" spans="1:8" x14ac:dyDescent="0.3">
      <c r="A381" s="253" t="s">
        <v>129</v>
      </c>
      <c r="B381" s="253" t="s">
        <v>130</v>
      </c>
      <c r="C381" s="253" t="s">
        <v>8</v>
      </c>
      <c r="D381" s="253" t="s">
        <v>40</v>
      </c>
      <c r="E381" s="253" t="s">
        <v>41</v>
      </c>
      <c r="F381" s="253" t="s">
        <v>42</v>
      </c>
      <c r="G381" s="251" t="s">
        <v>863</v>
      </c>
      <c r="H381" s="251" t="s">
        <v>7</v>
      </c>
    </row>
    <row r="382" spans="1:8" x14ac:dyDescent="0.3">
      <c r="A382" s="253" t="s">
        <v>319</v>
      </c>
      <c r="B382" s="253" t="s">
        <v>320</v>
      </c>
      <c r="C382" s="253" t="s">
        <v>84</v>
      </c>
      <c r="D382" s="253" t="s">
        <v>304</v>
      </c>
      <c r="E382" s="253" t="s">
        <v>895</v>
      </c>
      <c r="F382" s="253" t="s">
        <v>42</v>
      </c>
      <c r="G382" s="251" t="s">
        <v>875</v>
      </c>
      <c r="H382" s="251" t="s">
        <v>4</v>
      </c>
    </row>
    <row r="383" spans="1:8" x14ac:dyDescent="0.3">
      <c r="A383" s="253" t="s">
        <v>319</v>
      </c>
      <c r="B383" s="253" t="s">
        <v>320</v>
      </c>
      <c r="C383" s="253" t="s">
        <v>84</v>
      </c>
      <c r="D383" s="253" t="s">
        <v>304</v>
      </c>
      <c r="E383" s="253" t="s">
        <v>895</v>
      </c>
      <c r="F383" s="253" t="s">
        <v>42</v>
      </c>
      <c r="G383" s="251" t="s">
        <v>876</v>
      </c>
      <c r="H383" s="251" t="s">
        <v>8</v>
      </c>
    </row>
    <row r="384" spans="1:8" x14ac:dyDescent="0.3">
      <c r="A384" s="253" t="s">
        <v>319</v>
      </c>
      <c r="B384" s="253" t="s">
        <v>320</v>
      </c>
      <c r="C384" s="253" t="s">
        <v>84</v>
      </c>
      <c r="D384" s="253" t="s">
        <v>304</v>
      </c>
      <c r="E384" s="253" t="s">
        <v>895</v>
      </c>
      <c r="F384" s="253" t="s">
        <v>42</v>
      </c>
      <c r="G384" s="251" t="s">
        <v>877</v>
      </c>
      <c r="H384" s="251" t="s">
        <v>5</v>
      </c>
    </row>
    <row r="385" spans="1:8" x14ac:dyDescent="0.3">
      <c r="A385" s="253" t="s">
        <v>319</v>
      </c>
      <c r="B385" s="253" t="s">
        <v>320</v>
      </c>
      <c r="C385" s="253" t="s">
        <v>84</v>
      </c>
      <c r="D385" s="253" t="s">
        <v>304</v>
      </c>
      <c r="E385" s="253" t="s">
        <v>895</v>
      </c>
      <c r="F385" s="253" t="s">
        <v>42</v>
      </c>
      <c r="G385" s="251" t="s">
        <v>863</v>
      </c>
      <c r="H385" s="251" t="s">
        <v>7</v>
      </c>
    </row>
    <row r="386" spans="1:8" x14ac:dyDescent="0.3">
      <c r="A386" s="253" t="s">
        <v>97</v>
      </c>
      <c r="B386" s="253" t="s">
        <v>98</v>
      </c>
      <c r="C386" s="253" t="s">
        <v>8</v>
      </c>
      <c r="D386" s="253" t="s">
        <v>40</v>
      </c>
      <c r="E386" s="253" t="s">
        <v>41</v>
      </c>
      <c r="F386" s="253" t="s">
        <v>42</v>
      </c>
      <c r="G386" s="251" t="s">
        <v>864</v>
      </c>
      <c r="H386" s="251" t="s">
        <v>5</v>
      </c>
    </row>
    <row r="387" spans="1:8" x14ac:dyDescent="0.3">
      <c r="A387" s="253" t="s">
        <v>97</v>
      </c>
      <c r="B387" s="253" t="s">
        <v>98</v>
      </c>
      <c r="C387" s="253" t="s">
        <v>8</v>
      </c>
      <c r="D387" s="253" t="s">
        <v>40</v>
      </c>
      <c r="E387" s="253" t="s">
        <v>41</v>
      </c>
      <c r="F387" s="253" t="s">
        <v>42</v>
      </c>
      <c r="G387" s="251" t="s">
        <v>865</v>
      </c>
      <c r="H387" s="251" t="s">
        <v>4</v>
      </c>
    </row>
    <row r="388" spans="1:8" x14ac:dyDescent="0.3">
      <c r="A388" s="253" t="s">
        <v>97</v>
      </c>
      <c r="B388" s="253" t="s">
        <v>98</v>
      </c>
      <c r="C388" s="253" t="s">
        <v>8</v>
      </c>
      <c r="D388" s="253" t="s">
        <v>40</v>
      </c>
      <c r="E388" s="253" t="s">
        <v>41</v>
      </c>
      <c r="F388" s="253" t="s">
        <v>42</v>
      </c>
      <c r="G388" s="251" t="s">
        <v>866</v>
      </c>
      <c r="H388" s="251" t="s">
        <v>2</v>
      </c>
    </row>
    <row r="389" spans="1:8" x14ac:dyDescent="0.3">
      <c r="A389" s="253" t="s">
        <v>97</v>
      </c>
      <c r="B389" s="253" t="s">
        <v>98</v>
      </c>
      <c r="C389" s="253" t="s">
        <v>8</v>
      </c>
      <c r="D389" s="253" t="s">
        <v>40</v>
      </c>
      <c r="E389" s="253" t="s">
        <v>41</v>
      </c>
      <c r="F389" s="253" t="s">
        <v>42</v>
      </c>
      <c r="G389" s="251" t="s">
        <v>863</v>
      </c>
      <c r="H389" s="251" t="s">
        <v>7</v>
      </c>
    </row>
    <row r="390" spans="1:8" x14ac:dyDescent="0.3">
      <c r="A390" s="253" t="s">
        <v>241</v>
      </c>
      <c r="B390" s="253" t="s">
        <v>242</v>
      </c>
      <c r="C390" s="253" t="s">
        <v>8</v>
      </c>
      <c r="D390" s="253" t="s">
        <v>240</v>
      </c>
      <c r="E390" s="253" t="s">
        <v>896</v>
      </c>
      <c r="F390" s="253" t="s">
        <v>42</v>
      </c>
      <c r="G390" s="251" t="s">
        <v>868</v>
      </c>
      <c r="H390" s="251" t="s">
        <v>7</v>
      </c>
    </row>
    <row r="391" spans="1:8" x14ac:dyDescent="0.3">
      <c r="A391" s="253" t="s">
        <v>241</v>
      </c>
      <c r="B391" s="253" t="s">
        <v>242</v>
      </c>
      <c r="C391" s="253" t="s">
        <v>8</v>
      </c>
      <c r="D391" s="253" t="s">
        <v>240</v>
      </c>
      <c r="E391" s="253" t="s">
        <v>896</v>
      </c>
      <c r="F391" s="253" t="s">
        <v>42</v>
      </c>
      <c r="G391" s="251" t="s">
        <v>869</v>
      </c>
      <c r="H391" s="251" t="s">
        <v>5</v>
      </c>
    </row>
    <row r="392" spans="1:8" x14ac:dyDescent="0.3">
      <c r="A392" s="253" t="s">
        <v>241</v>
      </c>
      <c r="B392" s="253" t="s">
        <v>242</v>
      </c>
      <c r="C392" s="253" t="s">
        <v>8</v>
      </c>
      <c r="D392" s="253" t="s">
        <v>240</v>
      </c>
      <c r="E392" s="253" t="s">
        <v>896</v>
      </c>
      <c r="F392" s="253" t="s">
        <v>42</v>
      </c>
      <c r="G392" s="251" t="s">
        <v>870</v>
      </c>
      <c r="H392" s="251" t="s">
        <v>4</v>
      </c>
    </row>
    <row r="393" spans="1:8" x14ac:dyDescent="0.3">
      <c r="A393" s="253" t="s">
        <v>241</v>
      </c>
      <c r="B393" s="253" t="s">
        <v>242</v>
      </c>
      <c r="C393" s="253" t="s">
        <v>8</v>
      </c>
      <c r="D393" s="253" t="s">
        <v>240</v>
      </c>
      <c r="E393" s="253" t="s">
        <v>896</v>
      </c>
      <c r="F393" s="253" t="s">
        <v>42</v>
      </c>
      <c r="G393" s="251" t="s">
        <v>863</v>
      </c>
      <c r="H393" s="251" t="s">
        <v>7</v>
      </c>
    </row>
    <row r="394" spans="1:8" x14ac:dyDescent="0.3">
      <c r="A394" s="253" t="s">
        <v>252</v>
      </c>
      <c r="B394" s="253" t="s">
        <v>253</v>
      </c>
      <c r="C394" s="253" t="s">
        <v>8</v>
      </c>
      <c r="D394" s="253" t="s">
        <v>240</v>
      </c>
      <c r="E394" s="253" t="s">
        <v>896</v>
      </c>
      <c r="F394" s="253" t="s">
        <v>42</v>
      </c>
      <c r="G394" s="251" t="s">
        <v>868</v>
      </c>
      <c r="H394" s="251" t="s">
        <v>7</v>
      </c>
    </row>
    <row r="395" spans="1:8" x14ac:dyDescent="0.3">
      <c r="A395" s="253" t="s">
        <v>252</v>
      </c>
      <c r="B395" s="253" t="s">
        <v>253</v>
      </c>
      <c r="C395" s="253" t="s">
        <v>8</v>
      </c>
      <c r="D395" s="253" t="s">
        <v>240</v>
      </c>
      <c r="E395" s="253" t="s">
        <v>896</v>
      </c>
      <c r="F395" s="253" t="s">
        <v>42</v>
      </c>
      <c r="G395" s="251" t="s">
        <v>869</v>
      </c>
      <c r="H395" s="251" t="s">
        <v>6</v>
      </c>
    </row>
    <row r="396" spans="1:8" x14ac:dyDescent="0.3">
      <c r="A396" s="253" t="s">
        <v>252</v>
      </c>
      <c r="B396" s="253" t="s">
        <v>253</v>
      </c>
      <c r="C396" s="253" t="s">
        <v>8</v>
      </c>
      <c r="D396" s="253" t="s">
        <v>240</v>
      </c>
      <c r="E396" s="253" t="s">
        <v>896</v>
      </c>
      <c r="F396" s="253" t="s">
        <v>42</v>
      </c>
      <c r="G396" s="251" t="s">
        <v>870</v>
      </c>
      <c r="H396" s="251" t="s">
        <v>4</v>
      </c>
    </row>
    <row r="397" spans="1:8" x14ac:dyDescent="0.3">
      <c r="A397" s="253" t="s">
        <v>252</v>
      </c>
      <c r="B397" s="253" t="s">
        <v>253</v>
      </c>
      <c r="C397" s="253" t="s">
        <v>8</v>
      </c>
      <c r="D397" s="253" t="s">
        <v>240</v>
      </c>
      <c r="E397" s="253" t="s">
        <v>896</v>
      </c>
      <c r="F397" s="253" t="s">
        <v>42</v>
      </c>
      <c r="G397" s="251" t="s">
        <v>863</v>
      </c>
      <c r="H397" s="251" t="s">
        <v>6</v>
      </c>
    </row>
    <row r="398" spans="1:8" x14ac:dyDescent="0.3">
      <c r="A398" s="253" t="s">
        <v>104</v>
      </c>
      <c r="B398" s="253" t="s">
        <v>105</v>
      </c>
      <c r="C398" s="253" t="s">
        <v>8</v>
      </c>
      <c r="D398" s="253" t="s">
        <v>40</v>
      </c>
      <c r="E398" s="253" t="s">
        <v>41</v>
      </c>
      <c r="F398" s="253" t="s">
        <v>42</v>
      </c>
      <c r="G398" s="251" t="s">
        <v>864</v>
      </c>
      <c r="H398" s="251" t="s">
        <v>5</v>
      </c>
    </row>
    <row r="399" spans="1:8" x14ac:dyDescent="0.3">
      <c r="A399" s="253" t="s">
        <v>104</v>
      </c>
      <c r="B399" s="253" t="s">
        <v>105</v>
      </c>
      <c r="C399" s="253" t="s">
        <v>8</v>
      </c>
      <c r="D399" s="253" t="s">
        <v>40</v>
      </c>
      <c r="E399" s="253" t="s">
        <v>41</v>
      </c>
      <c r="F399" s="253" t="s">
        <v>42</v>
      </c>
      <c r="G399" s="251" t="s">
        <v>865</v>
      </c>
      <c r="H399" s="251" t="s">
        <v>4</v>
      </c>
    </row>
    <row r="400" spans="1:8" x14ac:dyDescent="0.3">
      <c r="A400" s="253" t="s">
        <v>104</v>
      </c>
      <c r="B400" s="253" t="s">
        <v>105</v>
      </c>
      <c r="C400" s="253" t="s">
        <v>8</v>
      </c>
      <c r="D400" s="253" t="s">
        <v>40</v>
      </c>
      <c r="E400" s="253" t="s">
        <v>41</v>
      </c>
      <c r="F400" s="253" t="s">
        <v>42</v>
      </c>
      <c r="G400" s="251" t="s">
        <v>866</v>
      </c>
      <c r="H400" s="251" t="s">
        <v>2</v>
      </c>
    </row>
    <row r="401" spans="1:8" x14ac:dyDescent="0.3">
      <c r="A401" s="253" t="s">
        <v>104</v>
      </c>
      <c r="B401" s="253" t="s">
        <v>105</v>
      </c>
      <c r="C401" s="253" t="s">
        <v>8</v>
      </c>
      <c r="D401" s="253" t="s">
        <v>40</v>
      </c>
      <c r="E401" s="253" t="s">
        <v>41</v>
      </c>
      <c r="F401" s="253" t="s">
        <v>42</v>
      </c>
      <c r="G401" s="251" t="s">
        <v>863</v>
      </c>
      <c r="H401" s="251" t="s">
        <v>8</v>
      </c>
    </row>
    <row r="402" spans="1:8" x14ac:dyDescent="0.3">
      <c r="A402" s="253" t="s">
        <v>119</v>
      </c>
      <c r="B402" s="253" t="s">
        <v>120</v>
      </c>
      <c r="C402" s="253" t="s">
        <v>8</v>
      </c>
      <c r="D402" s="253" t="s">
        <v>40</v>
      </c>
      <c r="E402" s="253" t="s">
        <v>41</v>
      </c>
      <c r="F402" s="253" t="s">
        <v>42</v>
      </c>
      <c r="G402" s="251" t="s">
        <v>864</v>
      </c>
      <c r="H402" s="251" t="s">
        <v>4</v>
      </c>
    </row>
    <row r="403" spans="1:8" x14ac:dyDescent="0.3">
      <c r="A403" s="253" t="s">
        <v>119</v>
      </c>
      <c r="B403" s="253" t="s">
        <v>120</v>
      </c>
      <c r="C403" s="253" t="s">
        <v>8</v>
      </c>
      <c r="D403" s="253" t="s">
        <v>40</v>
      </c>
      <c r="E403" s="253" t="s">
        <v>41</v>
      </c>
      <c r="F403" s="253" t="s">
        <v>42</v>
      </c>
      <c r="G403" s="251" t="s">
        <v>865</v>
      </c>
      <c r="H403" s="251" t="s">
        <v>3</v>
      </c>
    </row>
    <row r="404" spans="1:8" x14ac:dyDescent="0.3">
      <c r="A404" s="253" t="s">
        <v>119</v>
      </c>
      <c r="B404" s="253" t="s">
        <v>120</v>
      </c>
      <c r="C404" s="253" t="s">
        <v>8</v>
      </c>
      <c r="D404" s="253" t="s">
        <v>40</v>
      </c>
      <c r="E404" s="253" t="s">
        <v>41</v>
      </c>
      <c r="F404" s="253" t="s">
        <v>42</v>
      </c>
      <c r="G404" s="251" t="s">
        <v>866</v>
      </c>
      <c r="H404" s="251" t="s">
        <v>2</v>
      </c>
    </row>
    <row r="405" spans="1:8" x14ac:dyDescent="0.3">
      <c r="A405" s="253" t="s">
        <v>119</v>
      </c>
      <c r="B405" s="253" t="s">
        <v>120</v>
      </c>
      <c r="C405" s="253" t="s">
        <v>8</v>
      </c>
      <c r="D405" s="253" t="s">
        <v>40</v>
      </c>
      <c r="E405" s="253" t="s">
        <v>41</v>
      </c>
      <c r="F405" s="253" t="s">
        <v>42</v>
      </c>
      <c r="G405" s="251" t="s">
        <v>863</v>
      </c>
      <c r="H405" s="251" t="s">
        <v>5</v>
      </c>
    </row>
    <row r="406" spans="1:8" x14ac:dyDescent="0.3">
      <c r="A406" s="253" t="s">
        <v>969</v>
      </c>
      <c r="B406" s="253" t="s">
        <v>334</v>
      </c>
      <c r="C406" s="253" t="s">
        <v>84</v>
      </c>
      <c r="D406" s="253" t="s">
        <v>289</v>
      </c>
      <c r="E406" s="253" t="s">
        <v>896</v>
      </c>
      <c r="F406" s="253" t="s">
        <v>42</v>
      </c>
      <c r="G406" s="251" t="s">
        <v>869</v>
      </c>
      <c r="H406" s="251" t="s">
        <v>5</v>
      </c>
    </row>
    <row r="407" spans="1:8" x14ac:dyDescent="0.3">
      <c r="A407" s="253" t="s">
        <v>969</v>
      </c>
      <c r="B407" s="253" t="s">
        <v>334</v>
      </c>
      <c r="C407" s="253" t="s">
        <v>84</v>
      </c>
      <c r="D407" s="253" t="s">
        <v>289</v>
      </c>
      <c r="E407" s="253" t="s">
        <v>896</v>
      </c>
      <c r="F407" s="253" t="s">
        <v>42</v>
      </c>
      <c r="G407" s="251" t="s">
        <v>870</v>
      </c>
      <c r="H407" s="251" t="s">
        <v>8</v>
      </c>
    </row>
    <row r="408" spans="1:8" x14ac:dyDescent="0.3">
      <c r="A408" s="253" t="s">
        <v>969</v>
      </c>
      <c r="B408" s="253" t="s">
        <v>334</v>
      </c>
      <c r="C408" s="253" t="s">
        <v>84</v>
      </c>
      <c r="D408" s="253" t="s">
        <v>289</v>
      </c>
      <c r="E408" s="253" t="s">
        <v>896</v>
      </c>
      <c r="F408" s="253" t="s">
        <v>42</v>
      </c>
      <c r="G408" s="251" t="s">
        <v>871</v>
      </c>
      <c r="H408" s="251" t="s">
        <v>4</v>
      </c>
    </row>
    <row r="409" spans="1:8" x14ac:dyDescent="0.3">
      <c r="A409" s="253" t="s">
        <v>969</v>
      </c>
      <c r="B409" s="253" t="s">
        <v>334</v>
      </c>
      <c r="C409" s="253" t="s">
        <v>84</v>
      </c>
      <c r="D409" s="253" t="s">
        <v>289</v>
      </c>
      <c r="E409" s="253" t="s">
        <v>896</v>
      </c>
      <c r="F409" s="253" t="s">
        <v>42</v>
      </c>
      <c r="G409" s="251" t="s">
        <v>863</v>
      </c>
      <c r="H409" s="251" t="s">
        <v>7</v>
      </c>
    </row>
    <row r="410" spans="1:8" x14ac:dyDescent="0.3">
      <c r="A410" s="253" t="s">
        <v>975</v>
      </c>
      <c r="B410" s="253" t="s">
        <v>976</v>
      </c>
      <c r="C410" s="253" t="s">
        <v>84</v>
      </c>
      <c r="D410" s="253" t="s">
        <v>289</v>
      </c>
      <c r="E410" s="253" t="s">
        <v>896</v>
      </c>
      <c r="F410" s="253" t="s">
        <v>94</v>
      </c>
      <c r="G410" s="251" t="s">
        <v>869</v>
      </c>
      <c r="H410" s="251" t="s">
        <v>5</v>
      </c>
    </row>
    <row r="411" spans="1:8" x14ac:dyDescent="0.3">
      <c r="A411" s="253" t="s">
        <v>975</v>
      </c>
      <c r="B411" s="253" t="s">
        <v>976</v>
      </c>
      <c r="C411" s="253" t="s">
        <v>84</v>
      </c>
      <c r="D411" s="253" t="s">
        <v>289</v>
      </c>
      <c r="E411" s="253" t="s">
        <v>896</v>
      </c>
      <c r="F411" s="253" t="s">
        <v>94</v>
      </c>
      <c r="G411" s="251" t="s">
        <v>870</v>
      </c>
      <c r="H411" s="251" t="s">
        <v>8</v>
      </c>
    </row>
    <row r="412" spans="1:8" x14ac:dyDescent="0.3">
      <c r="A412" s="253" t="s">
        <v>975</v>
      </c>
      <c r="B412" s="253" t="s">
        <v>976</v>
      </c>
      <c r="C412" s="253" t="s">
        <v>84</v>
      </c>
      <c r="D412" s="253" t="s">
        <v>289</v>
      </c>
      <c r="E412" s="253" t="s">
        <v>896</v>
      </c>
      <c r="F412" s="253" t="s">
        <v>94</v>
      </c>
      <c r="G412" s="251" t="s">
        <v>871</v>
      </c>
      <c r="H412" s="251" t="s">
        <v>8</v>
      </c>
    </row>
    <row r="413" spans="1:8" x14ac:dyDescent="0.3">
      <c r="A413" s="253" t="s">
        <v>975</v>
      </c>
      <c r="B413" s="253" t="s">
        <v>976</v>
      </c>
      <c r="C413" s="253" t="s">
        <v>84</v>
      </c>
      <c r="D413" s="253" t="s">
        <v>289</v>
      </c>
      <c r="E413" s="253" t="s">
        <v>896</v>
      </c>
      <c r="F413" s="253" t="s">
        <v>94</v>
      </c>
      <c r="G413" s="251" t="s">
        <v>863</v>
      </c>
      <c r="H413" s="251" t="s">
        <v>5</v>
      </c>
    </row>
    <row r="414" spans="1:8" x14ac:dyDescent="0.3">
      <c r="A414" s="253" t="s">
        <v>223</v>
      </c>
      <c r="B414" s="253" t="s">
        <v>224</v>
      </c>
      <c r="C414" s="253" t="s">
        <v>84</v>
      </c>
      <c r="D414" s="253" t="s">
        <v>194</v>
      </c>
      <c r="E414" s="253" t="s">
        <v>896</v>
      </c>
      <c r="F414" s="253" t="s">
        <v>42</v>
      </c>
      <c r="G414" s="251" t="s">
        <v>868</v>
      </c>
      <c r="H414" s="251" t="s">
        <v>8</v>
      </c>
    </row>
    <row r="415" spans="1:8" x14ac:dyDescent="0.3">
      <c r="A415" s="253" t="s">
        <v>223</v>
      </c>
      <c r="B415" s="253" t="s">
        <v>224</v>
      </c>
      <c r="C415" s="253" t="s">
        <v>84</v>
      </c>
      <c r="D415" s="253" t="s">
        <v>194</v>
      </c>
      <c r="E415" s="253" t="s">
        <v>896</v>
      </c>
      <c r="F415" s="253" t="s">
        <v>42</v>
      </c>
      <c r="G415" s="251" t="s">
        <v>869</v>
      </c>
      <c r="H415" s="251" t="s">
        <v>8</v>
      </c>
    </row>
    <row r="416" spans="1:8" x14ac:dyDescent="0.3">
      <c r="A416" s="253" t="s">
        <v>223</v>
      </c>
      <c r="B416" s="253" t="s">
        <v>224</v>
      </c>
      <c r="C416" s="253" t="s">
        <v>84</v>
      </c>
      <c r="D416" s="253" t="s">
        <v>194</v>
      </c>
      <c r="E416" s="253" t="s">
        <v>896</v>
      </c>
      <c r="F416" s="253" t="s">
        <v>42</v>
      </c>
      <c r="G416" s="251" t="s">
        <v>873</v>
      </c>
      <c r="H416" s="251" t="s">
        <v>8</v>
      </c>
    </row>
    <row r="417" spans="1:8" x14ac:dyDescent="0.3">
      <c r="A417" s="253" t="s">
        <v>223</v>
      </c>
      <c r="B417" s="253" t="s">
        <v>224</v>
      </c>
      <c r="C417" s="253" t="s">
        <v>84</v>
      </c>
      <c r="D417" s="253" t="s">
        <v>194</v>
      </c>
      <c r="E417" s="253" t="s">
        <v>896</v>
      </c>
      <c r="F417" s="253" t="s">
        <v>42</v>
      </c>
      <c r="G417" s="251" t="s">
        <v>863</v>
      </c>
      <c r="H417" s="251" t="s">
        <v>6</v>
      </c>
    </row>
    <row r="418" spans="1:8" x14ac:dyDescent="0.3">
      <c r="A418" s="253" t="s">
        <v>178</v>
      </c>
      <c r="B418" s="253" t="s">
        <v>179</v>
      </c>
      <c r="C418" s="253" t="s">
        <v>84</v>
      </c>
      <c r="D418" s="253" t="s">
        <v>139</v>
      </c>
      <c r="E418" s="253" t="s">
        <v>895</v>
      </c>
      <c r="F418" s="253" t="s">
        <v>42</v>
      </c>
      <c r="G418" s="251" t="s">
        <v>865</v>
      </c>
      <c r="H418" s="251" t="s">
        <v>3</v>
      </c>
    </row>
    <row r="419" spans="1:8" x14ac:dyDescent="0.3">
      <c r="A419" s="253" t="s">
        <v>178</v>
      </c>
      <c r="B419" s="253" t="s">
        <v>179</v>
      </c>
      <c r="C419" s="253" t="s">
        <v>84</v>
      </c>
      <c r="D419" s="253" t="s">
        <v>139</v>
      </c>
      <c r="E419" s="253" t="s">
        <v>895</v>
      </c>
      <c r="F419" s="253" t="s">
        <v>42</v>
      </c>
      <c r="G419" s="251" t="s">
        <v>873</v>
      </c>
      <c r="H419" s="251" t="s">
        <v>5</v>
      </c>
    </row>
    <row r="420" spans="1:8" x14ac:dyDescent="0.3">
      <c r="A420" s="253" t="s">
        <v>178</v>
      </c>
      <c r="B420" s="253" t="s">
        <v>179</v>
      </c>
      <c r="C420" s="253" t="s">
        <v>84</v>
      </c>
      <c r="D420" s="253" t="s">
        <v>139</v>
      </c>
      <c r="E420" s="253" t="s">
        <v>895</v>
      </c>
      <c r="F420" s="253" t="s">
        <v>42</v>
      </c>
      <c r="G420" s="251" t="s">
        <v>875</v>
      </c>
      <c r="H420" s="251" t="s">
        <v>8</v>
      </c>
    </row>
    <row r="421" spans="1:8" x14ac:dyDescent="0.3">
      <c r="A421" s="253" t="s">
        <v>178</v>
      </c>
      <c r="B421" s="253" t="s">
        <v>179</v>
      </c>
      <c r="C421" s="253" t="s">
        <v>84</v>
      </c>
      <c r="D421" s="253" t="s">
        <v>139</v>
      </c>
      <c r="E421" s="253" t="s">
        <v>895</v>
      </c>
      <c r="F421" s="253" t="s">
        <v>42</v>
      </c>
      <c r="G421" s="251" t="s">
        <v>863</v>
      </c>
      <c r="H421" s="251" t="s">
        <v>5</v>
      </c>
    </row>
    <row r="422" spans="1:8" x14ac:dyDescent="0.3">
      <c r="A422" s="253" t="s">
        <v>188</v>
      </c>
      <c r="B422" s="253" t="s">
        <v>189</v>
      </c>
      <c r="C422" s="253" t="s">
        <v>84</v>
      </c>
      <c r="D422" s="253" t="s">
        <v>139</v>
      </c>
      <c r="E422" s="253" t="s">
        <v>895</v>
      </c>
      <c r="F422" s="253" t="s">
        <v>42</v>
      </c>
      <c r="G422" s="251" t="s">
        <v>865</v>
      </c>
      <c r="H422" s="251" t="s">
        <v>4</v>
      </c>
    </row>
    <row r="423" spans="1:8" x14ac:dyDescent="0.3">
      <c r="A423" s="253" t="s">
        <v>188</v>
      </c>
      <c r="B423" s="253" t="s">
        <v>189</v>
      </c>
      <c r="C423" s="253" t="s">
        <v>84</v>
      </c>
      <c r="D423" s="253" t="s">
        <v>139</v>
      </c>
      <c r="E423" s="253" t="s">
        <v>895</v>
      </c>
      <c r="F423" s="253" t="s">
        <v>42</v>
      </c>
      <c r="G423" s="251" t="s">
        <v>873</v>
      </c>
      <c r="H423" s="251" t="s">
        <v>7</v>
      </c>
    </row>
    <row r="424" spans="1:8" x14ac:dyDescent="0.3">
      <c r="A424" s="253" t="s">
        <v>188</v>
      </c>
      <c r="B424" s="253" t="s">
        <v>189</v>
      </c>
      <c r="C424" s="253" t="s">
        <v>84</v>
      </c>
      <c r="D424" s="253" t="s">
        <v>139</v>
      </c>
      <c r="E424" s="253" t="s">
        <v>895</v>
      </c>
      <c r="F424" s="253" t="s">
        <v>42</v>
      </c>
      <c r="G424" s="251" t="s">
        <v>875</v>
      </c>
      <c r="H424" s="251" t="s">
        <v>4</v>
      </c>
    </row>
    <row r="425" spans="1:8" x14ac:dyDescent="0.3">
      <c r="A425" s="253" t="s">
        <v>188</v>
      </c>
      <c r="B425" s="253" t="s">
        <v>189</v>
      </c>
      <c r="C425" s="253" t="s">
        <v>84</v>
      </c>
      <c r="D425" s="253" t="s">
        <v>139</v>
      </c>
      <c r="E425" s="253" t="s">
        <v>895</v>
      </c>
      <c r="F425" s="253" t="s">
        <v>42</v>
      </c>
      <c r="G425" s="251" t="s">
        <v>863</v>
      </c>
      <c r="H425" s="251" t="s">
        <v>7</v>
      </c>
    </row>
    <row r="426" spans="1:8" x14ac:dyDescent="0.3">
      <c r="A426" s="253" t="s">
        <v>247</v>
      </c>
      <c r="B426" s="253" t="s">
        <v>924</v>
      </c>
      <c r="C426" s="253" t="s">
        <v>8</v>
      </c>
      <c r="D426" s="253" t="s">
        <v>240</v>
      </c>
      <c r="E426" s="253" t="s">
        <v>896</v>
      </c>
      <c r="F426" s="253" t="s">
        <v>94</v>
      </c>
      <c r="G426" s="251" t="s">
        <v>868</v>
      </c>
      <c r="H426" s="251" t="s">
        <v>5</v>
      </c>
    </row>
    <row r="427" spans="1:8" x14ac:dyDescent="0.3">
      <c r="A427" s="253" t="s">
        <v>247</v>
      </c>
      <c r="B427" s="253" t="s">
        <v>924</v>
      </c>
      <c r="C427" s="253" t="s">
        <v>8</v>
      </c>
      <c r="D427" s="253" t="s">
        <v>240</v>
      </c>
      <c r="E427" s="253" t="s">
        <v>896</v>
      </c>
      <c r="F427" s="253" t="s">
        <v>94</v>
      </c>
      <c r="G427" s="251" t="s">
        <v>869</v>
      </c>
      <c r="H427" s="251" t="s">
        <v>5</v>
      </c>
    </row>
    <row r="428" spans="1:8" x14ac:dyDescent="0.3">
      <c r="A428" s="253" t="s">
        <v>247</v>
      </c>
      <c r="B428" s="253" t="s">
        <v>924</v>
      </c>
      <c r="C428" s="253" t="s">
        <v>8</v>
      </c>
      <c r="D428" s="253" t="s">
        <v>240</v>
      </c>
      <c r="E428" s="253" t="s">
        <v>896</v>
      </c>
      <c r="F428" s="253" t="s">
        <v>94</v>
      </c>
      <c r="G428" s="251" t="s">
        <v>870</v>
      </c>
      <c r="H428" s="251" t="s">
        <v>4</v>
      </c>
    </row>
    <row r="429" spans="1:8" x14ac:dyDescent="0.3">
      <c r="A429" s="253" t="s">
        <v>247</v>
      </c>
      <c r="B429" s="253" t="s">
        <v>924</v>
      </c>
      <c r="C429" s="253" t="s">
        <v>8</v>
      </c>
      <c r="D429" s="253" t="s">
        <v>240</v>
      </c>
      <c r="E429" s="253" t="s">
        <v>896</v>
      </c>
      <c r="F429" s="253" t="s">
        <v>94</v>
      </c>
      <c r="G429" s="251" t="s">
        <v>863</v>
      </c>
      <c r="H429" s="251" t="s">
        <v>6</v>
      </c>
    </row>
    <row r="430" spans="1:8" x14ac:dyDescent="0.3">
      <c r="A430" s="253" t="s">
        <v>180</v>
      </c>
      <c r="B430" s="253" t="s">
        <v>181</v>
      </c>
      <c r="C430" s="253" t="s">
        <v>84</v>
      </c>
      <c r="D430" s="253" t="s">
        <v>139</v>
      </c>
      <c r="E430" s="253" t="s">
        <v>895</v>
      </c>
      <c r="F430" s="253" t="s">
        <v>42</v>
      </c>
      <c r="G430" s="251" t="s">
        <v>865</v>
      </c>
      <c r="H430" s="251" t="s">
        <v>3</v>
      </c>
    </row>
    <row r="431" spans="1:8" x14ac:dyDescent="0.3">
      <c r="A431" s="253" t="s">
        <v>180</v>
      </c>
      <c r="B431" s="253" t="s">
        <v>181</v>
      </c>
      <c r="C431" s="253" t="s">
        <v>84</v>
      </c>
      <c r="D431" s="253" t="s">
        <v>139</v>
      </c>
      <c r="E431" s="253" t="s">
        <v>895</v>
      </c>
      <c r="F431" s="253" t="s">
        <v>42</v>
      </c>
      <c r="G431" s="251" t="s">
        <v>873</v>
      </c>
      <c r="H431" s="251" t="s">
        <v>6</v>
      </c>
    </row>
    <row r="432" spans="1:8" x14ac:dyDescent="0.3">
      <c r="A432" s="253" t="s">
        <v>180</v>
      </c>
      <c r="B432" s="253" t="s">
        <v>181</v>
      </c>
      <c r="C432" s="253" t="s">
        <v>84</v>
      </c>
      <c r="D432" s="253" t="s">
        <v>139</v>
      </c>
      <c r="E432" s="253" t="s">
        <v>895</v>
      </c>
      <c r="F432" s="253" t="s">
        <v>42</v>
      </c>
      <c r="G432" s="251" t="s">
        <v>875</v>
      </c>
      <c r="H432" s="251" t="s">
        <v>8</v>
      </c>
    </row>
    <row r="433" spans="1:8" x14ac:dyDescent="0.3">
      <c r="A433" s="253" t="s">
        <v>180</v>
      </c>
      <c r="B433" s="253" t="s">
        <v>181</v>
      </c>
      <c r="C433" s="253" t="s">
        <v>84</v>
      </c>
      <c r="D433" s="253" t="s">
        <v>139</v>
      </c>
      <c r="E433" s="253" t="s">
        <v>895</v>
      </c>
      <c r="F433" s="253" t="s">
        <v>42</v>
      </c>
      <c r="G433" s="251" t="s">
        <v>863</v>
      </c>
      <c r="H433" s="251" t="s">
        <v>7</v>
      </c>
    </row>
    <row r="434" spans="1:8" x14ac:dyDescent="0.3">
      <c r="A434" s="253" t="s">
        <v>298</v>
      </c>
      <c r="B434" s="253" t="s">
        <v>299</v>
      </c>
      <c r="C434" s="253" t="s">
        <v>84</v>
      </c>
      <c r="D434" s="253" t="s">
        <v>240</v>
      </c>
      <c r="E434" s="253" t="s">
        <v>896</v>
      </c>
      <c r="F434" s="253" t="s">
        <v>42</v>
      </c>
      <c r="G434" s="251" t="s">
        <v>868</v>
      </c>
      <c r="H434" s="251" t="s">
        <v>6</v>
      </c>
    </row>
    <row r="435" spans="1:8" x14ac:dyDescent="0.3">
      <c r="A435" s="253" t="s">
        <v>298</v>
      </c>
      <c r="B435" s="253" t="s">
        <v>299</v>
      </c>
      <c r="C435" s="253" t="s">
        <v>84</v>
      </c>
      <c r="D435" s="253" t="s">
        <v>240</v>
      </c>
      <c r="E435" s="253" t="s">
        <v>896</v>
      </c>
      <c r="F435" s="253" t="s">
        <v>42</v>
      </c>
      <c r="G435" s="251" t="s">
        <v>869</v>
      </c>
      <c r="H435" s="251" t="s">
        <v>4</v>
      </c>
    </row>
    <row r="436" spans="1:8" x14ac:dyDescent="0.3">
      <c r="A436" s="253" t="s">
        <v>298</v>
      </c>
      <c r="B436" s="253" t="s">
        <v>299</v>
      </c>
      <c r="C436" s="253" t="s">
        <v>84</v>
      </c>
      <c r="D436" s="253" t="s">
        <v>240</v>
      </c>
      <c r="E436" s="253" t="s">
        <v>896</v>
      </c>
      <c r="F436" s="253" t="s">
        <v>42</v>
      </c>
      <c r="G436" s="251" t="s">
        <v>870</v>
      </c>
      <c r="H436" s="251" t="s">
        <v>4</v>
      </c>
    </row>
    <row r="437" spans="1:8" x14ac:dyDescent="0.3">
      <c r="A437" s="253" t="s">
        <v>298</v>
      </c>
      <c r="B437" s="253" t="s">
        <v>299</v>
      </c>
      <c r="C437" s="253" t="s">
        <v>84</v>
      </c>
      <c r="D437" s="253" t="s">
        <v>240</v>
      </c>
      <c r="E437" s="253" t="s">
        <v>896</v>
      </c>
      <c r="F437" s="253" t="s">
        <v>42</v>
      </c>
      <c r="G437" s="251" t="s">
        <v>863</v>
      </c>
      <c r="H437" s="251" t="s">
        <v>7</v>
      </c>
    </row>
    <row r="438" spans="1:8" x14ac:dyDescent="0.3">
      <c r="A438" s="253" t="s">
        <v>307</v>
      </c>
      <c r="B438" s="253" t="s">
        <v>308</v>
      </c>
      <c r="C438" s="253" t="s">
        <v>8</v>
      </c>
      <c r="D438" s="253" t="s">
        <v>304</v>
      </c>
      <c r="E438" s="253" t="s">
        <v>895</v>
      </c>
      <c r="F438" s="253" t="s">
        <v>42</v>
      </c>
      <c r="G438" s="251" t="s">
        <v>875</v>
      </c>
      <c r="H438" s="251" t="s">
        <v>8</v>
      </c>
    </row>
    <row r="439" spans="1:8" x14ac:dyDescent="0.3">
      <c r="A439" s="253" t="s">
        <v>307</v>
      </c>
      <c r="B439" s="253" t="s">
        <v>308</v>
      </c>
      <c r="C439" s="253" t="s">
        <v>8</v>
      </c>
      <c r="D439" s="253" t="s">
        <v>304</v>
      </c>
      <c r="E439" s="253" t="s">
        <v>895</v>
      </c>
      <c r="F439" s="253" t="s">
        <v>42</v>
      </c>
      <c r="G439" s="251" t="s">
        <v>876</v>
      </c>
      <c r="H439" s="251" t="s">
        <v>8</v>
      </c>
    </row>
    <row r="440" spans="1:8" x14ac:dyDescent="0.3">
      <c r="A440" s="253" t="s">
        <v>307</v>
      </c>
      <c r="B440" s="253" t="s">
        <v>308</v>
      </c>
      <c r="C440" s="253" t="s">
        <v>8</v>
      </c>
      <c r="D440" s="253" t="s">
        <v>304</v>
      </c>
      <c r="E440" s="253" t="s">
        <v>895</v>
      </c>
      <c r="F440" s="253" t="s">
        <v>42</v>
      </c>
      <c r="G440" s="251" t="s">
        <v>877</v>
      </c>
      <c r="H440" s="251" t="s">
        <v>5</v>
      </c>
    </row>
    <row r="441" spans="1:8" x14ac:dyDescent="0.3">
      <c r="A441" s="253" t="s">
        <v>307</v>
      </c>
      <c r="B441" s="253" t="s">
        <v>308</v>
      </c>
      <c r="C441" s="253" t="s">
        <v>8</v>
      </c>
      <c r="D441" s="253" t="s">
        <v>304</v>
      </c>
      <c r="E441" s="253" t="s">
        <v>895</v>
      </c>
      <c r="F441" s="253" t="s">
        <v>42</v>
      </c>
      <c r="G441" s="251" t="s">
        <v>863</v>
      </c>
      <c r="H441" s="251" t="s">
        <v>7</v>
      </c>
    </row>
    <row r="442" spans="1:8" x14ac:dyDescent="0.3">
      <c r="A442" s="253" t="s">
        <v>973</v>
      </c>
      <c r="B442" s="253" t="s">
        <v>974</v>
      </c>
      <c r="C442" s="253" t="s">
        <v>84</v>
      </c>
      <c r="D442" s="253" t="s">
        <v>289</v>
      </c>
      <c r="E442" s="253" t="s">
        <v>896</v>
      </c>
      <c r="F442" s="253" t="s">
        <v>94</v>
      </c>
      <c r="G442" s="251" t="s">
        <v>869</v>
      </c>
      <c r="H442" s="251" t="s">
        <v>5</v>
      </c>
    </row>
    <row r="443" spans="1:8" x14ac:dyDescent="0.3">
      <c r="A443" s="253" t="s">
        <v>973</v>
      </c>
      <c r="B443" s="253" t="s">
        <v>974</v>
      </c>
      <c r="C443" s="253" t="s">
        <v>84</v>
      </c>
      <c r="D443" s="253" t="s">
        <v>289</v>
      </c>
      <c r="E443" s="253" t="s">
        <v>896</v>
      </c>
      <c r="F443" s="253" t="s">
        <v>94</v>
      </c>
      <c r="G443" s="251" t="s">
        <v>870</v>
      </c>
      <c r="H443" s="251" t="s">
        <v>4</v>
      </c>
    </row>
    <row r="444" spans="1:8" x14ac:dyDescent="0.3">
      <c r="A444" s="253" t="s">
        <v>973</v>
      </c>
      <c r="B444" s="253" t="s">
        <v>974</v>
      </c>
      <c r="C444" s="253" t="s">
        <v>84</v>
      </c>
      <c r="D444" s="253" t="s">
        <v>289</v>
      </c>
      <c r="E444" s="253" t="s">
        <v>896</v>
      </c>
      <c r="F444" s="253" t="s">
        <v>94</v>
      </c>
      <c r="G444" s="251" t="s">
        <v>871</v>
      </c>
      <c r="H444" s="251" t="s">
        <v>4</v>
      </c>
    </row>
    <row r="445" spans="1:8" x14ac:dyDescent="0.3">
      <c r="A445" s="253" t="s">
        <v>973</v>
      </c>
      <c r="B445" s="253" t="s">
        <v>974</v>
      </c>
      <c r="C445" s="253" t="s">
        <v>84</v>
      </c>
      <c r="D445" s="253" t="s">
        <v>289</v>
      </c>
      <c r="E445" s="253" t="s">
        <v>896</v>
      </c>
      <c r="F445" s="253" t="s">
        <v>94</v>
      </c>
      <c r="G445" s="251" t="s">
        <v>863</v>
      </c>
      <c r="H445" s="251" t="s">
        <v>6</v>
      </c>
    </row>
    <row r="446" spans="1:8" x14ac:dyDescent="0.3">
      <c r="A446" s="253" t="s">
        <v>228</v>
      </c>
      <c r="B446" s="253" t="s">
        <v>229</v>
      </c>
      <c r="C446" s="253" t="s">
        <v>84</v>
      </c>
      <c r="D446" s="253" t="s">
        <v>194</v>
      </c>
      <c r="E446" s="253" t="s">
        <v>896</v>
      </c>
      <c r="F446" s="253" t="s">
        <v>42</v>
      </c>
      <c r="G446" s="251" t="s">
        <v>868</v>
      </c>
      <c r="H446" s="251" t="s">
        <v>8</v>
      </c>
    </row>
    <row r="447" spans="1:8" x14ac:dyDescent="0.3">
      <c r="A447" s="253" t="s">
        <v>228</v>
      </c>
      <c r="B447" s="253" t="s">
        <v>229</v>
      </c>
      <c r="C447" s="253" t="s">
        <v>84</v>
      </c>
      <c r="D447" s="253" t="s">
        <v>194</v>
      </c>
      <c r="E447" s="253" t="s">
        <v>896</v>
      </c>
      <c r="F447" s="253" t="s">
        <v>42</v>
      </c>
      <c r="G447" s="251" t="s">
        <v>869</v>
      </c>
      <c r="H447" s="251" t="s">
        <v>6</v>
      </c>
    </row>
    <row r="448" spans="1:8" x14ac:dyDescent="0.3">
      <c r="A448" s="253" t="s">
        <v>228</v>
      </c>
      <c r="B448" s="253" t="s">
        <v>229</v>
      </c>
      <c r="C448" s="253" t="s">
        <v>84</v>
      </c>
      <c r="D448" s="253" t="s">
        <v>194</v>
      </c>
      <c r="E448" s="253" t="s">
        <v>896</v>
      </c>
      <c r="F448" s="253" t="s">
        <v>42</v>
      </c>
      <c r="G448" s="251" t="s">
        <v>873</v>
      </c>
      <c r="H448" s="251" t="s">
        <v>8</v>
      </c>
    </row>
    <row r="449" spans="1:8" x14ac:dyDescent="0.3">
      <c r="A449" s="253" t="s">
        <v>228</v>
      </c>
      <c r="B449" s="253" t="s">
        <v>229</v>
      </c>
      <c r="C449" s="253" t="s">
        <v>84</v>
      </c>
      <c r="D449" s="253" t="s">
        <v>194</v>
      </c>
      <c r="E449" s="253" t="s">
        <v>896</v>
      </c>
      <c r="F449" s="253" t="s">
        <v>42</v>
      </c>
      <c r="G449" s="251" t="s">
        <v>863</v>
      </c>
      <c r="H449" s="251" t="s">
        <v>6</v>
      </c>
    </row>
    <row r="450" spans="1:8" x14ac:dyDescent="0.3">
      <c r="A450" s="253" t="s">
        <v>106</v>
      </c>
      <c r="B450" s="253" t="s">
        <v>107</v>
      </c>
      <c r="C450" s="253" t="s">
        <v>8</v>
      </c>
      <c r="D450" s="253" t="s">
        <v>40</v>
      </c>
      <c r="E450" s="253" t="s">
        <v>41</v>
      </c>
      <c r="F450" s="253" t="s">
        <v>42</v>
      </c>
      <c r="G450" s="251" t="s">
        <v>864</v>
      </c>
      <c r="H450" s="251" t="s">
        <v>4</v>
      </c>
    </row>
    <row r="451" spans="1:8" x14ac:dyDescent="0.3">
      <c r="A451" s="253" t="s">
        <v>106</v>
      </c>
      <c r="B451" s="253" t="s">
        <v>107</v>
      </c>
      <c r="C451" s="253" t="s">
        <v>8</v>
      </c>
      <c r="D451" s="253" t="s">
        <v>40</v>
      </c>
      <c r="E451" s="253" t="s">
        <v>41</v>
      </c>
      <c r="F451" s="253" t="s">
        <v>42</v>
      </c>
      <c r="G451" s="251" t="s">
        <v>865</v>
      </c>
      <c r="H451" s="251" t="s">
        <v>3</v>
      </c>
    </row>
    <row r="452" spans="1:8" x14ac:dyDescent="0.3">
      <c r="A452" s="253" t="s">
        <v>106</v>
      </c>
      <c r="B452" s="253" t="s">
        <v>107</v>
      </c>
      <c r="C452" s="253" t="s">
        <v>8</v>
      </c>
      <c r="D452" s="253" t="s">
        <v>40</v>
      </c>
      <c r="E452" s="253" t="s">
        <v>41</v>
      </c>
      <c r="F452" s="253" t="s">
        <v>42</v>
      </c>
      <c r="G452" s="251" t="s">
        <v>866</v>
      </c>
      <c r="H452" s="251" t="s">
        <v>2</v>
      </c>
    </row>
    <row r="453" spans="1:8" x14ac:dyDescent="0.3">
      <c r="A453" s="253" t="s">
        <v>106</v>
      </c>
      <c r="B453" s="253" t="s">
        <v>107</v>
      </c>
      <c r="C453" s="253" t="s">
        <v>8</v>
      </c>
      <c r="D453" s="253" t="s">
        <v>40</v>
      </c>
      <c r="E453" s="253" t="s">
        <v>41</v>
      </c>
      <c r="F453" s="253" t="s">
        <v>42</v>
      </c>
      <c r="G453" s="251" t="s">
        <v>863</v>
      </c>
      <c r="H453" s="251" t="s">
        <v>5</v>
      </c>
    </row>
    <row r="454" spans="1:8" x14ac:dyDescent="0.3">
      <c r="A454" s="253" t="s">
        <v>964</v>
      </c>
      <c r="B454" s="253" t="s">
        <v>329</v>
      </c>
      <c r="C454" s="253" t="s">
        <v>84</v>
      </c>
      <c r="D454" s="253" t="s">
        <v>289</v>
      </c>
      <c r="E454" s="253" t="s">
        <v>896</v>
      </c>
      <c r="F454" s="253" t="s">
        <v>42</v>
      </c>
      <c r="G454" s="251" t="s">
        <v>869</v>
      </c>
      <c r="H454" s="251" t="s">
        <v>4</v>
      </c>
    </row>
    <row r="455" spans="1:8" x14ac:dyDescent="0.3">
      <c r="A455" s="253" t="s">
        <v>964</v>
      </c>
      <c r="B455" s="253" t="s">
        <v>329</v>
      </c>
      <c r="C455" s="253" t="s">
        <v>84</v>
      </c>
      <c r="D455" s="253" t="s">
        <v>289</v>
      </c>
      <c r="E455" s="253" t="s">
        <v>896</v>
      </c>
      <c r="F455" s="253" t="s">
        <v>42</v>
      </c>
      <c r="G455" s="251" t="s">
        <v>870</v>
      </c>
      <c r="H455" s="251" t="s">
        <v>4</v>
      </c>
    </row>
    <row r="456" spans="1:8" x14ac:dyDescent="0.3">
      <c r="A456" s="253" t="s">
        <v>964</v>
      </c>
      <c r="B456" s="253" t="s">
        <v>329</v>
      </c>
      <c r="C456" s="253" t="s">
        <v>84</v>
      </c>
      <c r="D456" s="253" t="s">
        <v>289</v>
      </c>
      <c r="E456" s="253" t="s">
        <v>896</v>
      </c>
      <c r="F456" s="253" t="s">
        <v>42</v>
      </c>
      <c r="G456" s="251" t="s">
        <v>871</v>
      </c>
      <c r="H456" s="251" t="s">
        <v>4</v>
      </c>
    </row>
    <row r="457" spans="1:8" x14ac:dyDescent="0.3">
      <c r="A457" s="253" t="s">
        <v>964</v>
      </c>
      <c r="B457" s="253" t="s">
        <v>329</v>
      </c>
      <c r="C457" s="253" t="s">
        <v>84</v>
      </c>
      <c r="D457" s="253" t="s">
        <v>289</v>
      </c>
      <c r="E457" s="253" t="s">
        <v>896</v>
      </c>
      <c r="F457" s="253" t="s">
        <v>42</v>
      </c>
      <c r="G457" s="251" t="s">
        <v>863</v>
      </c>
      <c r="H457" s="251" t="s">
        <v>5</v>
      </c>
    </row>
    <row r="458" spans="1:8" x14ac:dyDescent="0.3">
      <c r="A458" s="253" t="s">
        <v>64</v>
      </c>
      <c r="B458" s="253" t="s">
        <v>65</v>
      </c>
      <c r="C458" s="253" t="s">
        <v>8</v>
      </c>
      <c r="D458" s="253" t="s">
        <v>45</v>
      </c>
      <c r="E458" s="253" t="s">
        <v>41</v>
      </c>
      <c r="F458" s="253" t="s">
        <v>42</v>
      </c>
      <c r="G458" s="251" t="s">
        <v>864</v>
      </c>
      <c r="H458" s="251" t="s">
        <v>5</v>
      </c>
    </row>
    <row r="459" spans="1:8" x14ac:dyDescent="0.3">
      <c r="A459" s="253" t="s">
        <v>64</v>
      </c>
      <c r="B459" s="253" t="s">
        <v>65</v>
      </c>
      <c r="C459" s="253" t="s">
        <v>8</v>
      </c>
      <c r="D459" s="253" t="s">
        <v>45</v>
      </c>
      <c r="E459" s="253" t="s">
        <v>41</v>
      </c>
      <c r="F459" s="253" t="s">
        <v>42</v>
      </c>
      <c r="G459" s="251" t="s">
        <v>865</v>
      </c>
      <c r="H459" s="251" t="s">
        <v>5</v>
      </c>
    </row>
    <row r="460" spans="1:8" x14ac:dyDescent="0.3">
      <c r="A460" s="253" t="s">
        <v>64</v>
      </c>
      <c r="B460" s="253" t="s">
        <v>65</v>
      </c>
      <c r="C460" s="253" t="s">
        <v>8</v>
      </c>
      <c r="D460" s="253" t="s">
        <v>45</v>
      </c>
      <c r="E460" s="253" t="s">
        <v>41</v>
      </c>
      <c r="F460" s="253" t="s">
        <v>42</v>
      </c>
      <c r="G460" s="251" t="s">
        <v>867</v>
      </c>
      <c r="H460" s="251" t="s">
        <v>5</v>
      </c>
    </row>
    <row r="461" spans="1:8" x14ac:dyDescent="0.3">
      <c r="A461" s="253" t="s">
        <v>64</v>
      </c>
      <c r="B461" s="253" t="s">
        <v>65</v>
      </c>
      <c r="C461" s="253" t="s">
        <v>8</v>
      </c>
      <c r="D461" s="253" t="s">
        <v>45</v>
      </c>
      <c r="E461" s="253" t="s">
        <v>41</v>
      </c>
      <c r="F461" s="253" t="s">
        <v>42</v>
      </c>
      <c r="G461" s="251" t="s">
        <v>863</v>
      </c>
      <c r="H461" s="251" t="s">
        <v>6</v>
      </c>
    </row>
    <row r="462" spans="1:8" x14ac:dyDescent="0.3">
      <c r="A462" s="253" t="s">
        <v>278</v>
      </c>
      <c r="B462" s="253" t="s">
        <v>935</v>
      </c>
      <c r="C462" s="253" t="s">
        <v>84</v>
      </c>
      <c r="D462" s="253" t="s">
        <v>240</v>
      </c>
      <c r="E462" s="253" t="s">
        <v>896</v>
      </c>
      <c r="F462" s="253" t="s">
        <v>94</v>
      </c>
      <c r="G462" s="251" t="s">
        <v>868</v>
      </c>
      <c r="H462" s="251" t="s">
        <v>8</v>
      </c>
    </row>
    <row r="463" spans="1:8" x14ac:dyDescent="0.3">
      <c r="A463" s="253" t="s">
        <v>278</v>
      </c>
      <c r="B463" s="253" t="s">
        <v>935</v>
      </c>
      <c r="C463" s="253" t="s">
        <v>84</v>
      </c>
      <c r="D463" s="253" t="s">
        <v>240</v>
      </c>
      <c r="E463" s="253" t="s">
        <v>896</v>
      </c>
      <c r="F463" s="253" t="s">
        <v>94</v>
      </c>
      <c r="G463" s="251" t="s">
        <v>869</v>
      </c>
      <c r="H463" s="251" t="s">
        <v>4</v>
      </c>
    </row>
    <row r="464" spans="1:8" x14ac:dyDescent="0.3">
      <c r="A464" s="253" t="s">
        <v>278</v>
      </c>
      <c r="B464" s="253" t="s">
        <v>935</v>
      </c>
      <c r="C464" s="253" t="s">
        <v>84</v>
      </c>
      <c r="D464" s="253" t="s">
        <v>240</v>
      </c>
      <c r="E464" s="253" t="s">
        <v>896</v>
      </c>
      <c r="F464" s="253" t="s">
        <v>94</v>
      </c>
      <c r="G464" s="251" t="s">
        <v>870</v>
      </c>
      <c r="H464" s="251" t="s">
        <v>5</v>
      </c>
    </row>
    <row r="465" spans="1:8" x14ac:dyDescent="0.3">
      <c r="A465" s="253" t="s">
        <v>278</v>
      </c>
      <c r="B465" s="253" t="s">
        <v>935</v>
      </c>
      <c r="C465" s="253" t="s">
        <v>84</v>
      </c>
      <c r="D465" s="253" t="s">
        <v>240</v>
      </c>
      <c r="E465" s="253" t="s">
        <v>896</v>
      </c>
      <c r="F465" s="253" t="s">
        <v>94</v>
      </c>
      <c r="G465" s="251" t="s">
        <v>863</v>
      </c>
      <c r="H465" s="251" t="s">
        <v>6</v>
      </c>
    </row>
    <row r="466" spans="1:8" x14ac:dyDescent="0.3">
      <c r="A466" s="253" t="s">
        <v>965</v>
      </c>
      <c r="B466" s="253" t="s">
        <v>330</v>
      </c>
      <c r="C466" s="253" t="s">
        <v>84</v>
      </c>
      <c r="D466" s="253" t="s">
        <v>289</v>
      </c>
      <c r="E466" s="253" t="s">
        <v>896</v>
      </c>
      <c r="F466" s="253" t="s">
        <v>42</v>
      </c>
      <c r="G466" s="251" t="s">
        <v>869</v>
      </c>
      <c r="H466" s="251" t="s">
        <v>5</v>
      </c>
    </row>
    <row r="467" spans="1:8" x14ac:dyDescent="0.3">
      <c r="A467" s="253" t="s">
        <v>965</v>
      </c>
      <c r="B467" s="253" t="s">
        <v>330</v>
      </c>
      <c r="C467" s="253" t="s">
        <v>84</v>
      </c>
      <c r="D467" s="253" t="s">
        <v>289</v>
      </c>
      <c r="E467" s="253" t="s">
        <v>896</v>
      </c>
      <c r="F467" s="253" t="s">
        <v>42</v>
      </c>
      <c r="G467" s="251" t="s">
        <v>870</v>
      </c>
      <c r="H467" s="251" t="s">
        <v>8</v>
      </c>
    </row>
    <row r="468" spans="1:8" x14ac:dyDescent="0.3">
      <c r="A468" s="253" t="s">
        <v>965</v>
      </c>
      <c r="B468" s="253" t="s">
        <v>330</v>
      </c>
      <c r="C468" s="253" t="s">
        <v>84</v>
      </c>
      <c r="D468" s="253" t="s">
        <v>289</v>
      </c>
      <c r="E468" s="253" t="s">
        <v>896</v>
      </c>
      <c r="F468" s="253" t="s">
        <v>42</v>
      </c>
      <c r="G468" s="251" t="s">
        <v>871</v>
      </c>
      <c r="H468" s="251" t="s">
        <v>4</v>
      </c>
    </row>
    <row r="469" spans="1:8" x14ac:dyDescent="0.3">
      <c r="A469" s="253" t="s">
        <v>965</v>
      </c>
      <c r="B469" s="253" t="s">
        <v>330</v>
      </c>
      <c r="C469" s="253" t="s">
        <v>84</v>
      </c>
      <c r="D469" s="253" t="s">
        <v>289</v>
      </c>
      <c r="E469" s="253" t="s">
        <v>896</v>
      </c>
      <c r="F469" s="253" t="s">
        <v>42</v>
      </c>
      <c r="G469" s="251" t="s">
        <v>863</v>
      </c>
      <c r="H469" s="251" t="s">
        <v>8</v>
      </c>
    </row>
    <row r="470" spans="1:8" x14ac:dyDescent="0.3">
      <c r="A470" s="253" t="s">
        <v>275</v>
      </c>
      <c r="B470" s="253" t="s">
        <v>932</v>
      </c>
      <c r="C470" s="253" t="s">
        <v>84</v>
      </c>
      <c r="D470" s="253" t="s">
        <v>240</v>
      </c>
      <c r="E470" s="253" t="s">
        <v>896</v>
      </c>
      <c r="F470" s="253" t="s">
        <v>94</v>
      </c>
      <c r="G470" s="251" t="s">
        <v>868</v>
      </c>
      <c r="H470" s="251" t="s">
        <v>6</v>
      </c>
    </row>
    <row r="471" spans="1:8" x14ac:dyDescent="0.3">
      <c r="A471" s="253" t="s">
        <v>275</v>
      </c>
      <c r="B471" s="253" t="s">
        <v>932</v>
      </c>
      <c r="C471" s="253" t="s">
        <v>84</v>
      </c>
      <c r="D471" s="253" t="s">
        <v>240</v>
      </c>
      <c r="E471" s="253" t="s">
        <v>896</v>
      </c>
      <c r="F471" s="253" t="s">
        <v>94</v>
      </c>
      <c r="G471" s="251" t="s">
        <v>869</v>
      </c>
      <c r="H471" s="251" t="s">
        <v>5</v>
      </c>
    </row>
    <row r="472" spans="1:8" x14ac:dyDescent="0.3">
      <c r="A472" s="253" t="s">
        <v>275</v>
      </c>
      <c r="B472" s="253" t="s">
        <v>932</v>
      </c>
      <c r="C472" s="253" t="s">
        <v>84</v>
      </c>
      <c r="D472" s="253" t="s">
        <v>240</v>
      </c>
      <c r="E472" s="253" t="s">
        <v>896</v>
      </c>
      <c r="F472" s="253" t="s">
        <v>94</v>
      </c>
      <c r="G472" s="251" t="s">
        <v>870</v>
      </c>
      <c r="H472" s="251" t="s">
        <v>5</v>
      </c>
    </row>
    <row r="473" spans="1:8" x14ac:dyDescent="0.3">
      <c r="A473" s="253" t="s">
        <v>275</v>
      </c>
      <c r="B473" s="253" t="s">
        <v>932</v>
      </c>
      <c r="C473" s="253" t="s">
        <v>84</v>
      </c>
      <c r="D473" s="253" t="s">
        <v>240</v>
      </c>
      <c r="E473" s="253" t="s">
        <v>896</v>
      </c>
      <c r="F473" s="253" t="s">
        <v>94</v>
      </c>
      <c r="G473" s="251" t="s">
        <v>863</v>
      </c>
      <c r="H473" s="251" t="s">
        <v>8</v>
      </c>
    </row>
    <row r="474" spans="1:8" x14ac:dyDescent="0.3">
      <c r="A474" s="253" t="s">
        <v>232</v>
      </c>
      <c r="B474" s="253" t="s">
        <v>918</v>
      </c>
      <c r="C474" s="253" t="s">
        <v>84</v>
      </c>
      <c r="D474" s="253" t="s">
        <v>194</v>
      </c>
      <c r="E474" s="253" t="s">
        <v>896</v>
      </c>
      <c r="F474" s="253" t="s">
        <v>94</v>
      </c>
      <c r="G474" s="251" t="s">
        <v>868</v>
      </c>
      <c r="H474" s="251" t="s">
        <v>4</v>
      </c>
    </row>
    <row r="475" spans="1:8" x14ac:dyDescent="0.3">
      <c r="A475" s="253" t="s">
        <v>232</v>
      </c>
      <c r="B475" s="253" t="s">
        <v>918</v>
      </c>
      <c r="C475" s="253" t="s">
        <v>84</v>
      </c>
      <c r="D475" s="253" t="s">
        <v>194</v>
      </c>
      <c r="E475" s="253" t="s">
        <v>896</v>
      </c>
      <c r="F475" s="253" t="s">
        <v>94</v>
      </c>
      <c r="G475" s="251" t="s">
        <v>869</v>
      </c>
      <c r="H475" s="251" t="s">
        <v>5</v>
      </c>
    </row>
    <row r="476" spans="1:8" x14ac:dyDescent="0.3">
      <c r="A476" s="253" t="s">
        <v>232</v>
      </c>
      <c r="B476" s="253" t="s">
        <v>918</v>
      </c>
      <c r="C476" s="253" t="s">
        <v>84</v>
      </c>
      <c r="D476" s="253" t="s">
        <v>194</v>
      </c>
      <c r="E476" s="253" t="s">
        <v>896</v>
      </c>
      <c r="F476" s="253" t="s">
        <v>94</v>
      </c>
      <c r="G476" s="251" t="s">
        <v>873</v>
      </c>
      <c r="H476" s="251" t="s">
        <v>4</v>
      </c>
    </row>
    <row r="477" spans="1:8" x14ac:dyDescent="0.3">
      <c r="A477" s="253" t="s">
        <v>232</v>
      </c>
      <c r="B477" s="253" t="s">
        <v>918</v>
      </c>
      <c r="C477" s="253" t="s">
        <v>84</v>
      </c>
      <c r="D477" s="253" t="s">
        <v>194</v>
      </c>
      <c r="E477" s="253" t="s">
        <v>896</v>
      </c>
      <c r="F477" s="253" t="s">
        <v>94</v>
      </c>
      <c r="G477" s="251" t="s">
        <v>863</v>
      </c>
      <c r="H477" s="251" t="s">
        <v>5</v>
      </c>
    </row>
    <row r="478" spans="1:8" x14ac:dyDescent="0.3">
      <c r="A478" s="253" t="s">
        <v>108</v>
      </c>
      <c r="B478" s="253" t="s">
        <v>109</v>
      </c>
      <c r="C478" s="253" t="s">
        <v>8</v>
      </c>
      <c r="D478" s="253" t="s">
        <v>40</v>
      </c>
      <c r="E478" s="253" t="s">
        <v>41</v>
      </c>
      <c r="F478" s="253" t="s">
        <v>42</v>
      </c>
      <c r="G478" s="251" t="s">
        <v>864</v>
      </c>
      <c r="H478" s="251" t="s">
        <v>5</v>
      </c>
    </row>
    <row r="479" spans="1:8" x14ac:dyDescent="0.3">
      <c r="A479" s="253" t="s">
        <v>108</v>
      </c>
      <c r="B479" s="253" t="s">
        <v>109</v>
      </c>
      <c r="C479" s="253" t="s">
        <v>8</v>
      </c>
      <c r="D479" s="253" t="s">
        <v>40</v>
      </c>
      <c r="E479" s="253" t="s">
        <v>41</v>
      </c>
      <c r="F479" s="253" t="s">
        <v>42</v>
      </c>
      <c r="G479" s="251" t="s">
        <v>865</v>
      </c>
      <c r="H479" s="251" t="s">
        <v>4</v>
      </c>
    </row>
    <row r="480" spans="1:8" x14ac:dyDescent="0.3">
      <c r="A480" s="253" t="s">
        <v>108</v>
      </c>
      <c r="B480" s="253" t="s">
        <v>109</v>
      </c>
      <c r="C480" s="253" t="s">
        <v>8</v>
      </c>
      <c r="D480" s="253" t="s">
        <v>40</v>
      </c>
      <c r="E480" s="253" t="s">
        <v>41</v>
      </c>
      <c r="F480" s="253" t="s">
        <v>42</v>
      </c>
      <c r="G480" s="251" t="s">
        <v>866</v>
      </c>
      <c r="H480" s="251" t="s">
        <v>2</v>
      </c>
    </row>
    <row r="481" spans="1:8" x14ac:dyDescent="0.3">
      <c r="A481" s="253" t="s">
        <v>108</v>
      </c>
      <c r="B481" s="253" t="s">
        <v>109</v>
      </c>
      <c r="C481" s="253" t="s">
        <v>8</v>
      </c>
      <c r="D481" s="253" t="s">
        <v>40</v>
      </c>
      <c r="E481" s="253" t="s">
        <v>41</v>
      </c>
      <c r="F481" s="253" t="s">
        <v>42</v>
      </c>
      <c r="G481" s="251" t="s">
        <v>863</v>
      </c>
      <c r="H481" s="251" t="s">
        <v>7</v>
      </c>
    </row>
    <row r="482" spans="1:8" x14ac:dyDescent="0.3">
      <c r="A482" s="253" t="s">
        <v>302</v>
      </c>
      <c r="B482" s="253" t="s">
        <v>303</v>
      </c>
      <c r="C482" s="253" t="s">
        <v>8</v>
      </c>
      <c r="D482" s="253" t="s">
        <v>304</v>
      </c>
      <c r="E482" s="253" t="s">
        <v>895</v>
      </c>
      <c r="F482" s="253" t="s">
        <v>42</v>
      </c>
      <c r="G482" s="251" t="s">
        <v>875</v>
      </c>
      <c r="H482" s="251" t="s">
        <v>8</v>
      </c>
    </row>
    <row r="483" spans="1:8" x14ac:dyDescent="0.3">
      <c r="A483" s="253" t="s">
        <v>302</v>
      </c>
      <c r="B483" s="253" t="s">
        <v>303</v>
      </c>
      <c r="C483" s="253" t="s">
        <v>8</v>
      </c>
      <c r="D483" s="253" t="s">
        <v>304</v>
      </c>
      <c r="E483" s="253" t="s">
        <v>895</v>
      </c>
      <c r="F483" s="253" t="s">
        <v>42</v>
      </c>
      <c r="G483" s="251" t="s">
        <v>876</v>
      </c>
      <c r="H483" s="251" t="s">
        <v>8</v>
      </c>
    </row>
    <row r="484" spans="1:8" x14ac:dyDescent="0.3">
      <c r="A484" s="253" t="s">
        <v>302</v>
      </c>
      <c r="B484" s="253" t="s">
        <v>303</v>
      </c>
      <c r="C484" s="253" t="s">
        <v>8</v>
      </c>
      <c r="D484" s="253" t="s">
        <v>304</v>
      </c>
      <c r="E484" s="253" t="s">
        <v>895</v>
      </c>
      <c r="F484" s="253" t="s">
        <v>42</v>
      </c>
      <c r="G484" s="251" t="s">
        <v>877</v>
      </c>
      <c r="H484" s="251" t="s">
        <v>8</v>
      </c>
    </row>
    <row r="485" spans="1:8" x14ac:dyDescent="0.3">
      <c r="A485" s="253" t="s">
        <v>302</v>
      </c>
      <c r="B485" s="253" t="s">
        <v>303</v>
      </c>
      <c r="C485" s="253" t="s">
        <v>8</v>
      </c>
      <c r="D485" s="253" t="s">
        <v>304</v>
      </c>
      <c r="E485" s="253" t="s">
        <v>895</v>
      </c>
      <c r="F485" s="253" t="s">
        <v>42</v>
      </c>
      <c r="G485" s="251" t="s">
        <v>863</v>
      </c>
      <c r="H485" s="251" t="s">
        <v>6</v>
      </c>
    </row>
    <row r="486" spans="1:8" x14ac:dyDescent="0.3">
      <c r="A486" s="253" t="s">
        <v>980</v>
      </c>
      <c r="B486" s="253" t="s">
        <v>338</v>
      </c>
      <c r="C486" s="253" t="s">
        <v>8</v>
      </c>
      <c r="D486" s="253" t="s">
        <v>978</v>
      </c>
      <c r="E486" s="253" t="s">
        <v>896</v>
      </c>
      <c r="F486" s="253" t="s">
        <v>42</v>
      </c>
      <c r="G486" s="251" t="s">
        <v>868</v>
      </c>
      <c r="H486" s="251" t="s">
        <v>8</v>
      </c>
    </row>
    <row r="487" spans="1:8" x14ac:dyDescent="0.3">
      <c r="A487" s="253" t="s">
        <v>980</v>
      </c>
      <c r="B487" s="253" t="s">
        <v>338</v>
      </c>
      <c r="C487" s="253" t="s">
        <v>8</v>
      </c>
      <c r="D487" s="253" t="s">
        <v>978</v>
      </c>
      <c r="E487" s="253" t="s">
        <v>896</v>
      </c>
      <c r="F487" s="253" t="s">
        <v>42</v>
      </c>
      <c r="G487" s="251" t="s">
        <v>873</v>
      </c>
      <c r="H487" s="251" t="s">
        <v>5</v>
      </c>
    </row>
    <row r="488" spans="1:8" x14ac:dyDescent="0.3">
      <c r="A488" s="253" t="s">
        <v>980</v>
      </c>
      <c r="B488" s="253" t="s">
        <v>338</v>
      </c>
      <c r="C488" s="253" t="s">
        <v>8</v>
      </c>
      <c r="D488" s="253" t="s">
        <v>978</v>
      </c>
      <c r="E488" s="253" t="s">
        <v>896</v>
      </c>
      <c r="F488" s="253" t="s">
        <v>42</v>
      </c>
      <c r="G488" s="251" t="s">
        <v>874</v>
      </c>
      <c r="H488" s="251" t="s">
        <v>5</v>
      </c>
    </row>
    <row r="489" spans="1:8" x14ac:dyDescent="0.3">
      <c r="A489" s="253" t="s">
        <v>980</v>
      </c>
      <c r="B489" s="253" t="s">
        <v>338</v>
      </c>
      <c r="C489" s="253" t="s">
        <v>8</v>
      </c>
      <c r="D489" s="253" t="s">
        <v>978</v>
      </c>
      <c r="E489" s="253" t="s">
        <v>896</v>
      </c>
      <c r="F489" s="253" t="s">
        <v>42</v>
      </c>
      <c r="G489" s="251" t="s">
        <v>863</v>
      </c>
      <c r="H489" s="251" t="s">
        <v>6</v>
      </c>
    </row>
    <row r="490" spans="1:8" x14ac:dyDescent="0.3">
      <c r="A490" s="253" t="s">
        <v>257</v>
      </c>
      <c r="B490" s="253" t="s">
        <v>930</v>
      </c>
      <c r="C490" s="253" t="s">
        <v>8</v>
      </c>
      <c r="D490" s="253" t="s">
        <v>240</v>
      </c>
      <c r="E490" s="253" t="s">
        <v>896</v>
      </c>
      <c r="F490" s="253" t="s">
        <v>94</v>
      </c>
      <c r="G490" s="251" t="s">
        <v>868</v>
      </c>
      <c r="H490" s="251" t="s">
        <v>6</v>
      </c>
    </row>
    <row r="491" spans="1:8" x14ac:dyDescent="0.3">
      <c r="A491" s="253" t="s">
        <v>257</v>
      </c>
      <c r="B491" s="253" t="s">
        <v>930</v>
      </c>
      <c r="C491" s="253" t="s">
        <v>8</v>
      </c>
      <c r="D491" s="253" t="s">
        <v>240</v>
      </c>
      <c r="E491" s="253" t="s">
        <v>896</v>
      </c>
      <c r="F491" s="253" t="s">
        <v>94</v>
      </c>
      <c r="G491" s="251" t="s">
        <v>869</v>
      </c>
      <c r="H491" s="251" t="s">
        <v>5</v>
      </c>
    </row>
    <row r="492" spans="1:8" x14ac:dyDescent="0.3">
      <c r="A492" s="253" t="s">
        <v>257</v>
      </c>
      <c r="B492" s="253" t="s">
        <v>930</v>
      </c>
      <c r="C492" s="253" t="s">
        <v>8</v>
      </c>
      <c r="D492" s="253" t="s">
        <v>240</v>
      </c>
      <c r="E492" s="253" t="s">
        <v>896</v>
      </c>
      <c r="F492" s="253" t="s">
        <v>94</v>
      </c>
      <c r="G492" s="251" t="s">
        <v>870</v>
      </c>
      <c r="H492" s="251" t="s">
        <v>8</v>
      </c>
    </row>
    <row r="493" spans="1:8" x14ac:dyDescent="0.3">
      <c r="A493" s="253" t="s">
        <v>257</v>
      </c>
      <c r="B493" s="253" t="s">
        <v>930</v>
      </c>
      <c r="C493" s="253" t="s">
        <v>8</v>
      </c>
      <c r="D493" s="253" t="s">
        <v>240</v>
      </c>
      <c r="E493" s="253" t="s">
        <v>896</v>
      </c>
      <c r="F493" s="253" t="s">
        <v>94</v>
      </c>
      <c r="G493" s="251" t="s">
        <v>863</v>
      </c>
      <c r="H493" s="251" t="s">
        <v>6</v>
      </c>
    </row>
    <row r="494" spans="1:8" x14ac:dyDescent="0.3">
      <c r="A494" s="253" t="s">
        <v>967</v>
      </c>
      <c r="B494" s="253" t="s">
        <v>332</v>
      </c>
      <c r="C494" s="253" t="s">
        <v>84</v>
      </c>
      <c r="D494" s="253" t="s">
        <v>289</v>
      </c>
      <c r="E494" s="253" t="s">
        <v>896</v>
      </c>
      <c r="F494" s="253" t="s">
        <v>42</v>
      </c>
      <c r="G494" s="251" t="s">
        <v>869</v>
      </c>
      <c r="H494" s="251" t="s">
        <v>6</v>
      </c>
    </row>
    <row r="495" spans="1:8" x14ac:dyDescent="0.3">
      <c r="A495" s="253" t="s">
        <v>967</v>
      </c>
      <c r="B495" s="253" t="s">
        <v>332</v>
      </c>
      <c r="C495" s="253" t="s">
        <v>84</v>
      </c>
      <c r="D495" s="253" t="s">
        <v>289</v>
      </c>
      <c r="E495" s="253" t="s">
        <v>896</v>
      </c>
      <c r="F495" s="253" t="s">
        <v>42</v>
      </c>
      <c r="G495" s="251" t="s">
        <v>870</v>
      </c>
      <c r="H495" s="251" t="s">
        <v>4</v>
      </c>
    </row>
    <row r="496" spans="1:8" x14ac:dyDescent="0.3">
      <c r="A496" s="253" t="s">
        <v>967</v>
      </c>
      <c r="B496" s="253" t="s">
        <v>332</v>
      </c>
      <c r="C496" s="253" t="s">
        <v>84</v>
      </c>
      <c r="D496" s="253" t="s">
        <v>289</v>
      </c>
      <c r="E496" s="253" t="s">
        <v>896</v>
      </c>
      <c r="F496" s="253" t="s">
        <v>42</v>
      </c>
      <c r="G496" s="251" t="s">
        <v>871</v>
      </c>
      <c r="H496" s="251" t="s">
        <v>4</v>
      </c>
    </row>
    <row r="497" spans="1:8" x14ac:dyDescent="0.3">
      <c r="A497" s="253" t="s">
        <v>967</v>
      </c>
      <c r="B497" s="253" t="s">
        <v>332</v>
      </c>
      <c r="C497" s="253" t="s">
        <v>84</v>
      </c>
      <c r="D497" s="253" t="s">
        <v>289</v>
      </c>
      <c r="E497" s="253" t="s">
        <v>896</v>
      </c>
      <c r="F497" s="253" t="s">
        <v>42</v>
      </c>
      <c r="G497" s="251" t="s">
        <v>863</v>
      </c>
      <c r="H497" s="251" t="s">
        <v>6</v>
      </c>
    </row>
    <row r="498" spans="1:8" x14ac:dyDescent="0.3">
      <c r="A498" s="253" t="s">
        <v>102</v>
      </c>
      <c r="B498" s="253" t="s">
        <v>103</v>
      </c>
      <c r="C498" s="253" t="s">
        <v>8</v>
      </c>
      <c r="D498" s="253" t="s">
        <v>40</v>
      </c>
      <c r="E498" s="253" t="s">
        <v>41</v>
      </c>
      <c r="F498" s="253" t="s">
        <v>42</v>
      </c>
      <c r="G498" s="251" t="s">
        <v>864</v>
      </c>
      <c r="H498" s="251" t="s">
        <v>5</v>
      </c>
    </row>
    <row r="499" spans="1:8" x14ac:dyDescent="0.3">
      <c r="A499" s="253" t="s">
        <v>102</v>
      </c>
      <c r="B499" s="253" t="s">
        <v>103</v>
      </c>
      <c r="C499" s="253" t="s">
        <v>8</v>
      </c>
      <c r="D499" s="253" t="s">
        <v>40</v>
      </c>
      <c r="E499" s="253" t="s">
        <v>41</v>
      </c>
      <c r="F499" s="253" t="s">
        <v>42</v>
      </c>
      <c r="G499" s="251" t="s">
        <v>865</v>
      </c>
      <c r="H499" s="251" t="s">
        <v>4</v>
      </c>
    </row>
    <row r="500" spans="1:8" x14ac:dyDescent="0.3">
      <c r="A500" s="253" t="s">
        <v>102</v>
      </c>
      <c r="B500" s="253" t="s">
        <v>103</v>
      </c>
      <c r="C500" s="253" t="s">
        <v>8</v>
      </c>
      <c r="D500" s="253" t="s">
        <v>40</v>
      </c>
      <c r="E500" s="253" t="s">
        <v>41</v>
      </c>
      <c r="F500" s="253" t="s">
        <v>42</v>
      </c>
      <c r="G500" s="251" t="s">
        <v>866</v>
      </c>
      <c r="H500" s="251" t="s">
        <v>2</v>
      </c>
    </row>
    <row r="501" spans="1:8" x14ac:dyDescent="0.3">
      <c r="A501" s="253" t="s">
        <v>102</v>
      </c>
      <c r="B501" s="253" t="s">
        <v>103</v>
      </c>
      <c r="C501" s="253" t="s">
        <v>8</v>
      </c>
      <c r="D501" s="253" t="s">
        <v>40</v>
      </c>
      <c r="E501" s="253" t="s">
        <v>41</v>
      </c>
      <c r="F501" s="253" t="s">
        <v>42</v>
      </c>
      <c r="G501" s="251" t="s">
        <v>863</v>
      </c>
      <c r="H501" s="251" t="s">
        <v>6</v>
      </c>
    </row>
    <row r="502" spans="1:8" x14ac:dyDescent="0.3">
      <c r="A502" s="253" t="s">
        <v>207</v>
      </c>
      <c r="B502" s="253" t="s">
        <v>208</v>
      </c>
      <c r="C502" s="253" t="s">
        <v>8</v>
      </c>
      <c r="D502" s="253" t="s">
        <v>194</v>
      </c>
      <c r="E502" s="253" t="s">
        <v>896</v>
      </c>
      <c r="F502" s="253" t="s">
        <v>42</v>
      </c>
      <c r="G502" s="251" t="s">
        <v>868</v>
      </c>
      <c r="H502" s="251" t="s">
        <v>4</v>
      </c>
    </row>
    <row r="503" spans="1:8" x14ac:dyDescent="0.3">
      <c r="A503" s="253" t="s">
        <v>207</v>
      </c>
      <c r="B503" s="253" t="s">
        <v>208</v>
      </c>
      <c r="C503" s="253" t="s">
        <v>8</v>
      </c>
      <c r="D503" s="253" t="s">
        <v>194</v>
      </c>
      <c r="E503" s="253" t="s">
        <v>896</v>
      </c>
      <c r="F503" s="253" t="s">
        <v>42</v>
      </c>
      <c r="G503" s="251" t="s">
        <v>869</v>
      </c>
      <c r="H503" s="251" t="s">
        <v>4</v>
      </c>
    </row>
    <row r="504" spans="1:8" x14ac:dyDescent="0.3">
      <c r="A504" s="253" t="s">
        <v>207</v>
      </c>
      <c r="B504" s="253" t="s">
        <v>208</v>
      </c>
      <c r="C504" s="253" t="s">
        <v>8</v>
      </c>
      <c r="D504" s="253" t="s">
        <v>194</v>
      </c>
      <c r="E504" s="253" t="s">
        <v>896</v>
      </c>
      <c r="F504" s="253" t="s">
        <v>42</v>
      </c>
      <c r="G504" s="251" t="s">
        <v>873</v>
      </c>
      <c r="H504" s="251" t="s">
        <v>6</v>
      </c>
    </row>
    <row r="505" spans="1:8" x14ac:dyDescent="0.3">
      <c r="A505" s="253" t="s">
        <v>207</v>
      </c>
      <c r="B505" s="253" t="s">
        <v>208</v>
      </c>
      <c r="C505" s="253" t="s">
        <v>8</v>
      </c>
      <c r="D505" s="253" t="s">
        <v>194</v>
      </c>
      <c r="E505" s="253" t="s">
        <v>896</v>
      </c>
      <c r="F505" s="253" t="s">
        <v>42</v>
      </c>
      <c r="G505" s="251" t="s">
        <v>863</v>
      </c>
      <c r="H505" s="251" t="s">
        <v>6</v>
      </c>
    </row>
    <row r="506" spans="1:8" x14ac:dyDescent="0.3">
      <c r="A506" s="253" t="s">
        <v>123</v>
      </c>
      <c r="B506" s="253" t="s">
        <v>124</v>
      </c>
      <c r="C506" s="253" t="s">
        <v>8</v>
      </c>
      <c r="D506" s="253" t="s">
        <v>40</v>
      </c>
      <c r="E506" s="253" t="s">
        <v>41</v>
      </c>
      <c r="F506" s="253" t="s">
        <v>42</v>
      </c>
      <c r="G506" s="251" t="s">
        <v>864</v>
      </c>
      <c r="H506" s="251" t="s">
        <v>6</v>
      </c>
    </row>
    <row r="507" spans="1:8" x14ac:dyDescent="0.3">
      <c r="A507" s="253" t="s">
        <v>123</v>
      </c>
      <c r="B507" s="253" t="s">
        <v>124</v>
      </c>
      <c r="C507" s="253" t="s">
        <v>8</v>
      </c>
      <c r="D507" s="253" t="s">
        <v>40</v>
      </c>
      <c r="E507" s="253" t="s">
        <v>41</v>
      </c>
      <c r="F507" s="253" t="s">
        <v>42</v>
      </c>
      <c r="G507" s="251" t="s">
        <v>865</v>
      </c>
      <c r="H507" s="251" t="s">
        <v>5</v>
      </c>
    </row>
    <row r="508" spans="1:8" x14ac:dyDescent="0.3">
      <c r="A508" s="253" t="s">
        <v>123</v>
      </c>
      <c r="B508" s="253" t="s">
        <v>124</v>
      </c>
      <c r="C508" s="253" t="s">
        <v>8</v>
      </c>
      <c r="D508" s="253" t="s">
        <v>40</v>
      </c>
      <c r="E508" s="253" t="s">
        <v>41</v>
      </c>
      <c r="F508" s="253" t="s">
        <v>42</v>
      </c>
      <c r="G508" s="251" t="s">
        <v>866</v>
      </c>
      <c r="H508" s="251" t="s">
        <v>2</v>
      </c>
    </row>
    <row r="509" spans="1:8" x14ac:dyDescent="0.3">
      <c r="A509" s="253" t="s">
        <v>123</v>
      </c>
      <c r="B509" s="253" t="s">
        <v>124</v>
      </c>
      <c r="C509" s="253" t="s">
        <v>8</v>
      </c>
      <c r="D509" s="253" t="s">
        <v>40</v>
      </c>
      <c r="E509" s="253" t="s">
        <v>41</v>
      </c>
      <c r="F509" s="253" t="s">
        <v>42</v>
      </c>
      <c r="G509" s="251" t="s">
        <v>863</v>
      </c>
      <c r="H509" s="251" t="s">
        <v>8</v>
      </c>
    </row>
    <row r="510" spans="1:8" x14ac:dyDescent="0.3">
      <c r="A510" s="253" t="s">
        <v>236</v>
      </c>
      <c r="B510" s="253" t="s">
        <v>920</v>
      </c>
      <c r="C510" s="253" t="s">
        <v>84</v>
      </c>
      <c r="D510" s="253" t="s">
        <v>194</v>
      </c>
      <c r="E510" s="253" t="s">
        <v>896</v>
      </c>
      <c r="F510" s="253" t="s">
        <v>94</v>
      </c>
      <c r="G510" s="251" t="s">
        <v>868</v>
      </c>
      <c r="H510" s="251" t="s">
        <v>4</v>
      </c>
    </row>
    <row r="511" spans="1:8" x14ac:dyDescent="0.3">
      <c r="A511" s="253" t="s">
        <v>236</v>
      </c>
      <c r="B511" s="253" t="s">
        <v>920</v>
      </c>
      <c r="C511" s="253" t="s">
        <v>84</v>
      </c>
      <c r="D511" s="253" t="s">
        <v>194</v>
      </c>
      <c r="E511" s="253" t="s">
        <v>896</v>
      </c>
      <c r="F511" s="253" t="s">
        <v>94</v>
      </c>
      <c r="G511" s="251" t="s">
        <v>869</v>
      </c>
      <c r="H511" s="251" t="s">
        <v>4</v>
      </c>
    </row>
    <row r="512" spans="1:8" x14ac:dyDescent="0.3">
      <c r="A512" s="253" t="s">
        <v>236</v>
      </c>
      <c r="B512" s="253" t="s">
        <v>920</v>
      </c>
      <c r="C512" s="253" t="s">
        <v>84</v>
      </c>
      <c r="D512" s="253" t="s">
        <v>194</v>
      </c>
      <c r="E512" s="253" t="s">
        <v>896</v>
      </c>
      <c r="F512" s="253" t="s">
        <v>94</v>
      </c>
      <c r="G512" s="251" t="s">
        <v>873</v>
      </c>
      <c r="H512" s="251" t="s">
        <v>5</v>
      </c>
    </row>
    <row r="513" spans="1:8" x14ac:dyDescent="0.3">
      <c r="A513" s="253" t="s">
        <v>236</v>
      </c>
      <c r="B513" s="253" t="s">
        <v>920</v>
      </c>
      <c r="C513" s="253" t="s">
        <v>84</v>
      </c>
      <c r="D513" s="253" t="s">
        <v>194</v>
      </c>
      <c r="E513" s="253" t="s">
        <v>896</v>
      </c>
      <c r="F513" s="253" t="s">
        <v>94</v>
      </c>
      <c r="G513" s="251" t="s">
        <v>863</v>
      </c>
      <c r="H513" s="251" t="s">
        <v>6</v>
      </c>
    </row>
    <row r="514" spans="1:8" x14ac:dyDescent="0.3">
      <c r="A514" s="253" t="s">
        <v>211</v>
      </c>
      <c r="B514" s="253" t="s">
        <v>911</v>
      </c>
      <c r="C514" s="253" t="s">
        <v>8</v>
      </c>
      <c r="D514" s="253" t="s">
        <v>194</v>
      </c>
      <c r="E514" s="253" t="s">
        <v>896</v>
      </c>
      <c r="F514" s="253" t="s">
        <v>94</v>
      </c>
      <c r="G514" s="251" t="s">
        <v>868</v>
      </c>
      <c r="H514" s="251" t="s">
        <v>6</v>
      </c>
    </row>
    <row r="515" spans="1:8" x14ac:dyDescent="0.3">
      <c r="A515" s="253" t="s">
        <v>211</v>
      </c>
      <c r="B515" s="253" t="s">
        <v>911</v>
      </c>
      <c r="C515" s="253" t="s">
        <v>8</v>
      </c>
      <c r="D515" s="253" t="s">
        <v>194</v>
      </c>
      <c r="E515" s="253" t="s">
        <v>896</v>
      </c>
      <c r="F515" s="253" t="s">
        <v>94</v>
      </c>
      <c r="G515" s="251" t="s">
        <v>869</v>
      </c>
      <c r="H515" s="251" t="s">
        <v>4</v>
      </c>
    </row>
    <row r="516" spans="1:8" x14ac:dyDescent="0.3">
      <c r="A516" s="253" t="s">
        <v>211</v>
      </c>
      <c r="B516" s="253" t="s">
        <v>911</v>
      </c>
      <c r="C516" s="253" t="s">
        <v>8</v>
      </c>
      <c r="D516" s="253" t="s">
        <v>194</v>
      </c>
      <c r="E516" s="253" t="s">
        <v>896</v>
      </c>
      <c r="F516" s="253" t="s">
        <v>94</v>
      </c>
      <c r="G516" s="251" t="s">
        <v>873</v>
      </c>
      <c r="H516" s="251" t="s">
        <v>5</v>
      </c>
    </row>
    <row r="517" spans="1:8" x14ac:dyDescent="0.3">
      <c r="A517" s="253" t="s">
        <v>211</v>
      </c>
      <c r="B517" s="253" t="s">
        <v>911</v>
      </c>
      <c r="C517" s="253" t="s">
        <v>8</v>
      </c>
      <c r="D517" s="253" t="s">
        <v>194</v>
      </c>
      <c r="E517" s="253" t="s">
        <v>896</v>
      </c>
      <c r="F517" s="253" t="s">
        <v>94</v>
      </c>
      <c r="G517" s="251" t="s">
        <v>863</v>
      </c>
      <c r="H517" s="251" t="s">
        <v>6</v>
      </c>
    </row>
    <row r="518" spans="1:8" x14ac:dyDescent="0.3">
      <c r="A518" s="253" t="s">
        <v>197</v>
      </c>
      <c r="B518" s="253" t="s">
        <v>198</v>
      </c>
      <c r="C518" s="253" t="s">
        <v>8</v>
      </c>
      <c r="D518" s="253" t="s">
        <v>194</v>
      </c>
      <c r="E518" s="253" t="s">
        <v>896</v>
      </c>
      <c r="F518" s="253" t="s">
        <v>42</v>
      </c>
      <c r="G518" s="251" t="s">
        <v>868</v>
      </c>
      <c r="H518" s="251" t="s">
        <v>7</v>
      </c>
    </row>
    <row r="519" spans="1:8" x14ac:dyDescent="0.3">
      <c r="A519" s="253" t="s">
        <v>197</v>
      </c>
      <c r="B519" s="253" t="s">
        <v>198</v>
      </c>
      <c r="C519" s="253" t="s">
        <v>8</v>
      </c>
      <c r="D519" s="253" t="s">
        <v>194</v>
      </c>
      <c r="E519" s="253" t="s">
        <v>896</v>
      </c>
      <c r="F519" s="253" t="s">
        <v>42</v>
      </c>
      <c r="G519" s="251" t="s">
        <v>869</v>
      </c>
      <c r="H519" s="251" t="s">
        <v>4</v>
      </c>
    </row>
    <row r="520" spans="1:8" x14ac:dyDescent="0.3">
      <c r="A520" s="253" t="s">
        <v>197</v>
      </c>
      <c r="B520" s="253" t="s">
        <v>198</v>
      </c>
      <c r="C520" s="253" t="s">
        <v>8</v>
      </c>
      <c r="D520" s="253" t="s">
        <v>194</v>
      </c>
      <c r="E520" s="253" t="s">
        <v>896</v>
      </c>
      <c r="F520" s="253" t="s">
        <v>42</v>
      </c>
      <c r="G520" s="251" t="s">
        <v>873</v>
      </c>
      <c r="H520" s="251" t="s">
        <v>7</v>
      </c>
    </row>
    <row r="521" spans="1:8" x14ac:dyDescent="0.3">
      <c r="A521" s="253" t="s">
        <v>197</v>
      </c>
      <c r="B521" s="253" t="s">
        <v>198</v>
      </c>
      <c r="C521" s="253" t="s">
        <v>8</v>
      </c>
      <c r="D521" s="253" t="s">
        <v>194</v>
      </c>
      <c r="E521" s="253" t="s">
        <v>896</v>
      </c>
      <c r="F521" s="253" t="s">
        <v>42</v>
      </c>
      <c r="G521" s="251" t="s">
        <v>863</v>
      </c>
      <c r="H521" s="251" t="s">
        <v>5</v>
      </c>
    </row>
    <row r="522" spans="1:8" x14ac:dyDescent="0.3">
      <c r="A522" s="253" t="s">
        <v>239</v>
      </c>
      <c r="B522" s="253" t="s">
        <v>921</v>
      </c>
      <c r="C522" s="253" t="s">
        <v>8</v>
      </c>
      <c r="D522" s="253" t="s">
        <v>240</v>
      </c>
      <c r="E522" s="253" t="s">
        <v>896</v>
      </c>
      <c r="F522" s="253" t="s">
        <v>94</v>
      </c>
      <c r="G522" s="251" t="s">
        <v>868</v>
      </c>
      <c r="H522" s="251" t="s">
        <v>6</v>
      </c>
    </row>
    <row r="523" spans="1:8" x14ac:dyDescent="0.3">
      <c r="A523" s="253" t="s">
        <v>239</v>
      </c>
      <c r="B523" s="253" t="s">
        <v>921</v>
      </c>
      <c r="C523" s="253" t="s">
        <v>8</v>
      </c>
      <c r="D523" s="253" t="s">
        <v>240</v>
      </c>
      <c r="E523" s="253" t="s">
        <v>896</v>
      </c>
      <c r="F523" s="253" t="s">
        <v>94</v>
      </c>
      <c r="G523" s="251" t="s">
        <v>869</v>
      </c>
      <c r="H523" s="251" t="s">
        <v>4</v>
      </c>
    </row>
    <row r="524" spans="1:8" x14ac:dyDescent="0.3">
      <c r="A524" s="253" t="s">
        <v>239</v>
      </c>
      <c r="B524" s="253" t="s">
        <v>921</v>
      </c>
      <c r="C524" s="253" t="s">
        <v>8</v>
      </c>
      <c r="D524" s="253" t="s">
        <v>240</v>
      </c>
      <c r="E524" s="253" t="s">
        <v>896</v>
      </c>
      <c r="F524" s="253" t="s">
        <v>94</v>
      </c>
      <c r="G524" s="251" t="s">
        <v>870</v>
      </c>
      <c r="H524" s="251" t="s">
        <v>8</v>
      </c>
    </row>
    <row r="525" spans="1:8" x14ac:dyDescent="0.3">
      <c r="A525" s="253" t="s">
        <v>239</v>
      </c>
      <c r="B525" s="253" t="s">
        <v>921</v>
      </c>
      <c r="C525" s="253" t="s">
        <v>8</v>
      </c>
      <c r="D525" s="253" t="s">
        <v>240</v>
      </c>
      <c r="E525" s="253" t="s">
        <v>896</v>
      </c>
      <c r="F525" s="253" t="s">
        <v>94</v>
      </c>
      <c r="G525" s="251" t="s">
        <v>863</v>
      </c>
      <c r="H525" s="251" t="s">
        <v>6</v>
      </c>
    </row>
    <row r="526" spans="1:8" x14ac:dyDescent="0.3">
      <c r="A526" s="253" t="s">
        <v>301</v>
      </c>
      <c r="B526" s="253" t="s">
        <v>951</v>
      </c>
      <c r="C526" s="253" t="s">
        <v>84</v>
      </c>
      <c r="D526" s="253" t="s">
        <v>240</v>
      </c>
      <c r="E526" s="253" t="s">
        <v>896</v>
      </c>
      <c r="F526" s="253" t="s">
        <v>94</v>
      </c>
      <c r="G526" s="251" t="s">
        <v>868</v>
      </c>
      <c r="H526" s="251" t="s">
        <v>5</v>
      </c>
    </row>
    <row r="527" spans="1:8" x14ac:dyDescent="0.3">
      <c r="A527" s="253" t="s">
        <v>301</v>
      </c>
      <c r="B527" s="253" t="s">
        <v>951</v>
      </c>
      <c r="C527" s="253" t="s">
        <v>84</v>
      </c>
      <c r="D527" s="253" t="s">
        <v>240</v>
      </c>
      <c r="E527" s="253" t="s">
        <v>896</v>
      </c>
      <c r="F527" s="253" t="s">
        <v>94</v>
      </c>
      <c r="G527" s="251" t="s">
        <v>869</v>
      </c>
      <c r="H527" s="251" t="s">
        <v>4</v>
      </c>
    </row>
    <row r="528" spans="1:8" x14ac:dyDescent="0.3">
      <c r="A528" s="253" t="s">
        <v>301</v>
      </c>
      <c r="B528" s="253" t="s">
        <v>951</v>
      </c>
      <c r="C528" s="253" t="s">
        <v>84</v>
      </c>
      <c r="D528" s="253" t="s">
        <v>240</v>
      </c>
      <c r="E528" s="253" t="s">
        <v>896</v>
      </c>
      <c r="F528" s="253" t="s">
        <v>94</v>
      </c>
      <c r="G528" s="251" t="s">
        <v>870</v>
      </c>
      <c r="H528" s="251" t="s">
        <v>4</v>
      </c>
    </row>
    <row r="529" spans="1:8" x14ac:dyDescent="0.3">
      <c r="A529" s="253" t="s">
        <v>301</v>
      </c>
      <c r="B529" s="253" t="s">
        <v>951</v>
      </c>
      <c r="C529" s="253" t="s">
        <v>84</v>
      </c>
      <c r="D529" s="253" t="s">
        <v>240</v>
      </c>
      <c r="E529" s="253" t="s">
        <v>896</v>
      </c>
      <c r="F529" s="253" t="s">
        <v>94</v>
      </c>
      <c r="G529" s="251" t="s">
        <v>863</v>
      </c>
      <c r="H529" s="251" t="s">
        <v>6</v>
      </c>
    </row>
    <row r="530" spans="1:8" x14ac:dyDescent="0.3">
      <c r="A530" s="253" t="s">
        <v>243</v>
      </c>
      <c r="B530" s="253" t="s">
        <v>922</v>
      </c>
      <c r="C530" s="253" t="s">
        <v>8</v>
      </c>
      <c r="D530" s="253" t="s">
        <v>240</v>
      </c>
      <c r="E530" s="253" t="s">
        <v>896</v>
      </c>
      <c r="F530" s="253" t="s">
        <v>94</v>
      </c>
      <c r="G530" s="251" t="s">
        <v>868</v>
      </c>
      <c r="H530" s="251" t="s">
        <v>5</v>
      </c>
    </row>
    <row r="531" spans="1:8" x14ac:dyDescent="0.3">
      <c r="A531" s="253" t="s">
        <v>243</v>
      </c>
      <c r="B531" s="253" t="s">
        <v>922</v>
      </c>
      <c r="C531" s="253" t="s">
        <v>8</v>
      </c>
      <c r="D531" s="253" t="s">
        <v>240</v>
      </c>
      <c r="E531" s="253" t="s">
        <v>896</v>
      </c>
      <c r="F531" s="253" t="s">
        <v>94</v>
      </c>
      <c r="G531" s="251" t="s">
        <v>869</v>
      </c>
      <c r="H531" s="251" t="s">
        <v>5</v>
      </c>
    </row>
    <row r="532" spans="1:8" x14ac:dyDescent="0.3">
      <c r="A532" s="253" t="s">
        <v>243</v>
      </c>
      <c r="B532" s="253" t="s">
        <v>922</v>
      </c>
      <c r="C532" s="253" t="s">
        <v>8</v>
      </c>
      <c r="D532" s="253" t="s">
        <v>240</v>
      </c>
      <c r="E532" s="253" t="s">
        <v>896</v>
      </c>
      <c r="F532" s="253" t="s">
        <v>94</v>
      </c>
      <c r="G532" s="251" t="s">
        <v>870</v>
      </c>
      <c r="H532" s="251" t="s">
        <v>4</v>
      </c>
    </row>
    <row r="533" spans="1:8" x14ac:dyDescent="0.3">
      <c r="A533" s="253" t="s">
        <v>243</v>
      </c>
      <c r="B533" s="253" t="s">
        <v>922</v>
      </c>
      <c r="C533" s="253" t="s">
        <v>8</v>
      </c>
      <c r="D533" s="253" t="s">
        <v>240</v>
      </c>
      <c r="E533" s="253" t="s">
        <v>896</v>
      </c>
      <c r="F533" s="253" t="s">
        <v>94</v>
      </c>
      <c r="G533" s="251" t="s">
        <v>863</v>
      </c>
      <c r="H533" s="251" t="s">
        <v>8</v>
      </c>
    </row>
    <row r="534" spans="1:8" x14ac:dyDescent="0.3">
      <c r="A534" s="253" t="s">
        <v>286</v>
      </c>
      <c r="B534" s="253" t="s">
        <v>941</v>
      </c>
      <c r="C534" s="253" t="s">
        <v>84</v>
      </c>
      <c r="D534" s="253" t="s">
        <v>240</v>
      </c>
      <c r="E534" s="253" t="s">
        <v>896</v>
      </c>
      <c r="F534" s="253" t="s">
        <v>94</v>
      </c>
      <c r="G534" s="251" t="s">
        <v>868</v>
      </c>
      <c r="H534" s="251" t="s">
        <v>8</v>
      </c>
    </row>
    <row r="535" spans="1:8" x14ac:dyDescent="0.3">
      <c r="A535" s="253" t="s">
        <v>286</v>
      </c>
      <c r="B535" s="253" t="s">
        <v>941</v>
      </c>
      <c r="C535" s="253" t="s">
        <v>84</v>
      </c>
      <c r="D535" s="253" t="s">
        <v>240</v>
      </c>
      <c r="E535" s="253" t="s">
        <v>896</v>
      </c>
      <c r="F535" s="253" t="s">
        <v>94</v>
      </c>
      <c r="G535" s="251" t="s">
        <v>869</v>
      </c>
      <c r="H535" s="251" t="s">
        <v>8</v>
      </c>
    </row>
    <row r="536" spans="1:8" x14ac:dyDescent="0.3">
      <c r="A536" s="253" t="s">
        <v>286</v>
      </c>
      <c r="B536" s="253" t="s">
        <v>941</v>
      </c>
      <c r="C536" s="253" t="s">
        <v>84</v>
      </c>
      <c r="D536" s="253" t="s">
        <v>240</v>
      </c>
      <c r="E536" s="253" t="s">
        <v>896</v>
      </c>
      <c r="F536" s="253" t="s">
        <v>94</v>
      </c>
      <c r="G536" s="251" t="s">
        <v>870</v>
      </c>
      <c r="H536" s="251" t="s">
        <v>8</v>
      </c>
    </row>
    <row r="537" spans="1:8" x14ac:dyDescent="0.3">
      <c r="A537" s="253" t="s">
        <v>286</v>
      </c>
      <c r="B537" s="253" t="s">
        <v>941</v>
      </c>
      <c r="C537" s="253" t="s">
        <v>84</v>
      </c>
      <c r="D537" s="253" t="s">
        <v>240</v>
      </c>
      <c r="E537" s="253" t="s">
        <v>896</v>
      </c>
      <c r="F537" s="253" t="s">
        <v>94</v>
      </c>
      <c r="G537" s="251" t="s">
        <v>863</v>
      </c>
      <c r="H537" s="251" t="s">
        <v>6</v>
      </c>
    </row>
    <row r="538" spans="1:8" x14ac:dyDescent="0.3">
      <c r="A538" s="253" t="s">
        <v>291</v>
      </c>
      <c r="B538" s="253" t="s">
        <v>945</v>
      </c>
      <c r="C538" s="253" t="s">
        <v>84</v>
      </c>
      <c r="D538" s="253" t="s">
        <v>240</v>
      </c>
      <c r="E538" s="253" t="s">
        <v>896</v>
      </c>
      <c r="F538" s="253" t="s">
        <v>94</v>
      </c>
      <c r="G538" s="251" t="s">
        <v>868</v>
      </c>
      <c r="H538" s="251" t="s">
        <v>4</v>
      </c>
    </row>
    <row r="539" spans="1:8" x14ac:dyDescent="0.3">
      <c r="A539" s="253" t="s">
        <v>291</v>
      </c>
      <c r="B539" s="253" t="s">
        <v>945</v>
      </c>
      <c r="C539" s="253" t="s">
        <v>84</v>
      </c>
      <c r="D539" s="253" t="s">
        <v>240</v>
      </c>
      <c r="E539" s="253" t="s">
        <v>896</v>
      </c>
      <c r="F539" s="253" t="s">
        <v>94</v>
      </c>
      <c r="G539" s="251" t="s">
        <v>869</v>
      </c>
      <c r="H539" s="251" t="s">
        <v>4</v>
      </c>
    </row>
    <row r="540" spans="1:8" x14ac:dyDescent="0.3">
      <c r="A540" s="253" t="s">
        <v>291</v>
      </c>
      <c r="B540" s="253" t="s">
        <v>945</v>
      </c>
      <c r="C540" s="253" t="s">
        <v>84</v>
      </c>
      <c r="D540" s="253" t="s">
        <v>240</v>
      </c>
      <c r="E540" s="253" t="s">
        <v>896</v>
      </c>
      <c r="F540" s="253" t="s">
        <v>94</v>
      </c>
      <c r="G540" s="251" t="s">
        <v>870</v>
      </c>
      <c r="H540" s="251" t="s">
        <v>4</v>
      </c>
    </row>
    <row r="541" spans="1:8" x14ac:dyDescent="0.3">
      <c r="A541" s="253" t="s">
        <v>291</v>
      </c>
      <c r="B541" s="253" t="s">
        <v>945</v>
      </c>
      <c r="C541" s="253" t="s">
        <v>84</v>
      </c>
      <c r="D541" s="253" t="s">
        <v>240</v>
      </c>
      <c r="E541" s="253" t="s">
        <v>896</v>
      </c>
      <c r="F541" s="253" t="s">
        <v>94</v>
      </c>
      <c r="G541" s="251" t="s">
        <v>863</v>
      </c>
      <c r="H541" s="251" t="s">
        <v>6</v>
      </c>
    </row>
    <row r="542" spans="1:8" x14ac:dyDescent="0.3">
      <c r="A542" s="253" t="s">
        <v>164</v>
      </c>
      <c r="B542" s="253" t="s">
        <v>165</v>
      </c>
      <c r="C542" s="253" t="s">
        <v>84</v>
      </c>
      <c r="D542" s="253" t="s">
        <v>139</v>
      </c>
      <c r="E542" s="253" t="s">
        <v>895</v>
      </c>
      <c r="F542" s="253" t="s">
        <v>42</v>
      </c>
      <c r="G542" s="251" t="s">
        <v>865</v>
      </c>
      <c r="H542" s="251" t="s">
        <v>5</v>
      </c>
    </row>
    <row r="543" spans="1:8" x14ac:dyDescent="0.3">
      <c r="A543" s="253" t="s">
        <v>164</v>
      </c>
      <c r="B543" s="253" t="s">
        <v>165</v>
      </c>
      <c r="C543" s="253" t="s">
        <v>84</v>
      </c>
      <c r="D543" s="253" t="s">
        <v>139</v>
      </c>
      <c r="E543" s="253" t="s">
        <v>895</v>
      </c>
      <c r="F543" s="253" t="s">
        <v>42</v>
      </c>
      <c r="G543" s="251" t="s">
        <v>873</v>
      </c>
      <c r="H543" s="251" t="s">
        <v>6</v>
      </c>
    </row>
    <row r="544" spans="1:8" x14ac:dyDescent="0.3">
      <c r="A544" s="253" t="s">
        <v>164</v>
      </c>
      <c r="B544" s="253" t="s">
        <v>165</v>
      </c>
      <c r="C544" s="253" t="s">
        <v>84</v>
      </c>
      <c r="D544" s="253" t="s">
        <v>139</v>
      </c>
      <c r="E544" s="253" t="s">
        <v>895</v>
      </c>
      <c r="F544" s="253" t="s">
        <v>42</v>
      </c>
      <c r="G544" s="251" t="s">
        <v>875</v>
      </c>
      <c r="H544" s="251" t="s">
        <v>5</v>
      </c>
    </row>
    <row r="545" spans="1:8" x14ac:dyDescent="0.3">
      <c r="A545" s="253" t="s">
        <v>164</v>
      </c>
      <c r="B545" s="253" t="s">
        <v>165</v>
      </c>
      <c r="C545" s="253" t="s">
        <v>84</v>
      </c>
      <c r="D545" s="253" t="s">
        <v>139</v>
      </c>
      <c r="E545" s="253" t="s">
        <v>895</v>
      </c>
      <c r="F545" s="253" t="s">
        <v>42</v>
      </c>
      <c r="G545" s="251" t="s">
        <v>863</v>
      </c>
      <c r="H545" s="251" t="s">
        <v>6</v>
      </c>
    </row>
    <row r="546" spans="1:8" x14ac:dyDescent="0.3">
      <c r="A546" s="253" t="s">
        <v>966</v>
      </c>
      <c r="B546" s="253" t="s">
        <v>331</v>
      </c>
      <c r="C546" s="253" t="s">
        <v>84</v>
      </c>
      <c r="D546" s="253" t="s">
        <v>289</v>
      </c>
      <c r="E546" s="253" t="s">
        <v>896</v>
      </c>
      <c r="F546" s="253" t="s">
        <v>42</v>
      </c>
      <c r="G546" s="251" t="s">
        <v>869</v>
      </c>
      <c r="H546" s="251" t="s">
        <v>5</v>
      </c>
    </row>
    <row r="547" spans="1:8" x14ac:dyDescent="0.3">
      <c r="A547" s="253" t="s">
        <v>966</v>
      </c>
      <c r="B547" s="253" t="s">
        <v>331</v>
      </c>
      <c r="C547" s="253" t="s">
        <v>84</v>
      </c>
      <c r="D547" s="253" t="s">
        <v>289</v>
      </c>
      <c r="E547" s="253" t="s">
        <v>896</v>
      </c>
      <c r="F547" s="253" t="s">
        <v>42</v>
      </c>
      <c r="G547" s="251" t="s">
        <v>870</v>
      </c>
      <c r="H547" s="251" t="s">
        <v>8</v>
      </c>
    </row>
    <row r="548" spans="1:8" x14ac:dyDescent="0.3">
      <c r="A548" s="253" t="s">
        <v>966</v>
      </c>
      <c r="B548" s="253" t="s">
        <v>331</v>
      </c>
      <c r="C548" s="253" t="s">
        <v>84</v>
      </c>
      <c r="D548" s="253" t="s">
        <v>289</v>
      </c>
      <c r="E548" s="253" t="s">
        <v>896</v>
      </c>
      <c r="F548" s="253" t="s">
        <v>42</v>
      </c>
      <c r="G548" s="251" t="s">
        <v>871</v>
      </c>
      <c r="H548" s="251" t="s">
        <v>4</v>
      </c>
    </row>
    <row r="549" spans="1:8" x14ac:dyDescent="0.3">
      <c r="A549" s="253" t="s">
        <v>966</v>
      </c>
      <c r="B549" s="253" t="s">
        <v>331</v>
      </c>
      <c r="C549" s="253" t="s">
        <v>84</v>
      </c>
      <c r="D549" s="253" t="s">
        <v>289</v>
      </c>
      <c r="E549" s="253" t="s">
        <v>896</v>
      </c>
      <c r="F549" s="253" t="s">
        <v>42</v>
      </c>
      <c r="G549" s="251" t="s">
        <v>863</v>
      </c>
      <c r="H549" s="251" t="s">
        <v>6</v>
      </c>
    </row>
    <row r="550" spans="1:8" x14ac:dyDescent="0.3">
      <c r="A550" s="253" t="s">
        <v>100</v>
      </c>
      <c r="B550" s="253" t="s">
        <v>900</v>
      </c>
      <c r="C550" s="253" t="s">
        <v>8</v>
      </c>
      <c r="D550" s="253" t="s">
        <v>40</v>
      </c>
      <c r="E550" s="253" t="s">
        <v>41</v>
      </c>
      <c r="F550" s="253" t="s">
        <v>94</v>
      </c>
      <c r="G550" s="251" t="s">
        <v>864</v>
      </c>
      <c r="H550" s="251" t="s">
        <v>4</v>
      </c>
    </row>
    <row r="551" spans="1:8" x14ac:dyDescent="0.3">
      <c r="A551" s="253" t="s">
        <v>100</v>
      </c>
      <c r="B551" s="253" t="s">
        <v>900</v>
      </c>
      <c r="C551" s="253" t="s">
        <v>8</v>
      </c>
      <c r="D551" s="253" t="s">
        <v>40</v>
      </c>
      <c r="E551" s="253" t="s">
        <v>41</v>
      </c>
      <c r="F551" s="253" t="s">
        <v>94</v>
      </c>
      <c r="G551" s="251" t="s">
        <v>865</v>
      </c>
      <c r="H551" s="251" t="s">
        <v>4</v>
      </c>
    </row>
    <row r="552" spans="1:8" x14ac:dyDescent="0.3">
      <c r="A552" s="253" t="s">
        <v>100</v>
      </c>
      <c r="B552" s="253" t="s">
        <v>900</v>
      </c>
      <c r="C552" s="253" t="s">
        <v>8</v>
      </c>
      <c r="D552" s="253" t="s">
        <v>40</v>
      </c>
      <c r="E552" s="253" t="s">
        <v>41</v>
      </c>
      <c r="F552" s="253" t="s">
        <v>94</v>
      </c>
      <c r="G552" s="251" t="s">
        <v>866</v>
      </c>
      <c r="H552" s="251" t="s">
        <v>2</v>
      </c>
    </row>
    <row r="553" spans="1:8" x14ac:dyDescent="0.3">
      <c r="A553" s="253" t="s">
        <v>100</v>
      </c>
      <c r="B553" s="253" t="s">
        <v>900</v>
      </c>
      <c r="C553" s="253" t="s">
        <v>8</v>
      </c>
      <c r="D553" s="253" t="s">
        <v>40</v>
      </c>
      <c r="E553" s="253" t="s">
        <v>41</v>
      </c>
      <c r="F553" s="253" t="s">
        <v>94</v>
      </c>
      <c r="G553" s="251" t="s">
        <v>863</v>
      </c>
      <c r="H553" s="251" t="s">
        <v>5</v>
      </c>
    </row>
    <row r="554" spans="1:8" x14ac:dyDescent="0.3">
      <c r="A554" s="253" t="s">
        <v>979</v>
      </c>
      <c r="B554" s="253" t="s">
        <v>337</v>
      </c>
      <c r="C554" s="253" t="s">
        <v>8</v>
      </c>
      <c r="D554" s="253" t="s">
        <v>978</v>
      </c>
      <c r="E554" s="253" t="s">
        <v>896</v>
      </c>
      <c r="F554" s="253" t="s">
        <v>42</v>
      </c>
      <c r="G554" s="251" t="s">
        <v>868</v>
      </c>
      <c r="H554" s="251" t="s">
        <v>5</v>
      </c>
    </row>
    <row r="555" spans="1:8" x14ac:dyDescent="0.3">
      <c r="A555" s="253" t="s">
        <v>979</v>
      </c>
      <c r="B555" s="253" t="s">
        <v>337</v>
      </c>
      <c r="C555" s="253" t="s">
        <v>8</v>
      </c>
      <c r="D555" s="253" t="s">
        <v>978</v>
      </c>
      <c r="E555" s="253" t="s">
        <v>896</v>
      </c>
      <c r="F555" s="253" t="s">
        <v>42</v>
      </c>
      <c r="G555" s="251" t="s">
        <v>873</v>
      </c>
      <c r="H555" s="251" t="s">
        <v>8</v>
      </c>
    </row>
    <row r="556" spans="1:8" x14ac:dyDescent="0.3">
      <c r="A556" s="253" t="s">
        <v>979</v>
      </c>
      <c r="B556" s="253" t="s">
        <v>337</v>
      </c>
      <c r="C556" s="253" t="s">
        <v>8</v>
      </c>
      <c r="D556" s="253" t="s">
        <v>978</v>
      </c>
      <c r="E556" s="253" t="s">
        <v>896</v>
      </c>
      <c r="F556" s="253" t="s">
        <v>42</v>
      </c>
      <c r="G556" s="251" t="s">
        <v>874</v>
      </c>
      <c r="H556" s="251" t="s">
        <v>5</v>
      </c>
    </row>
    <row r="557" spans="1:8" x14ac:dyDescent="0.3">
      <c r="A557" s="253" t="s">
        <v>979</v>
      </c>
      <c r="B557" s="253" t="s">
        <v>337</v>
      </c>
      <c r="C557" s="253" t="s">
        <v>8</v>
      </c>
      <c r="D557" s="253" t="s">
        <v>978</v>
      </c>
      <c r="E557" s="253" t="s">
        <v>896</v>
      </c>
      <c r="F557" s="253" t="s">
        <v>42</v>
      </c>
      <c r="G557" s="251" t="s">
        <v>863</v>
      </c>
      <c r="H557" s="251" t="s">
        <v>6</v>
      </c>
    </row>
    <row r="558" spans="1:8" x14ac:dyDescent="0.3">
      <c r="A558" s="253" t="s">
        <v>285</v>
      </c>
      <c r="B558" s="253" t="s">
        <v>940</v>
      </c>
      <c r="C558" s="253" t="s">
        <v>84</v>
      </c>
      <c r="D558" s="253" t="s">
        <v>240</v>
      </c>
      <c r="E558" s="253" t="s">
        <v>896</v>
      </c>
      <c r="F558" s="253" t="s">
        <v>94</v>
      </c>
      <c r="G558" s="251" t="s">
        <v>868</v>
      </c>
      <c r="H558" s="251" t="s">
        <v>4</v>
      </c>
    </row>
    <row r="559" spans="1:8" x14ac:dyDescent="0.3">
      <c r="A559" s="253" t="s">
        <v>285</v>
      </c>
      <c r="B559" s="253" t="s">
        <v>940</v>
      </c>
      <c r="C559" s="253" t="s">
        <v>84</v>
      </c>
      <c r="D559" s="253" t="s">
        <v>240</v>
      </c>
      <c r="E559" s="253" t="s">
        <v>896</v>
      </c>
      <c r="F559" s="253" t="s">
        <v>94</v>
      </c>
      <c r="G559" s="251" t="s">
        <v>869</v>
      </c>
      <c r="H559" s="251" t="s">
        <v>4</v>
      </c>
    </row>
    <row r="560" spans="1:8" x14ac:dyDescent="0.3">
      <c r="A560" s="253" t="s">
        <v>285</v>
      </c>
      <c r="B560" s="253" t="s">
        <v>940</v>
      </c>
      <c r="C560" s="253" t="s">
        <v>84</v>
      </c>
      <c r="D560" s="253" t="s">
        <v>240</v>
      </c>
      <c r="E560" s="253" t="s">
        <v>896</v>
      </c>
      <c r="F560" s="253" t="s">
        <v>94</v>
      </c>
      <c r="G560" s="251" t="s">
        <v>870</v>
      </c>
      <c r="H560" s="251" t="s">
        <v>8</v>
      </c>
    </row>
    <row r="561" spans="1:8" x14ac:dyDescent="0.3">
      <c r="A561" s="253" t="s">
        <v>285</v>
      </c>
      <c r="B561" s="253" t="s">
        <v>940</v>
      </c>
      <c r="C561" s="253" t="s">
        <v>84</v>
      </c>
      <c r="D561" s="253" t="s">
        <v>240</v>
      </c>
      <c r="E561" s="253" t="s">
        <v>896</v>
      </c>
      <c r="F561" s="253" t="s">
        <v>94</v>
      </c>
      <c r="G561" s="251" t="s">
        <v>863</v>
      </c>
      <c r="H561" s="251" t="s">
        <v>8</v>
      </c>
    </row>
    <row r="562" spans="1:8" x14ac:dyDescent="0.3">
      <c r="A562" s="253" t="s">
        <v>266</v>
      </c>
      <c r="B562" s="253" t="s">
        <v>267</v>
      </c>
      <c r="C562" s="253" t="s">
        <v>8</v>
      </c>
      <c r="D562" s="253" t="s">
        <v>240</v>
      </c>
      <c r="E562" s="253" t="s">
        <v>896</v>
      </c>
      <c r="F562" s="253" t="s">
        <v>94</v>
      </c>
      <c r="G562" s="251" t="s">
        <v>868</v>
      </c>
      <c r="H562" s="251" t="s">
        <v>6</v>
      </c>
    </row>
    <row r="563" spans="1:8" x14ac:dyDescent="0.3">
      <c r="A563" s="253" t="s">
        <v>266</v>
      </c>
      <c r="B563" s="253" t="s">
        <v>267</v>
      </c>
      <c r="C563" s="253" t="s">
        <v>8</v>
      </c>
      <c r="D563" s="253" t="s">
        <v>240</v>
      </c>
      <c r="E563" s="253" t="s">
        <v>896</v>
      </c>
      <c r="F563" s="253" t="s">
        <v>94</v>
      </c>
      <c r="G563" s="251" t="s">
        <v>869</v>
      </c>
      <c r="H563" s="251" t="s">
        <v>4</v>
      </c>
    </row>
    <row r="564" spans="1:8" x14ac:dyDescent="0.3">
      <c r="A564" s="253" t="s">
        <v>266</v>
      </c>
      <c r="B564" s="253" t="s">
        <v>267</v>
      </c>
      <c r="C564" s="253" t="s">
        <v>8</v>
      </c>
      <c r="D564" s="253" t="s">
        <v>240</v>
      </c>
      <c r="E564" s="253" t="s">
        <v>896</v>
      </c>
      <c r="F564" s="253" t="s">
        <v>94</v>
      </c>
      <c r="G564" s="251" t="s">
        <v>870</v>
      </c>
      <c r="H564" s="251" t="s">
        <v>4</v>
      </c>
    </row>
    <row r="565" spans="1:8" x14ac:dyDescent="0.3">
      <c r="A565" s="253" t="s">
        <v>266</v>
      </c>
      <c r="B565" s="253" t="s">
        <v>267</v>
      </c>
      <c r="C565" s="253" t="s">
        <v>8</v>
      </c>
      <c r="D565" s="253" t="s">
        <v>240</v>
      </c>
      <c r="E565" s="253" t="s">
        <v>896</v>
      </c>
      <c r="F565" s="253" t="s">
        <v>94</v>
      </c>
      <c r="G565" s="251" t="s">
        <v>863</v>
      </c>
      <c r="H565" s="251" t="s">
        <v>6</v>
      </c>
    </row>
    <row r="566" spans="1:8" x14ac:dyDescent="0.3">
      <c r="A566" s="253" t="s">
        <v>244</v>
      </c>
      <c r="B566" s="253" t="s">
        <v>923</v>
      </c>
      <c r="C566" s="253" t="s">
        <v>8</v>
      </c>
      <c r="D566" s="253" t="s">
        <v>240</v>
      </c>
      <c r="E566" s="253" t="s">
        <v>896</v>
      </c>
      <c r="F566" s="253" t="s">
        <v>94</v>
      </c>
      <c r="G566" s="251" t="s">
        <v>868</v>
      </c>
      <c r="H566" s="251" t="s">
        <v>5</v>
      </c>
    </row>
    <row r="567" spans="1:8" x14ac:dyDescent="0.3">
      <c r="A567" s="253" t="s">
        <v>244</v>
      </c>
      <c r="B567" s="253" t="s">
        <v>923</v>
      </c>
      <c r="C567" s="253" t="s">
        <v>8</v>
      </c>
      <c r="D567" s="253" t="s">
        <v>240</v>
      </c>
      <c r="E567" s="253" t="s">
        <v>896</v>
      </c>
      <c r="F567" s="253" t="s">
        <v>94</v>
      </c>
      <c r="G567" s="251" t="s">
        <v>869</v>
      </c>
      <c r="H567" s="251" t="s">
        <v>4</v>
      </c>
    </row>
    <row r="568" spans="1:8" x14ac:dyDescent="0.3">
      <c r="A568" s="253" t="s">
        <v>244</v>
      </c>
      <c r="B568" s="253" t="s">
        <v>923</v>
      </c>
      <c r="C568" s="253" t="s">
        <v>8</v>
      </c>
      <c r="D568" s="253" t="s">
        <v>240</v>
      </c>
      <c r="E568" s="253" t="s">
        <v>896</v>
      </c>
      <c r="F568" s="253" t="s">
        <v>94</v>
      </c>
      <c r="G568" s="251" t="s">
        <v>870</v>
      </c>
      <c r="H568" s="251" t="s">
        <v>8</v>
      </c>
    </row>
    <row r="569" spans="1:8" x14ac:dyDescent="0.3">
      <c r="A569" s="253" t="s">
        <v>244</v>
      </c>
      <c r="B569" s="253" t="s">
        <v>923</v>
      </c>
      <c r="C569" s="253" t="s">
        <v>8</v>
      </c>
      <c r="D569" s="253" t="s">
        <v>240</v>
      </c>
      <c r="E569" s="253" t="s">
        <v>896</v>
      </c>
      <c r="F569" s="253" t="s">
        <v>94</v>
      </c>
      <c r="G569" s="251" t="s">
        <v>863</v>
      </c>
      <c r="H569" s="251" t="s">
        <v>8</v>
      </c>
    </row>
    <row r="570" spans="1:8" x14ac:dyDescent="0.3">
      <c r="A570" s="253" t="s">
        <v>132</v>
      </c>
      <c r="B570" s="253" t="s">
        <v>906</v>
      </c>
      <c r="C570" s="253" t="s">
        <v>84</v>
      </c>
      <c r="D570" s="253" t="s">
        <v>40</v>
      </c>
      <c r="E570" s="253" t="s">
        <v>41</v>
      </c>
      <c r="F570" s="253" t="s">
        <v>94</v>
      </c>
      <c r="G570" s="251" t="s">
        <v>864</v>
      </c>
      <c r="H570" s="251" t="s">
        <v>4</v>
      </c>
    </row>
    <row r="571" spans="1:8" x14ac:dyDescent="0.3">
      <c r="A571" s="253" t="s">
        <v>132</v>
      </c>
      <c r="B571" s="253" t="s">
        <v>906</v>
      </c>
      <c r="C571" s="253" t="s">
        <v>84</v>
      </c>
      <c r="D571" s="253" t="s">
        <v>40</v>
      </c>
      <c r="E571" s="253" t="s">
        <v>41</v>
      </c>
      <c r="F571" s="253" t="s">
        <v>94</v>
      </c>
      <c r="G571" s="251" t="s">
        <v>865</v>
      </c>
      <c r="H571" s="251" t="s">
        <v>4</v>
      </c>
    </row>
    <row r="572" spans="1:8" x14ac:dyDescent="0.3">
      <c r="A572" s="253" t="s">
        <v>132</v>
      </c>
      <c r="B572" s="253" t="s">
        <v>906</v>
      </c>
      <c r="C572" s="253" t="s">
        <v>84</v>
      </c>
      <c r="D572" s="253" t="s">
        <v>40</v>
      </c>
      <c r="E572" s="253" t="s">
        <v>41</v>
      </c>
      <c r="F572" s="253" t="s">
        <v>94</v>
      </c>
      <c r="G572" s="251" t="s">
        <v>866</v>
      </c>
      <c r="H572" s="251" t="s">
        <v>2</v>
      </c>
    </row>
    <row r="573" spans="1:8" x14ac:dyDescent="0.3">
      <c r="A573" s="253" t="s">
        <v>132</v>
      </c>
      <c r="B573" s="253" t="s">
        <v>906</v>
      </c>
      <c r="C573" s="253" t="s">
        <v>84</v>
      </c>
      <c r="D573" s="253" t="s">
        <v>40</v>
      </c>
      <c r="E573" s="253" t="s">
        <v>41</v>
      </c>
      <c r="F573" s="253" t="s">
        <v>94</v>
      </c>
      <c r="G573" s="251" t="s">
        <v>863</v>
      </c>
      <c r="H573" s="251" t="s">
        <v>6</v>
      </c>
    </row>
    <row r="574" spans="1:8" x14ac:dyDescent="0.3">
      <c r="A574" s="253" t="s">
        <v>131</v>
      </c>
      <c r="B574" s="253" t="s">
        <v>905</v>
      </c>
      <c r="C574" s="253" t="s">
        <v>84</v>
      </c>
      <c r="D574" s="253" t="s">
        <v>40</v>
      </c>
      <c r="E574" s="253" t="s">
        <v>41</v>
      </c>
      <c r="F574" s="253" t="s">
        <v>94</v>
      </c>
      <c r="G574" s="251" t="s">
        <v>864</v>
      </c>
      <c r="H574" s="251" t="s">
        <v>4</v>
      </c>
    </row>
    <row r="575" spans="1:8" x14ac:dyDescent="0.3">
      <c r="A575" s="253" t="s">
        <v>131</v>
      </c>
      <c r="B575" s="253" t="s">
        <v>905</v>
      </c>
      <c r="C575" s="253" t="s">
        <v>84</v>
      </c>
      <c r="D575" s="253" t="s">
        <v>40</v>
      </c>
      <c r="E575" s="253" t="s">
        <v>41</v>
      </c>
      <c r="F575" s="253" t="s">
        <v>94</v>
      </c>
      <c r="G575" s="251" t="s">
        <v>865</v>
      </c>
      <c r="H575" s="251" t="s">
        <v>4</v>
      </c>
    </row>
    <row r="576" spans="1:8" x14ac:dyDescent="0.3">
      <c r="A576" s="253" t="s">
        <v>131</v>
      </c>
      <c r="B576" s="253" t="s">
        <v>905</v>
      </c>
      <c r="C576" s="253" t="s">
        <v>84</v>
      </c>
      <c r="D576" s="253" t="s">
        <v>40</v>
      </c>
      <c r="E576" s="253" t="s">
        <v>41</v>
      </c>
      <c r="F576" s="253" t="s">
        <v>94</v>
      </c>
      <c r="G576" s="251" t="s">
        <v>866</v>
      </c>
      <c r="H576" s="251" t="s">
        <v>2</v>
      </c>
    </row>
    <row r="577" spans="1:8" x14ac:dyDescent="0.3">
      <c r="A577" s="253" t="s">
        <v>131</v>
      </c>
      <c r="B577" s="253" t="s">
        <v>905</v>
      </c>
      <c r="C577" s="253" t="s">
        <v>84</v>
      </c>
      <c r="D577" s="253" t="s">
        <v>40</v>
      </c>
      <c r="E577" s="253" t="s">
        <v>41</v>
      </c>
      <c r="F577" s="253" t="s">
        <v>94</v>
      </c>
      <c r="G577" s="251" t="s">
        <v>863</v>
      </c>
      <c r="H577" s="251" t="s">
        <v>6</v>
      </c>
    </row>
    <row r="578" spans="1:8" x14ac:dyDescent="0.3">
      <c r="A578" s="253" t="s">
        <v>110</v>
      </c>
      <c r="B578" s="253" t="s">
        <v>111</v>
      </c>
      <c r="C578" s="253" t="s">
        <v>8</v>
      </c>
      <c r="D578" s="253" t="s">
        <v>40</v>
      </c>
      <c r="E578" s="253" t="s">
        <v>41</v>
      </c>
      <c r="F578" s="253" t="s">
        <v>42</v>
      </c>
      <c r="G578" s="251" t="s">
        <v>864</v>
      </c>
      <c r="H578" s="251" t="s">
        <v>4</v>
      </c>
    </row>
    <row r="579" spans="1:8" x14ac:dyDescent="0.3">
      <c r="A579" s="253" t="s">
        <v>110</v>
      </c>
      <c r="B579" s="253" t="s">
        <v>111</v>
      </c>
      <c r="C579" s="253" t="s">
        <v>8</v>
      </c>
      <c r="D579" s="253" t="s">
        <v>40</v>
      </c>
      <c r="E579" s="253" t="s">
        <v>41</v>
      </c>
      <c r="F579" s="253" t="s">
        <v>42</v>
      </c>
      <c r="G579" s="251" t="s">
        <v>865</v>
      </c>
      <c r="H579" s="251" t="s">
        <v>3</v>
      </c>
    </row>
    <row r="580" spans="1:8" x14ac:dyDescent="0.3">
      <c r="A580" s="253" t="s">
        <v>110</v>
      </c>
      <c r="B580" s="253" t="s">
        <v>111</v>
      </c>
      <c r="C580" s="253" t="s">
        <v>8</v>
      </c>
      <c r="D580" s="253" t="s">
        <v>40</v>
      </c>
      <c r="E580" s="253" t="s">
        <v>41</v>
      </c>
      <c r="F580" s="253" t="s">
        <v>42</v>
      </c>
      <c r="G580" s="251" t="s">
        <v>866</v>
      </c>
      <c r="H580" s="251" t="s">
        <v>2</v>
      </c>
    </row>
    <row r="581" spans="1:8" x14ac:dyDescent="0.3">
      <c r="A581" s="253" t="s">
        <v>110</v>
      </c>
      <c r="B581" s="253" t="s">
        <v>111</v>
      </c>
      <c r="C581" s="253" t="s">
        <v>8</v>
      </c>
      <c r="D581" s="253" t="s">
        <v>40</v>
      </c>
      <c r="E581" s="253" t="s">
        <v>41</v>
      </c>
      <c r="F581" s="253" t="s">
        <v>42</v>
      </c>
      <c r="G581" s="251" t="s">
        <v>863</v>
      </c>
      <c r="H581" s="251" t="s">
        <v>6</v>
      </c>
    </row>
    <row r="582" spans="1:8" x14ac:dyDescent="0.3">
      <c r="A582" s="253" t="s">
        <v>136</v>
      </c>
      <c r="B582" s="253" t="s">
        <v>910</v>
      </c>
      <c r="C582" s="253" t="s">
        <v>84</v>
      </c>
      <c r="D582" s="253" t="s">
        <v>40</v>
      </c>
      <c r="E582" s="253" t="s">
        <v>41</v>
      </c>
      <c r="F582" s="253" t="s">
        <v>94</v>
      </c>
      <c r="G582" s="251" t="s">
        <v>864</v>
      </c>
      <c r="H582" s="251" t="s">
        <v>4</v>
      </c>
    </row>
    <row r="583" spans="1:8" x14ac:dyDescent="0.3">
      <c r="A583" s="253" t="s">
        <v>136</v>
      </c>
      <c r="B583" s="253" t="s">
        <v>910</v>
      </c>
      <c r="C583" s="253" t="s">
        <v>84</v>
      </c>
      <c r="D583" s="253" t="s">
        <v>40</v>
      </c>
      <c r="E583" s="253" t="s">
        <v>41</v>
      </c>
      <c r="F583" s="253" t="s">
        <v>94</v>
      </c>
      <c r="G583" s="251" t="s">
        <v>865</v>
      </c>
      <c r="H583" s="251" t="s">
        <v>4</v>
      </c>
    </row>
    <row r="584" spans="1:8" x14ac:dyDescent="0.3">
      <c r="A584" s="253" t="s">
        <v>136</v>
      </c>
      <c r="B584" s="253" t="s">
        <v>910</v>
      </c>
      <c r="C584" s="253" t="s">
        <v>84</v>
      </c>
      <c r="D584" s="253" t="s">
        <v>40</v>
      </c>
      <c r="E584" s="253" t="s">
        <v>41</v>
      </c>
      <c r="F584" s="253" t="s">
        <v>94</v>
      </c>
      <c r="G584" s="251" t="s">
        <v>866</v>
      </c>
      <c r="H584" s="251" t="s">
        <v>2</v>
      </c>
    </row>
    <row r="585" spans="1:8" x14ac:dyDescent="0.3">
      <c r="A585" s="253" t="s">
        <v>136</v>
      </c>
      <c r="B585" s="253" t="s">
        <v>910</v>
      </c>
      <c r="C585" s="253" t="s">
        <v>84</v>
      </c>
      <c r="D585" s="253" t="s">
        <v>40</v>
      </c>
      <c r="E585" s="253" t="s">
        <v>41</v>
      </c>
      <c r="F585" s="253" t="s">
        <v>94</v>
      </c>
      <c r="G585" s="251" t="s">
        <v>863</v>
      </c>
      <c r="H585" s="251" t="s">
        <v>5</v>
      </c>
    </row>
    <row r="586" spans="1:8" x14ac:dyDescent="0.3">
      <c r="A586" s="253" t="s">
        <v>99</v>
      </c>
      <c r="B586" s="253" t="s">
        <v>899</v>
      </c>
      <c r="C586" s="253" t="s">
        <v>8</v>
      </c>
      <c r="D586" s="253" t="s">
        <v>40</v>
      </c>
      <c r="E586" s="253" t="s">
        <v>41</v>
      </c>
      <c r="F586" s="253" t="s">
        <v>94</v>
      </c>
      <c r="G586" s="251" t="s">
        <v>864</v>
      </c>
      <c r="H586" s="251" t="s">
        <v>5</v>
      </c>
    </row>
    <row r="587" spans="1:8" x14ac:dyDescent="0.3">
      <c r="A587" s="253" t="s">
        <v>99</v>
      </c>
      <c r="B587" s="253" t="s">
        <v>899</v>
      </c>
      <c r="C587" s="253" t="s">
        <v>8</v>
      </c>
      <c r="D587" s="253" t="s">
        <v>40</v>
      </c>
      <c r="E587" s="253" t="s">
        <v>41</v>
      </c>
      <c r="F587" s="253" t="s">
        <v>94</v>
      </c>
      <c r="G587" s="251" t="s">
        <v>865</v>
      </c>
      <c r="H587" s="251" t="s">
        <v>4</v>
      </c>
    </row>
    <row r="588" spans="1:8" x14ac:dyDescent="0.3">
      <c r="A588" s="253" t="s">
        <v>99</v>
      </c>
      <c r="B588" s="253" t="s">
        <v>899</v>
      </c>
      <c r="C588" s="253" t="s">
        <v>8</v>
      </c>
      <c r="D588" s="253" t="s">
        <v>40</v>
      </c>
      <c r="E588" s="253" t="s">
        <v>41</v>
      </c>
      <c r="F588" s="253" t="s">
        <v>94</v>
      </c>
      <c r="G588" s="251" t="s">
        <v>866</v>
      </c>
      <c r="H588" s="251" t="s">
        <v>2</v>
      </c>
    </row>
    <row r="589" spans="1:8" x14ac:dyDescent="0.3">
      <c r="A589" s="253" t="s">
        <v>99</v>
      </c>
      <c r="B589" s="253" t="s">
        <v>899</v>
      </c>
      <c r="C589" s="253" t="s">
        <v>8</v>
      </c>
      <c r="D589" s="253" t="s">
        <v>40</v>
      </c>
      <c r="E589" s="253" t="s">
        <v>41</v>
      </c>
      <c r="F589" s="253" t="s">
        <v>94</v>
      </c>
      <c r="G589" s="251" t="s">
        <v>863</v>
      </c>
      <c r="H589" s="251" t="s">
        <v>5</v>
      </c>
    </row>
    <row r="590" spans="1:8" x14ac:dyDescent="0.3">
      <c r="A590" s="253" t="s">
        <v>288</v>
      </c>
      <c r="B590" s="253" t="s">
        <v>943</v>
      </c>
      <c r="C590" s="253" t="s">
        <v>84</v>
      </c>
      <c r="D590" s="253" t="s">
        <v>289</v>
      </c>
      <c r="E590" s="253" t="s">
        <v>896</v>
      </c>
      <c r="F590" s="253" t="s">
        <v>94</v>
      </c>
      <c r="G590" s="251" t="s">
        <v>868</v>
      </c>
      <c r="H590" s="251" t="s">
        <v>7</v>
      </c>
    </row>
    <row r="591" spans="1:8" x14ac:dyDescent="0.3">
      <c r="A591" s="253" t="s">
        <v>288</v>
      </c>
      <c r="B591" s="253" t="s">
        <v>943</v>
      </c>
      <c r="C591" s="253" t="s">
        <v>84</v>
      </c>
      <c r="D591" s="253" t="s">
        <v>289</v>
      </c>
      <c r="E591" s="253" t="s">
        <v>896</v>
      </c>
      <c r="F591" s="253" t="s">
        <v>94</v>
      </c>
      <c r="G591" s="251" t="s">
        <v>869</v>
      </c>
      <c r="H591" s="251" t="s">
        <v>4</v>
      </c>
    </row>
    <row r="592" spans="1:8" x14ac:dyDescent="0.3">
      <c r="A592" s="253" t="s">
        <v>288</v>
      </c>
      <c r="B592" s="253" t="s">
        <v>943</v>
      </c>
      <c r="C592" s="253" t="s">
        <v>84</v>
      </c>
      <c r="D592" s="253" t="s">
        <v>289</v>
      </c>
      <c r="E592" s="253" t="s">
        <v>896</v>
      </c>
      <c r="F592" s="253" t="s">
        <v>94</v>
      </c>
      <c r="G592" s="251" t="s">
        <v>870</v>
      </c>
      <c r="H592" s="251" t="s">
        <v>8</v>
      </c>
    </row>
    <row r="593" spans="1:8" x14ac:dyDescent="0.3">
      <c r="A593" s="253" t="s">
        <v>288</v>
      </c>
      <c r="B593" s="253" t="s">
        <v>943</v>
      </c>
      <c r="C593" s="253" t="s">
        <v>84</v>
      </c>
      <c r="D593" s="253" t="s">
        <v>289</v>
      </c>
      <c r="E593" s="253" t="s">
        <v>896</v>
      </c>
      <c r="F593" s="253" t="s">
        <v>94</v>
      </c>
      <c r="G593" s="251" t="s">
        <v>863</v>
      </c>
      <c r="H593" s="251" t="s">
        <v>6</v>
      </c>
    </row>
    <row r="594" spans="1:8" x14ac:dyDescent="0.3">
      <c r="A594" s="253" t="s">
        <v>300</v>
      </c>
      <c r="B594" s="253" t="s">
        <v>950</v>
      </c>
      <c r="C594" s="253" t="s">
        <v>84</v>
      </c>
      <c r="D594" s="253" t="s">
        <v>240</v>
      </c>
      <c r="E594" s="253" t="s">
        <v>896</v>
      </c>
      <c r="F594" s="253" t="s">
        <v>94</v>
      </c>
      <c r="G594" s="251" t="s">
        <v>868</v>
      </c>
      <c r="H594" s="251" t="s">
        <v>6</v>
      </c>
    </row>
    <row r="595" spans="1:8" x14ac:dyDescent="0.3">
      <c r="A595" s="253" t="s">
        <v>300</v>
      </c>
      <c r="B595" s="253" t="s">
        <v>950</v>
      </c>
      <c r="C595" s="253" t="s">
        <v>84</v>
      </c>
      <c r="D595" s="253" t="s">
        <v>240</v>
      </c>
      <c r="E595" s="253" t="s">
        <v>896</v>
      </c>
      <c r="F595" s="253" t="s">
        <v>94</v>
      </c>
      <c r="G595" s="251" t="s">
        <v>869</v>
      </c>
      <c r="H595" s="251" t="s">
        <v>4</v>
      </c>
    </row>
    <row r="596" spans="1:8" x14ac:dyDescent="0.3">
      <c r="A596" s="253" t="s">
        <v>300</v>
      </c>
      <c r="B596" s="253" t="s">
        <v>950</v>
      </c>
      <c r="C596" s="253" t="s">
        <v>84</v>
      </c>
      <c r="D596" s="253" t="s">
        <v>240</v>
      </c>
      <c r="E596" s="253" t="s">
        <v>896</v>
      </c>
      <c r="F596" s="253" t="s">
        <v>94</v>
      </c>
      <c r="G596" s="251" t="s">
        <v>870</v>
      </c>
      <c r="H596" s="251" t="s">
        <v>8</v>
      </c>
    </row>
    <row r="597" spans="1:8" x14ac:dyDescent="0.3">
      <c r="A597" s="253" t="s">
        <v>300</v>
      </c>
      <c r="B597" s="253" t="s">
        <v>950</v>
      </c>
      <c r="C597" s="253" t="s">
        <v>84</v>
      </c>
      <c r="D597" s="253" t="s">
        <v>240</v>
      </c>
      <c r="E597" s="253" t="s">
        <v>896</v>
      </c>
      <c r="F597" s="253" t="s">
        <v>94</v>
      </c>
      <c r="G597" s="251" t="s">
        <v>863</v>
      </c>
      <c r="H597" s="251" t="s">
        <v>7</v>
      </c>
    </row>
    <row r="598" spans="1:8" x14ac:dyDescent="0.3">
      <c r="A598" s="253" t="s">
        <v>295</v>
      </c>
      <c r="B598" s="253" t="s">
        <v>947</v>
      </c>
      <c r="C598" s="253" t="s">
        <v>84</v>
      </c>
      <c r="D598" s="253" t="s">
        <v>240</v>
      </c>
      <c r="E598" s="253" t="s">
        <v>896</v>
      </c>
      <c r="F598" s="253" t="s">
        <v>94</v>
      </c>
      <c r="G598" s="251" t="s">
        <v>868</v>
      </c>
      <c r="H598" s="251" t="s">
        <v>5</v>
      </c>
    </row>
    <row r="599" spans="1:8" x14ac:dyDescent="0.3">
      <c r="A599" s="253" t="s">
        <v>295</v>
      </c>
      <c r="B599" s="253" t="s">
        <v>947</v>
      </c>
      <c r="C599" s="253" t="s">
        <v>84</v>
      </c>
      <c r="D599" s="253" t="s">
        <v>240</v>
      </c>
      <c r="E599" s="253" t="s">
        <v>896</v>
      </c>
      <c r="F599" s="253" t="s">
        <v>94</v>
      </c>
      <c r="G599" s="251" t="s">
        <v>869</v>
      </c>
      <c r="H599" s="251" t="s">
        <v>4</v>
      </c>
    </row>
    <row r="600" spans="1:8" x14ac:dyDescent="0.3">
      <c r="A600" s="253" t="s">
        <v>295</v>
      </c>
      <c r="B600" s="253" t="s">
        <v>947</v>
      </c>
      <c r="C600" s="253" t="s">
        <v>84</v>
      </c>
      <c r="D600" s="253" t="s">
        <v>240</v>
      </c>
      <c r="E600" s="253" t="s">
        <v>896</v>
      </c>
      <c r="F600" s="253" t="s">
        <v>94</v>
      </c>
      <c r="G600" s="251" t="s">
        <v>870</v>
      </c>
      <c r="H600" s="251" t="s">
        <v>5</v>
      </c>
    </row>
    <row r="601" spans="1:8" x14ac:dyDescent="0.3">
      <c r="A601" s="253" t="s">
        <v>295</v>
      </c>
      <c r="B601" s="253" t="s">
        <v>947</v>
      </c>
      <c r="C601" s="253" t="s">
        <v>84</v>
      </c>
      <c r="D601" s="253" t="s">
        <v>240</v>
      </c>
      <c r="E601" s="253" t="s">
        <v>896</v>
      </c>
      <c r="F601" s="253" t="s">
        <v>94</v>
      </c>
      <c r="G601" s="251" t="s">
        <v>863</v>
      </c>
      <c r="H601" s="251" t="s">
        <v>6</v>
      </c>
    </row>
    <row r="602" spans="1:8" x14ac:dyDescent="0.3">
      <c r="A602" s="253" t="s">
        <v>292</v>
      </c>
      <c r="B602" s="253" t="s">
        <v>946</v>
      </c>
      <c r="C602" s="253" t="s">
        <v>84</v>
      </c>
      <c r="D602" s="253" t="s">
        <v>240</v>
      </c>
      <c r="E602" s="253" t="s">
        <v>896</v>
      </c>
      <c r="F602" s="253" t="s">
        <v>94</v>
      </c>
      <c r="G602" s="251" t="s">
        <v>868</v>
      </c>
      <c r="H602" s="251" t="s">
        <v>5</v>
      </c>
    </row>
    <row r="603" spans="1:8" x14ac:dyDescent="0.3">
      <c r="A603" s="253" t="s">
        <v>292</v>
      </c>
      <c r="B603" s="253" t="s">
        <v>946</v>
      </c>
      <c r="C603" s="253" t="s">
        <v>84</v>
      </c>
      <c r="D603" s="253" t="s">
        <v>240</v>
      </c>
      <c r="E603" s="253" t="s">
        <v>896</v>
      </c>
      <c r="F603" s="253" t="s">
        <v>94</v>
      </c>
      <c r="G603" s="251" t="s">
        <v>869</v>
      </c>
      <c r="H603" s="251" t="s">
        <v>4</v>
      </c>
    </row>
    <row r="604" spans="1:8" x14ac:dyDescent="0.3">
      <c r="A604" s="253" t="s">
        <v>292</v>
      </c>
      <c r="B604" s="253" t="s">
        <v>946</v>
      </c>
      <c r="C604" s="253" t="s">
        <v>84</v>
      </c>
      <c r="D604" s="253" t="s">
        <v>240</v>
      </c>
      <c r="E604" s="253" t="s">
        <v>896</v>
      </c>
      <c r="F604" s="253" t="s">
        <v>94</v>
      </c>
      <c r="G604" s="251" t="s">
        <v>870</v>
      </c>
      <c r="H604" s="251" t="s">
        <v>4</v>
      </c>
    </row>
    <row r="605" spans="1:8" x14ac:dyDescent="0.3">
      <c r="A605" s="253" t="s">
        <v>292</v>
      </c>
      <c r="B605" s="253" t="s">
        <v>946</v>
      </c>
      <c r="C605" s="253" t="s">
        <v>84</v>
      </c>
      <c r="D605" s="253" t="s">
        <v>240</v>
      </c>
      <c r="E605" s="253" t="s">
        <v>896</v>
      </c>
      <c r="F605" s="253" t="s">
        <v>94</v>
      </c>
      <c r="G605" s="251" t="s">
        <v>863</v>
      </c>
      <c r="H605" s="251" t="s">
        <v>6</v>
      </c>
    </row>
    <row r="606" spans="1:8" x14ac:dyDescent="0.3">
      <c r="A606" s="253" t="s">
        <v>282</v>
      </c>
      <c r="B606" s="253" t="s">
        <v>939</v>
      </c>
      <c r="C606" s="253" t="s">
        <v>84</v>
      </c>
      <c r="D606" s="253" t="s">
        <v>240</v>
      </c>
      <c r="E606" s="253" t="s">
        <v>896</v>
      </c>
      <c r="F606" s="253" t="s">
        <v>94</v>
      </c>
      <c r="G606" s="251" t="s">
        <v>868</v>
      </c>
      <c r="H606" s="251" t="s">
        <v>5</v>
      </c>
    </row>
    <row r="607" spans="1:8" x14ac:dyDescent="0.3">
      <c r="A607" s="253" t="s">
        <v>282</v>
      </c>
      <c r="B607" s="253" t="s">
        <v>939</v>
      </c>
      <c r="C607" s="253" t="s">
        <v>84</v>
      </c>
      <c r="D607" s="253" t="s">
        <v>240</v>
      </c>
      <c r="E607" s="253" t="s">
        <v>896</v>
      </c>
      <c r="F607" s="253" t="s">
        <v>94</v>
      </c>
      <c r="G607" s="251" t="s">
        <v>869</v>
      </c>
      <c r="H607" s="251" t="s">
        <v>4</v>
      </c>
    </row>
    <row r="608" spans="1:8" x14ac:dyDescent="0.3">
      <c r="A608" s="253" t="s">
        <v>282</v>
      </c>
      <c r="B608" s="253" t="s">
        <v>939</v>
      </c>
      <c r="C608" s="253" t="s">
        <v>84</v>
      </c>
      <c r="D608" s="253" t="s">
        <v>240</v>
      </c>
      <c r="E608" s="253" t="s">
        <v>896</v>
      </c>
      <c r="F608" s="253" t="s">
        <v>94</v>
      </c>
      <c r="G608" s="251" t="s">
        <v>870</v>
      </c>
      <c r="H608" s="251" t="s">
        <v>5</v>
      </c>
    </row>
    <row r="609" spans="1:8" x14ac:dyDescent="0.3">
      <c r="A609" s="253" t="s">
        <v>282</v>
      </c>
      <c r="B609" s="253" t="s">
        <v>939</v>
      </c>
      <c r="C609" s="253" t="s">
        <v>84</v>
      </c>
      <c r="D609" s="253" t="s">
        <v>240</v>
      </c>
      <c r="E609" s="253" t="s">
        <v>896</v>
      </c>
      <c r="F609" s="253" t="s">
        <v>94</v>
      </c>
      <c r="G609" s="251" t="s">
        <v>863</v>
      </c>
      <c r="H609" s="251" t="s">
        <v>5</v>
      </c>
    </row>
    <row r="610" spans="1:8" x14ac:dyDescent="0.3">
      <c r="A610" s="253" t="s">
        <v>296</v>
      </c>
      <c r="B610" s="253" t="s">
        <v>948</v>
      </c>
      <c r="C610" s="253" t="s">
        <v>84</v>
      </c>
      <c r="D610" s="253" t="s">
        <v>240</v>
      </c>
      <c r="E610" s="253" t="s">
        <v>896</v>
      </c>
      <c r="F610" s="253" t="s">
        <v>94</v>
      </c>
      <c r="G610" s="251" t="s">
        <v>868</v>
      </c>
      <c r="H610" s="251" t="s">
        <v>4</v>
      </c>
    </row>
    <row r="611" spans="1:8" x14ac:dyDescent="0.3">
      <c r="A611" s="253" t="s">
        <v>296</v>
      </c>
      <c r="B611" s="253" t="s">
        <v>948</v>
      </c>
      <c r="C611" s="253" t="s">
        <v>84</v>
      </c>
      <c r="D611" s="253" t="s">
        <v>240</v>
      </c>
      <c r="E611" s="253" t="s">
        <v>896</v>
      </c>
      <c r="F611" s="253" t="s">
        <v>94</v>
      </c>
      <c r="G611" s="251" t="s">
        <v>869</v>
      </c>
      <c r="H611" s="251" t="s">
        <v>5</v>
      </c>
    </row>
    <row r="612" spans="1:8" x14ac:dyDescent="0.3">
      <c r="A612" s="253" t="s">
        <v>296</v>
      </c>
      <c r="B612" s="253" t="s">
        <v>948</v>
      </c>
      <c r="C612" s="253" t="s">
        <v>84</v>
      </c>
      <c r="D612" s="253" t="s">
        <v>240</v>
      </c>
      <c r="E612" s="253" t="s">
        <v>896</v>
      </c>
      <c r="F612" s="253" t="s">
        <v>94</v>
      </c>
      <c r="G612" s="251" t="s">
        <v>870</v>
      </c>
      <c r="H612" s="251" t="s">
        <v>4</v>
      </c>
    </row>
    <row r="613" spans="1:8" x14ac:dyDescent="0.3">
      <c r="A613" s="253" t="s">
        <v>296</v>
      </c>
      <c r="B613" s="253" t="s">
        <v>948</v>
      </c>
      <c r="C613" s="253" t="s">
        <v>84</v>
      </c>
      <c r="D613" s="253" t="s">
        <v>240</v>
      </c>
      <c r="E613" s="253" t="s">
        <v>896</v>
      </c>
      <c r="F613" s="253" t="s">
        <v>94</v>
      </c>
      <c r="G613" s="251" t="s">
        <v>863</v>
      </c>
      <c r="H613" s="251" t="s">
        <v>6</v>
      </c>
    </row>
    <row r="614" spans="1:8" x14ac:dyDescent="0.3">
      <c r="A614" s="253" t="s">
        <v>221</v>
      </c>
      <c r="B614" s="253" t="s">
        <v>913</v>
      </c>
      <c r="C614" s="253" t="s">
        <v>84</v>
      </c>
      <c r="D614" s="253" t="s">
        <v>194</v>
      </c>
      <c r="E614" s="253" t="s">
        <v>896</v>
      </c>
      <c r="F614" s="253" t="s">
        <v>94</v>
      </c>
      <c r="G614" s="251" t="s">
        <v>868</v>
      </c>
      <c r="H614" s="251" t="s">
        <v>5</v>
      </c>
    </row>
    <row r="615" spans="1:8" x14ac:dyDescent="0.3">
      <c r="A615" s="253" t="s">
        <v>221</v>
      </c>
      <c r="B615" s="253" t="s">
        <v>913</v>
      </c>
      <c r="C615" s="253" t="s">
        <v>84</v>
      </c>
      <c r="D615" s="253" t="s">
        <v>194</v>
      </c>
      <c r="E615" s="253" t="s">
        <v>896</v>
      </c>
      <c r="F615" s="253" t="s">
        <v>94</v>
      </c>
      <c r="G615" s="251" t="s">
        <v>869</v>
      </c>
      <c r="H615" s="251" t="s">
        <v>4</v>
      </c>
    </row>
    <row r="616" spans="1:8" x14ac:dyDescent="0.3">
      <c r="A616" s="253" t="s">
        <v>221</v>
      </c>
      <c r="B616" s="253" t="s">
        <v>913</v>
      </c>
      <c r="C616" s="253" t="s">
        <v>84</v>
      </c>
      <c r="D616" s="253" t="s">
        <v>194</v>
      </c>
      <c r="E616" s="253" t="s">
        <v>896</v>
      </c>
      <c r="F616" s="253" t="s">
        <v>94</v>
      </c>
      <c r="G616" s="251" t="s">
        <v>873</v>
      </c>
      <c r="H616" s="251" t="s">
        <v>5</v>
      </c>
    </row>
    <row r="617" spans="1:8" x14ac:dyDescent="0.3">
      <c r="A617" s="253" t="s">
        <v>221</v>
      </c>
      <c r="B617" s="253" t="s">
        <v>913</v>
      </c>
      <c r="C617" s="253" t="s">
        <v>84</v>
      </c>
      <c r="D617" s="253" t="s">
        <v>194</v>
      </c>
      <c r="E617" s="253" t="s">
        <v>896</v>
      </c>
      <c r="F617" s="253" t="s">
        <v>94</v>
      </c>
      <c r="G617" s="251" t="s">
        <v>863</v>
      </c>
      <c r="H617" s="251" t="s">
        <v>6</v>
      </c>
    </row>
    <row r="618" spans="1:8" x14ac:dyDescent="0.3">
      <c r="A618" s="253" t="s">
        <v>222</v>
      </c>
      <c r="B618" s="253" t="s">
        <v>914</v>
      </c>
      <c r="C618" s="253" t="s">
        <v>84</v>
      </c>
      <c r="D618" s="253" t="s">
        <v>194</v>
      </c>
      <c r="E618" s="253" t="s">
        <v>896</v>
      </c>
      <c r="F618" s="253" t="s">
        <v>94</v>
      </c>
      <c r="G618" s="251" t="s">
        <v>868</v>
      </c>
      <c r="H618" s="251" t="s">
        <v>8</v>
      </c>
    </row>
    <row r="619" spans="1:8" x14ac:dyDescent="0.3">
      <c r="A619" s="253" t="s">
        <v>222</v>
      </c>
      <c r="B619" s="253" t="s">
        <v>914</v>
      </c>
      <c r="C619" s="253" t="s">
        <v>84</v>
      </c>
      <c r="D619" s="253" t="s">
        <v>194</v>
      </c>
      <c r="E619" s="253" t="s">
        <v>896</v>
      </c>
      <c r="F619" s="253" t="s">
        <v>94</v>
      </c>
      <c r="G619" s="251" t="s">
        <v>869</v>
      </c>
      <c r="H619" s="251" t="s">
        <v>4</v>
      </c>
    </row>
    <row r="620" spans="1:8" x14ac:dyDescent="0.3">
      <c r="A620" s="253" t="s">
        <v>222</v>
      </c>
      <c r="B620" s="253" t="s">
        <v>914</v>
      </c>
      <c r="C620" s="253" t="s">
        <v>84</v>
      </c>
      <c r="D620" s="253" t="s">
        <v>194</v>
      </c>
      <c r="E620" s="253" t="s">
        <v>896</v>
      </c>
      <c r="F620" s="253" t="s">
        <v>94</v>
      </c>
      <c r="G620" s="251" t="s">
        <v>873</v>
      </c>
      <c r="H620" s="251" t="s">
        <v>6</v>
      </c>
    </row>
    <row r="621" spans="1:8" x14ac:dyDescent="0.3">
      <c r="A621" s="253" t="s">
        <v>222</v>
      </c>
      <c r="B621" s="253" t="s">
        <v>914</v>
      </c>
      <c r="C621" s="253" t="s">
        <v>84</v>
      </c>
      <c r="D621" s="253" t="s">
        <v>194</v>
      </c>
      <c r="E621" s="253" t="s">
        <v>896</v>
      </c>
      <c r="F621" s="253" t="s">
        <v>94</v>
      </c>
      <c r="G621" s="251" t="s">
        <v>863</v>
      </c>
      <c r="H621" s="251" t="s">
        <v>6</v>
      </c>
    </row>
    <row r="622" spans="1:8" x14ac:dyDescent="0.3">
      <c r="A622" s="253" t="s">
        <v>290</v>
      </c>
      <c r="B622" s="253" t="s">
        <v>944</v>
      </c>
      <c r="C622" s="253" t="s">
        <v>84</v>
      </c>
      <c r="D622" s="253" t="s">
        <v>240</v>
      </c>
      <c r="E622" s="253" t="s">
        <v>896</v>
      </c>
      <c r="F622" s="253" t="s">
        <v>94</v>
      </c>
      <c r="G622" s="251" t="s">
        <v>868</v>
      </c>
      <c r="H622" s="251" t="s">
        <v>8</v>
      </c>
    </row>
    <row r="623" spans="1:8" x14ac:dyDescent="0.3">
      <c r="A623" s="253" t="s">
        <v>290</v>
      </c>
      <c r="B623" s="253" t="s">
        <v>944</v>
      </c>
      <c r="C623" s="253" t="s">
        <v>84</v>
      </c>
      <c r="D623" s="253" t="s">
        <v>240</v>
      </c>
      <c r="E623" s="253" t="s">
        <v>896</v>
      </c>
      <c r="F623" s="253" t="s">
        <v>94</v>
      </c>
      <c r="G623" s="251" t="s">
        <v>869</v>
      </c>
      <c r="H623" s="251" t="s">
        <v>8</v>
      </c>
    </row>
    <row r="624" spans="1:8" x14ac:dyDescent="0.3">
      <c r="A624" s="253" t="s">
        <v>290</v>
      </c>
      <c r="B624" s="253" t="s">
        <v>944</v>
      </c>
      <c r="C624" s="253" t="s">
        <v>84</v>
      </c>
      <c r="D624" s="253" t="s">
        <v>240</v>
      </c>
      <c r="E624" s="253" t="s">
        <v>896</v>
      </c>
      <c r="F624" s="253" t="s">
        <v>94</v>
      </c>
      <c r="G624" s="251" t="s">
        <v>870</v>
      </c>
      <c r="H624" s="251" t="s">
        <v>8</v>
      </c>
    </row>
    <row r="625" spans="1:8" x14ac:dyDescent="0.3">
      <c r="A625" s="253" t="s">
        <v>290</v>
      </c>
      <c r="B625" s="253" t="s">
        <v>944</v>
      </c>
      <c r="C625" s="253" t="s">
        <v>84</v>
      </c>
      <c r="D625" s="253" t="s">
        <v>240</v>
      </c>
      <c r="E625" s="253" t="s">
        <v>896</v>
      </c>
      <c r="F625" s="253" t="s">
        <v>94</v>
      </c>
      <c r="G625" s="251" t="s">
        <v>863</v>
      </c>
      <c r="H625" s="251" t="s">
        <v>6</v>
      </c>
    </row>
    <row r="626" spans="1:8" x14ac:dyDescent="0.3">
      <c r="A626" s="253" t="s">
        <v>233</v>
      </c>
      <c r="B626" s="253" t="s">
        <v>919</v>
      </c>
      <c r="C626" s="253" t="s">
        <v>84</v>
      </c>
      <c r="D626" s="253" t="s">
        <v>194</v>
      </c>
      <c r="E626" s="253" t="s">
        <v>896</v>
      </c>
      <c r="F626" s="253" t="s">
        <v>94</v>
      </c>
      <c r="G626" s="251" t="s">
        <v>868</v>
      </c>
      <c r="H626" s="251" t="s">
        <v>6</v>
      </c>
    </row>
    <row r="627" spans="1:8" x14ac:dyDescent="0.3">
      <c r="A627" s="253" t="s">
        <v>233</v>
      </c>
      <c r="B627" s="253" t="s">
        <v>919</v>
      </c>
      <c r="C627" s="253" t="s">
        <v>84</v>
      </c>
      <c r="D627" s="253" t="s">
        <v>194</v>
      </c>
      <c r="E627" s="253" t="s">
        <v>896</v>
      </c>
      <c r="F627" s="253" t="s">
        <v>94</v>
      </c>
      <c r="G627" s="251" t="s">
        <v>869</v>
      </c>
      <c r="H627" s="251" t="s">
        <v>4</v>
      </c>
    </row>
    <row r="628" spans="1:8" x14ac:dyDescent="0.3">
      <c r="A628" s="253" t="s">
        <v>233</v>
      </c>
      <c r="B628" s="253" t="s">
        <v>919</v>
      </c>
      <c r="C628" s="253" t="s">
        <v>84</v>
      </c>
      <c r="D628" s="253" t="s">
        <v>194</v>
      </c>
      <c r="E628" s="253" t="s">
        <v>896</v>
      </c>
      <c r="F628" s="253" t="s">
        <v>94</v>
      </c>
      <c r="G628" s="251" t="s">
        <v>873</v>
      </c>
      <c r="H628" s="251" t="s">
        <v>5</v>
      </c>
    </row>
    <row r="629" spans="1:8" x14ac:dyDescent="0.3">
      <c r="A629" s="253" t="s">
        <v>233</v>
      </c>
      <c r="B629" s="253" t="s">
        <v>919</v>
      </c>
      <c r="C629" s="253" t="s">
        <v>84</v>
      </c>
      <c r="D629" s="253" t="s">
        <v>194</v>
      </c>
      <c r="E629" s="253" t="s">
        <v>896</v>
      </c>
      <c r="F629" s="253" t="s">
        <v>94</v>
      </c>
      <c r="G629" s="251" t="s">
        <v>863</v>
      </c>
      <c r="H629" s="251" t="s">
        <v>7</v>
      </c>
    </row>
    <row r="630" spans="1:8" x14ac:dyDescent="0.3">
      <c r="A630" s="253" t="s">
        <v>227</v>
      </c>
      <c r="B630" s="253" t="s">
        <v>915</v>
      </c>
      <c r="C630" s="253" t="s">
        <v>84</v>
      </c>
      <c r="D630" s="253" t="s">
        <v>194</v>
      </c>
      <c r="E630" s="253" t="s">
        <v>896</v>
      </c>
      <c r="F630" s="253" t="s">
        <v>94</v>
      </c>
      <c r="G630" s="251" t="s">
        <v>868</v>
      </c>
      <c r="H630" s="251" t="s">
        <v>4</v>
      </c>
    </row>
    <row r="631" spans="1:8" x14ac:dyDescent="0.3">
      <c r="A631" s="253" t="s">
        <v>227</v>
      </c>
      <c r="B631" s="253" t="s">
        <v>915</v>
      </c>
      <c r="C631" s="253" t="s">
        <v>84</v>
      </c>
      <c r="D631" s="253" t="s">
        <v>194</v>
      </c>
      <c r="E631" s="253" t="s">
        <v>896</v>
      </c>
      <c r="F631" s="253" t="s">
        <v>94</v>
      </c>
      <c r="G631" s="251" t="s">
        <v>869</v>
      </c>
      <c r="H631" s="251" t="s">
        <v>8</v>
      </c>
    </row>
    <row r="632" spans="1:8" x14ac:dyDescent="0.3">
      <c r="A632" s="253" t="s">
        <v>227</v>
      </c>
      <c r="B632" s="253" t="s">
        <v>915</v>
      </c>
      <c r="C632" s="253" t="s">
        <v>84</v>
      </c>
      <c r="D632" s="253" t="s">
        <v>194</v>
      </c>
      <c r="E632" s="253" t="s">
        <v>896</v>
      </c>
      <c r="F632" s="253" t="s">
        <v>94</v>
      </c>
      <c r="G632" s="251" t="s">
        <v>873</v>
      </c>
      <c r="H632" s="251" t="s">
        <v>4</v>
      </c>
    </row>
    <row r="633" spans="1:8" x14ac:dyDescent="0.3">
      <c r="A633" s="253" t="s">
        <v>227</v>
      </c>
      <c r="B633" s="253" t="s">
        <v>915</v>
      </c>
      <c r="C633" s="253" t="s">
        <v>84</v>
      </c>
      <c r="D633" s="253" t="s">
        <v>194</v>
      </c>
      <c r="E633" s="253" t="s">
        <v>896</v>
      </c>
      <c r="F633" s="253" t="s">
        <v>94</v>
      </c>
      <c r="G633" s="251" t="s">
        <v>863</v>
      </c>
      <c r="H633" s="251" t="s">
        <v>6</v>
      </c>
    </row>
    <row r="634" spans="1:8" x14ac:dyDescent="0.3">
      <c r="A634" s="253" t="s">
        <v>277</v>
      </c>
      <c r="B634" s="253" t="s">
        <v>934</v>
      </c>
      <c r="C634" s="253" t="s">
        <v>84</v>
      </c>
      <c r="D634" s="253" t="s">
        <v>240</v>
      </c>
      <c r="E634" s="253" t="s">
        <v>896</v>
      </c>
      <c r="F634" s="253" t="s">
        <v>94</v>
      </c>
      <c r="G634" s="251" t="s">
        <v>868</v>
      </c>
      <c r="H634" s="251" t="s">
        <v>4</v>
      </c>
    </row>
    <row r="635" spans="1:8" x14ac:dyDescent="0.3">
      <c r="A635" s="253" t="s">
        <v>277</v>
      </c>
      <c r="B635" s="253" t="s">
        <v>934</v>
      </c>
      <c r="C635" s="253" t="s">
        <v>84</v>
      </c>
      <c r="D635" s="253" t="s">
        <v>240</v>
      </c>
      <c r="E635" s="253" t="s">
        <v>896</v>
      </c>
      <c r="F635" s="253" t="s">
        <v>94</v>
      </c>
      <c r="G635" s="251" t="s">
        <v>869</v>
      </c>
      <c r="H635" s="251" t="s">
        <v>8</v>
      </c>
    </row>
    <row r="636" spans="1:8" x14ac:dyDescent="0.3">
      <c r="A636" s="253" t="s">
        <v>277</v>
      </c>
      <c r="B636" s="253" t="s">
        <v>934</v>
      </c>
      <c r="C636" s="253" t="s">
        <v>84</v>
      </c>
      <c r="D636" s="253" t="s">
        <v>240</v>
      </c>
      <c r="E636" s="253" t="s">
        <v>896</v>
      </c>
      <c r="F636" s="253" t="s">
        <v>94</v>
      </c>
      <c r="G636" s="251" t="s">
        <v>870</v>
      </c>
      <c r="H636" s="251" t="s">
        <v>4</v>
      </c>
    </row>
    <row r="637" spans="1:8" x14ac:dyDescent="0.3">
      <c r="A637" s="253" t="s">
        <v>277</v>
      </c>
      <c r="B637" s="253" t="s">
        <v>934</v>
      </c>
      <c r="C637" s="253" t="s">
        <v>84</v>
      </c>
      <c r="D637" s="253" t="s">
        <v>240</v>
      </c>
      <c r="E637" s="253" t="s">
        <v>896</v>
      </c>
      <c r="F637" s="253" t="s">
        <v>94</v>
      </c>
      <c r="G637" s="251" t="s">
        <v>863</v>
      </c>
      <c r="H637" s="251" t="s">
        <v>8</v>
      </c>
    </row>
    <row r="638" spans="1:8" x14ac:dyDescent="0.3">
      <c r="A638" s="253" t="s">
        <v>952</v>
      </c>
      <c r="B638" s="253" t="s">
        <v>953</v>
      </c>
      <c r="C638" s="253" t="s">
        <v>8</v>
      </c>
      <c r="D638" s="253" t="s">
        <v>289</v>
      </c>
      <c r="E638" s="253" t="s">
        <v>896</v>
      </c>
      <c r="F638" s="253" t="s">
        <v>94</v>
      </c>
      <c r="G638" s="251" t="s">
        <v>869</v>
      </c>
      <c r="H638" s="251" t="s">
        <v>5</v>
      </c>
    </row>
    <row r="639" spans="1:8" x14ac:dyDescent="0.3">
      <c r="A639" s="253" t="s">
        <v>952</v>
      </c>
      <c r="B639" s="253" t="s">
        <v>953</v>
      </c>
      <c r="C639" s="253" t="s">
        <v>8</v>
      </c>
      <c r="D639" s="253" t="s">
        <v>289</v>
      </c>
      <c r="E639" s="253" t="s">
        <v>896</v>
      </c>
      <c r="F639" s="253" t="s">
        <v>94</v>
      </c>
      <c r="G639" s="251" t="s">
        <v>870</v>
      </c>
      <c r="H639" s="251" t="s">
        <v>4</v>
      </c>
    </row>
    <row r="640" spans="1:8" x14ac:dyDescent="0.3">
      <c r="A640" s="253" t="s">
        <v>952</v>
      </c>
      <c r="B640" s="253" t="s">
        <v>953</v>
      </c>
      <c r="C640" s="253" t="s">
        <v>8</v>
      </c>
      <c r="D640" s="253" t="s">
        <v>289</v>
      </c>
      <c r="E640" s="253" t="s">
        <v>896</v>
      </c>
      <c r="F640" s="253" t="s">
        <v>94</v>
      </c>
      <c r="G640" s="251" t="s">
        <v>871</v>
      </c>
      <c r="H640" s="251" t="s">
        <v>5</v>
      </c>
    </row>
    <row r="641" spans="1:8" x14ac:dyDescent="0.3">
      <c r="A641" s="253" t="s">
        <v>952</v>
      </c>
      <c r="B641" s="253" t="s">
        <v>953</v>
      </c>
      <c r="C641" s="253" t="s">
        <v>8</v>
      </c>
      <c r="D641" s="253" t="s">
        <v>289</v>
      </c>
      <c r="E641" s="253" t="s">
        <v>896</v>
      </c>
      <c r="F641" s="253" t="s">
        <v>94</v>
      </c>
      <c r="G641" s="251" t="s">
        <v>863</v>
      </c>
      <c r="H641" s="251" t="s">
        <v>6</v>
      </c>
    </row>
    <row r="642" spans="1:8" x14ac:dyDescent="0.3">
      <c r="A642" s="253" t="s">
        <v>962</v>
      </c>
      <c r="B642" s="253" t="s">
        <v>963</v>
      </c>
      <c r="C642" s="253" t="s">
        <v>84</v>
      </c>
      <c r="D642" s="253" t="s">
        <v>289</v>
      </c>
      <c r="E642" s="253" t="s">
        <v>896</v>
      </c>
      <c r="F642" s="253" t="s">
        <v>94</v>
      </c>
      <c r="G642" s="251" t="s">
        <v>869</v>
      </c>
      <c r="H642" s="251" t="s">
        <v>5</v>
      </c>
    </row>
    <row r="643" spans="1:8" x14ac:dyDescent="0.3">
      <c r="A643" s="253" t="s">
        <v>962</v>
      </c>
      <c r="B643" s="253" t="s">
        <v>963</v>
      </c>
      <c r="C643" s="253" t="s">
        <v>84</v>
      </c>
      <c r="D643" s="253" t="s">
        <v>289</v>
      </c>
      <c r="E643" s="253" t="s">
        <v>896</v>
      </c>
      <c r="F643" s="253" t="s">
        <v>94</v>
      </c>
      <c r="G643" s="251" t="s">
        <v>870</v>
      </c>
      <c r="H643" s="251" t="s">
        <v>8</v>
      </c>
    </row>
    <row r="644" spans="1:8" x14ac:dyDescent="0.3">
      <c r="A644" s="253" t="s">
        <v>962</v>
      </c>
      <c r="B644" s="253" t="s">
        <v>963</v>
      </c>
      <c r="C644" s="253" t="s">
        <v>84</v>
      </c>
      <c r="D644" s="253" t="s">
        <v>289</v>
      </c>
      <c r="E644" s="253" t="s">
        <v>896</v>
      </c>
      <c r="F644" s="253" t="s">
        <v>94</v>
      </c>
      <c r="G644" s="251" t="s">
        <v>871</v>
      </c>
      <c r="H644" s="251" t="s">
        <v>4</v>
      </c>
    </row>
    <row r="645" spans="1:8" x14ac:dyDescent="0.3">
      <c r="A645" s="253" t="s">
        <v>962</v>
      </c>
      <c r="B645" s="253" t="s">
        <v>963</v>
      </c>
      <c r="C645" s="253" t="s">
        <v>84</v>
      </c>
      <c r="D645" s="253" t="s">
        <v>289</v>
      </c>
      <c r="E645" s="253" t="s">
        <v>896</v>
      </c>
      <c r="F645" s="253" t="s">
        <v>94</v>
      </c>
      <c r="G645" s="251" t="s">
        <v>863</v>
      </c>
      <c r="H645" s="251" t="s">
        <v>8</v>
      </c>
    </row>
    <row r="646" spans="1:8" x14ac:dyDescent="0.3">
      <c r="A646" s="253" t="s">
        <v>281</v>
      </c>
      <c r="B646" s="253" t="s">
        <v>938</v>
      </c>
      <c r="C646" s="253" t="s">
        <v>84</v>
      </c>
      <c r="D646" s="253" t="s">
        <v>240</v>
      </c>
      <c r="E646" s="253" t="s">
        <v>896</v>
      </c>
      <c r="F646" s="253" t="s">
        <v>94</v>
      </c>
      <c r="G646" s="251" t="s">
        <v>868</v>
      </c>
      <c r="H646" s="251" t="s">
        <v>8</v>
      </c>
    </row>
    <row r="647" spans="1:8" x14ac:dyDescent="0.3">
      <c r="A647" s="253" t="s">
        <v>281</v>
      </c>
      <c r="B647" s="253" t="s">
        <v>938</v>
      </c>
      <c r="C647" s="253" t="s">
        <v>84</v>
      </c>
      <c r="D647" s="253" t="s">
        <v>240</v>
      </c>
      <c r="E647" s="253" t="s">
        <v>896</v>
      </c>
      <c r="F647" s="253" t="s">
        <v>94</v>
      </c>
      <c r="G647" s="251" t="s">
        <v>869</v>
      </c>
      <c r="H647" s="251" t="s">
        <v>8</v>
      </c>
    </row>
    <row r="648" spans="1:8" x14ac:dyDescent="0.3">
      <c r="A648" s="253" t="s">
        <v>281</v>
      </c>
      <c r="B648" s="253" t="s">
        <v>938</v>
      </c>
      <c r="C648" s="253" t="s">
        <v>84</v>
      </c>
      <c r="D648" s="253" t="s">
        <v>240</v>
      </c>
      <c r="E648" s="253" t="s">
        <v>896</v>
      </c>
      <c r="F648" s="253" t="s">
        <v>94</v>
      </c>
      <c r="G648" s="251" t="s">
        <v>870</v>
      </c>
      <c r="H648" s="251" t="s">
        <v>8</v>
      </c>
    </row>
    <row r="649" spans="1:8" x14ac:dyDescent="0.3">
      <c r="A649" s="253" t="s">
        <v>281</v>
      </c>
      <c r="B649" s="253" t="s">
        <v>938</v>
      </c>
      <c r="C649" s="253" t="s">
        <v>84</v>
      </c>
      <c r="D649" s="253" t="s">
        <v>240</v>
      </c>
      <c r="E649" s="253" t="s">
        <v>896</v>
      </c>
      <c r="F649" s="253" t="s">
        <v>94</v>
      </c>
      <c r="G649" s="251" t="s">
        <v>863</v>
      </c>
      <c r="H649" s="251" t="s">
        <v>5</v>
      </c>
    </row>
    <row r="650" spans="1:8" x14ac:dyDescent="0.3">
      <c r="A650" s="253" t="s">
        <v>279</v>
      </c>
      <c r="B650" s="253" t="s">
        <v>936</v>
      </c>
      <c r="C650" s="253" t="s">
        <v>84</v>
      </c>
      <c r="D650" s="253" t="s">
        <v>240</v>
      </c>
      <c r="E650" s="253" t="s">
        <v>896</v>
      </c>
      <c r="F650" s="253" t="s">
        <v>94</v>
      </c>
      <c r="G650" s="251" t="s">
        <v>868</v>
      </c>
      <c r="H650" s="251" t="s">
        <v>8</v>
      </c>
    </row>
    <row r="651" spans="1:8" x14ac:dyDescent="0.3">
      <c r="A651" s="253" t="s">
        <v>279</v>
      </c>
      <c r="B651" s="253" t="s">
        <v>936</v>
      </c>
      <c r="C651" s="253" t="s">
        <v>84</v>
      </c>
      <c r="D651" s="253" t="s">
        <v>240</v>
      </c>
      <c r="E651" s="253" t="s">
        <v>896</v>
      </c>
      <c r="F651" s="253" t="s">
        <v>94</v>
      </c>
      <c r="G651" s="251" t="s">
        <v>869</v>
      </c>
      <c r="H651" s="251" t="s">
        <v>4</v>
      </c>
    </row>
    <row r="652" spans="1:8" x14ac:dyDescent="0.3">
      <c r="A652" s="253" t="s">
        <v>279</v>
      </c>
      <c r="B652" s="253" t="s">
        <v>936</v>
      </c>
      <c r="C652" s="253" t="s">
        <v>84</v>
      </c>
      <c r="D652" s="253" t="s">
        <v>240</v>
      </c>
      <c r="E652" s="253" t="s">
        <v>896</v>
      </c>
      <c r="F652" s="253" t="s">
        <v>94</v>
      </c>
      <c r="G652" s="251" t="s">
        <v>870</v>
      </c>
      <c r="H652" s="251" t="s">
        <v>4</v>
      </c>
    </row>
    <row r="653" spans="1:8" x14ac:dyDescent="0.3">
      <c r="A653" s="253" t="s">
        <v>279</v>
      </c>
      <c r="B653" s="253" t="s">
        <v>936</v>
      </c>
      <c r="C653" s="253" t="s">
        <v>84</v>
      </c>
      <c r="D653" s="253" t="s">
        <v>240</v>
      </c>
      <c r="E653" s="253" t="s">
        <v>896</v>
      </c>
      <c r="F653" s="253" t="s">
        <v>94</v>
      </c>
      <c r="G653" s="251" t="s">
        <v>863</v>
      </c>
      <c r="H653" s="251" t="s">
        <v>6</v>
      </c>
    </row>
    <row r="654" spans="1:8" x14ac:dyDescent="0.3">
      <c r="A654" s="253" t="s">
        <v>971</v>
      </c>
      <c r="B654" s="253" t="s">
        <v>972</v>
      </c>
      <c r="C654" s="253" t="s">
        <v>84</v>
      </c>
      <c r="D654" s="253" t="s">
        <v>289</v>
      </c>
      <c r="E654" s="253" t="s">
        <v>896</v>
      </c>
      <c r="F654" s="253" t="s">
        <v>94</v>
      </c>
      <c r="G654" s="251" t="s">
        <v>869</v>
      </c>
      <c r="H654" s="251" t="s">
        <v>4</v>
      </c>
    </row>
    <row r="655" spans="1:8" x14ac:dyDescent="0.3">
      <c r="A655" s="253" t="s">
        <v>971</v>
      </c>
      <c r="B655" s="253" t="s">
        <v>972</v>
      </c>
      <c r="C655" s="253" t="s">
        <v>84</v>
      </c>
      <c r="D655" s="253" t="s">
        <v>289</v>
      </c>
      <c r="E655" s="253" t="s">
        <v>896</v>
      </c>
      <c r="F655" s="253" t="s">
        <v>94</v>
      </c>
      <c r="G655" s="251" t="s">
        <v>870</v>
      </c>
      <c r="H655" s="251" t="s">
        <v>4</v>
      </c>
    </row>
    <row r="656" spans="1:8" x14ac:dyDescent="0.3">
      <c r="A656" s="253" t="s">
        <v>971</v>
      </c>
      <c r="B656" s="253" t="s">
        <v>972</v>
      </c>
      <c r="C656" s="253" t="s">
        <v>84</v>
      </c>
      <c r="D656" s="253" t="s">
        <v>289</v>
      </c>
      <c r="E656" s="253" t="s">
        <v>896</v>
      </c>
      <c r="F656" s="253" t="s">
        <v>94</v>
      </c>
      <c r="G656" s="251" t="s">
        <v>871</v>
      </c>
      <c r="H656" s="251" t="s">
        <v>4</v>
      </c>
    </row>
    <row r="657" spans="1:8" x14ac:dyDescent="0.3">
      <c r="A657" s="253" t="s">
        <v>971</v>
      </c>
      <c r="B657" s="253" t="s">
        <v>972</v>
      </c>
      <c r="C657" s="253" t="s">
        <v>84</v>
      </c>
      <c r="D657" s="253" t="s">
        <v>289</v>
      </c>
      <c r="E657" s="253" t="s">
        <v>896</v>
      </c>
      <c r="F657" s="253" t="s">
        <v>94</v>
      </c>
      <c r="G657" s="251" t="s">
        <v>863</v>
      </c>
      <c r="H657" s="251" t="s">
        <v>6</v>
      </c>
    </row>
    <row r="658" spans="1:8" x14ac:dyDescent="0.3">
      <c r="A658" s="253" t="s">
        <v>248</v>
      </c>
      <c r="B658" s="253" t="s">
        <v>925</v>
      </c>
      <c r="C658" s="253" t="s">
        <v>8</v>
      </c>
      <c r="D658" s="253" t="s">
        <v>240</v>
      </c>
      <c r="E658" s="253" t="s">
        <v>896</v>
      </c>
      <c r="F658" s="253" t="s">
        <v>94</v>
      </c>
      <c r="G658" s="251" t="s">
        <v>868</v>
      </c>
      <c r="H658" s="251" t="s">
        <v>5</v>
      </c>
    </row>
    <row r="659" spans="1:8" x14ac:dyDescent="0.3">
      <c r="A659" s="253" t="s">
        <v>248</v>
      </c>
      <c r="B659" s="253" t="s">
        <v>925</v>
      </c>
      <c r="C659" s="253" t="s">
        <v>8</v>
      </c>
      <c r="D659" s="253" t="s">
        <v>240</v>
      </c>
      <c r="E659" s="253" t="s">
        <v>896</v>
      </c>
      <c r="F659" s="253" t="s">
        <v>94</v>
      </c>
      <c r="G659" s="251" t="s">
        <v>869</v>
      </c>
      <c r="H659" s="251" t="s">
        <v>8</v>
      </c>
    </row>
    <row r="660" spans="1:8" x14ac:dyDescent="0.3">
      <c r="A660" s="253" t="s">
        <v>248</v>
      </c>
      <c r="B660" s="253" t="s">
        <v>925</v>
      </c>
      <c r="C660" s="253" t="s">
        <v>8</v>
      </c>
      <c r="D660" s="253" t="s">
        <v>240</v>
      </c>
      <c r="E660" s="253" t="s">
        <v>896</v>
      </c>
      <c r="F660" s="253" t="s">
        <v>94</v>
      </c>
      <c r="G660" s="251" t="s">
        <v>870</v>
      </c>
      <c r="H660" s="251" t="s">
        <v>8</v>
      </c>
    </row>
    <row r="661" spans="1:8" x14ac:dyDescent="0.3">
      <c r="A661" s="253" t="s">
        <v>248</v>
      </c>
      <c r="B661" s="253" t="s">
        <v>925</v>
      </c>
      <c r="C661" s="253" t="s">
        <v>8</v>
      </c>
      <c r="D661" s="253" t="s">
        <v>240</v>
      </c>
      <c r="E661" s="253" t="s">
        <v>896</v>
      </c>
      <c r="F661" s="253" t="s">
        <v>94</v>
      </c>
      <c r="G661" s="251" t="s">
        <v>863</v>
      </c>
      <c r="H661" s="251" t="s">
        <v>8</v>
      </c>
    </row>
    <row r="662" spans="1:8" x14ac:dyDescent="0.3">
      <c r="A662" s="253" t="s">
        <v>958</v>
      </c>
      <c r="B662" s="253" t="s">
        <v>959</v>
      </c>
      <c r="C662" s="253" t="s">
        <v>8</v>
      </c>
      <c r="D662" s="253" t="s">
        <v>289</v>
      </c>
      <c r="E662" s="253" t="s">
        <v>896</v>
      </c>
      <c r="F662" s="253" t="s">
        <v>94</v>
      </c>
      <c r="G662" s="251" t="s">
        <v>869</v>
      </c>
      <c r="H662" s="251" t="s">
        <v>5</v>
      </c>
    </row>
    <row r="663" spans="1:8" x14ac:dyDescent="0.3">
      <c r="A663" s="253" t="s">
        <v>958</v>
      </c>
      <c r="B663" s="253" t="s">
        <v>959</v>
      </c>
      <c r="C663" s="253" t="s">
        <v>8</v>
      </c>
      <c r="D663" s="253" t="s">
        <v>289</v>
      </c>
      <c r="E663" s="253" t="s">
        <v>896</v>
      </c>
      <c r="F663" s="253" t="s">
        <v>94</v>
      </c>
      <c r="G663" s="251" t="s">
        <v>870</v>
      </c>
      <c r="H663" s="251" t="s">
        <v>4</v>
      </c>
    </row>
    <row r="664" spans="1:8" x14ac:dyDescent="0.3">
      <c r="A664" s="253" t="s">
        <v>958</v>
      </c>
      <c r="B664" s="253" t="s">
        <v>959</v>
      </c>
      <c r="C664" s="253" t="s">
        <v>8</v>
      </c>
      <c r="D664" s="253" t="s">
        <v>289</v>
      </c>
      <c r="E664" s="253" t="s">
        <v>896</v>
      </c>
      <c r="F664" s="253" t="s">
        <v>94</v>
      </c>
      <c r="G664" s="251" t="s">
        <v>871</v>
      </c>
      <c r="H664" s="251" t="s">
        <v>5</v>
      </c>
    </row>
    <row r="665" spans="1:8" x14ac:dyDescent="0.3">
      <c r="A665" s="253" t="s">
        <v>958</v>
      </c>
      <c r="B665" s="253" t="s">
        <v>959</v>
      </c>
      <c r="C665" s="253" t="s">
        <v>8</v>
      </c>
      <c r="D665" s="253" t="s">
        <v>289</v>
      </c>
      <c r="E665" s="253" t="s">
        <v>896</v>
      </c>
      <c r="F665" s="253" t="s">
        <v>94</v>
      </c>
      <c r="G665" s="251" t="s">
        <v>863</v>
      </c>
      <c r="H665" s="251" t="s">
        <v>8</v>
      </c>
    </row>
    <row r="666" spans="1:8" x14ac:dyDescent="0.3">
      <c r="A666" s="253" t="s">
        <v>135</v>
      </c>
      <c r="B666" s="253" t="s">
        <v>909</v>
      </c>
      <c r="C666" s="253" t="s">
        <v>84</v>
      </c>
      <c r="D666" s="253" t="s">
        <v>40</v>
      </c>
      <c r="E666" s="253" t="s">
        <v>41</v>
      </c>
      <c r="F666" s="253" t="s">
        <v>94</v>
      </c>
      <c r="G666" s="251" t="s">
        <v>864</v>
      </c>
      <c r="H666" s="251" t="s">
        <v>4</v>
      </c>
    </row>
    <row r="667" spans="1:8" x14ac:dyDescent="0.3">
      <c r="A667" s="253" t="s">
        <v>135</v>
      </c>
      <c r="B667" s="253" t="s">
        <v>909</v>
      </c>
      <c r="C667" s="253" t="s">
        <v>84</v>
      </c>
      <c r="D667" s="253" t="s">
        <v>40</v>
      </c>
      <c r="E667" s="253" t="s">
        <v>41</v>
      </c>
      <c r="F667" s="253" t="s">
        <v>94</v>
      </c>
      <c r="G667" s="251" t="s">
        <v>865</v>
      </c>
      <c r="H667" s="251" t="s">
        <v>4</v>
      </c>
    </row>
    <row r="668" spans="1:8" x14ac:dyDescent="0.3">
      <c r="A668" s="253" t="s">
        <v>135</v>
      </c>
      <c r="B668" s="253" t="s">
        <v>909</v>
      </c>
      <c r="C668" s="253" t="s">
        <v>84</v>
      </c>
      <c r="D668" s="253" t="s">
        <v>40</v>
      </c>
      <c r="E668" s="253" t="s">
        <v>41</v>
      </c>
      <c r="F668" s="253" t="s">
        <v>94</v>
      </c>
      <c r="G668" s="251" t="s">
        <v>866</v>
      </c>
      <c r="H668" s="251" t="s">
        <v>2</v>
      </c>
    </row>
    <row r="669" spans="1:8" x14ac:dyDescent="0.3">
      <c r="A669" s="253" t="s">
        <v>135</v>
      </c>
      <c r="B669" s="253" t="s">
        <v>909</v>
      </c>
      <c r="C669" s="253" t="s">
        <v>84</v>
      </c>
      <c r="D669" s="253" t="s">
        <v>40</v>
      </c>
      <c r="E669" s="253" t="s">
        <v>41</v>
      </c>
      <c r="F669" s="253" t="s">
        <v>94</v>
      </c>
      <c r="G669" s="251" t="s">
        <v>863</v>
      </c>
      <c r="H669" s="251" t="s">
        <v>6</v>
      </c>
    </row>
    <row r="670" spans="1:8" x14ac:dyDescent="0.3">
      <c r="A670" s="253" t="s">
        <v>297</v>
      </c>
      <c r="B670" s="253" t="s">
        <v>949</v>
      </c>
      <c r="C670" s="253" t="s">
        <v>84</v>
      </c>
      <c r="D670" s="253" t="s">
        <v>240</v>
      </c>
      <c r="E670" s="253" t="s">
        <v>896</v>
      </c>
      <c r="F670" s="253" t="s">
        <v>94</v>
      </c>
      <c r="G670" s="251" t="s">
        <v>868</v>
      </c>
      <c r="H670" s="251" t="s">
        <v>8</v>
      </c>
    </row>
    <row r="671" spans="1:8" x14ac:dyDescent="0.3">
      <c r="A671" s="253" t="s">
        <v>297</v>
      </c>
      <c r="B671" s="253" t="s">
        <v>949</v>
      </c>
      <c r="C671" s="253" t="s">
        <v>84</v>
      </c>
      <c r="D671" s="253" t="s">
        <v>240</v>
      </c>
      <c r="E671" s="253" t="s">
        <v>896</v>
      </c>
      <c r="F671" s="253" t="s">
        <v>94</v>
      </c>
      <c r="G671" s="251" t="s">
        <v>869</v>
      </c>
      <c r="H671" s="251" t="s">
        <v>4</v>
      </c>
    </row>
    <row r="672" spans="1:8" x14ac:dyDescent="0.3">
      <c r="A672" s="253" t="s">
        <v>297</v>
      </c>
      <c r="B672" s="253" t="s">
        <v>949</v>
      </c>
      <c r="C672" s="253" t="s">
        <v>84</v>
      </c>
      <c r="D672" s="253" t="s">
        <v>240</v>
      </c>
      <c r="E672" s="253" t="s">
        <v>896</v>
      </c>
      <c r="F672" s="253" t="s">
        <v>94</v>
      </c>
      <c r="G672" s="251" t="s">
        <v>870</v>
      </c>
      <c r="H672" s="251" t="s">
        <v>8</v>
      </c>
    </row>
    <row r="673" spans="1:8" x14ac:dyDescent="0.3">
      <c r="A673" s="253" t="s">
        <v>297</v>
      </c>
      <c r="B673" s="253" t="s">
        <v>949</v>
      </c>
      <c r="C673" s="253" t="s">
        <v>84</v>
      </c>
      <c r="D673" s="253" t="s">
        <v>240</v>
      </c>
      <c r="E673" s="253" t="s">
        <v>896</v>
      </c>
      <c r="F673" s="253" t="s">
        <v>94</v>
      </c>
      <c r="G673" s="251" t="s">
        <v>863</v>
      </c>
      <c r="H673" s="251" t="s">
        <v>7</v>
      </c>
    </row>
    <row r="674" spans="1:8" x14ac:dyDescent="0.3">
      <c r="A674" s="253" t="s">
        <v>287</v>
      </c>
      <c r="B674" s="253" t="s">
        <v>942</v>
      </c>
      <c r="C674" s="253" t="s">
        <v>84</v>
      </c>
      <c r="D674" s="253" t="s">
        <v>240</v>
      </c>
      <c r="E674" s="253" t="s">
        <v>896</v>
      </c>
      <c r="F674" s="253" t="s">
        <v>94</v>
      </c>
      <c r="G674" s="251" t="s">
        <v>868</v>
      </c>
      <c r="H674" s="251" t="s">
        <v>8</v>
      </c>
    </row>
    <row r="675" spans="1:8" x14ac:dyDescent="0.3">
      <c r="A675" s="253" t="s">
        <v>287</v>
      </c>
      <c r="B675" s="253" t="s">
        <v>942</v>
      </c>
      <c r="C675" s="253" t="s">
        <v>84</v>
      </c>
      <c r="D675" s="253" t="s">
        <v>240</v>
      </c>
      <c r="E675" s="253" t="s">
        <v>896</v>
      </c>
      <c r="F675" s="253" t="s">
        <v>94</v>
      </c>
      <c r="G675" s="251" t="s">
        <v>869</v>
      </c>
      <c r="H675" s="251" t="s">
        <v>4</v>
      </c>
    </row>
    <row r="676" spans="1:8" x14ac:dyDescent="0.3">
      <c r="A676" s="253" t="s">
        <v>287</v>
      </c>
      <c r="B676" s="253" t="s">
        <v>942</v>
      </c>
      <c r="C676" s="253" t="s">
        <v>84</v>
      </c>
      <c r="D676" s="253" t="s">
        <v>240</v>
      </c>
      <c r="E676" s="253" t="s">
        <v>896</v>
      </c>
      <c r="F676" s="253" t="s">
        <v>94</v>
      </c>
      <c r="G676" s="251" t="s">
        <v>870</v>
      </c>
      <c r="H676" s="251" t="s">
        <v>8</v>
      </c>
    </row>
    <row r="677" spans="1:8" x14ac:dyDescent="0.3">
      <c r="A677" s="253" t="s">
        <v>287</v>
      </c>
      <c r="B677" s="253" t="s">
        <v>942</v>
      </c>
      <c r="C677" s="253" t="s">
        <v>84</v>
      </c>
      <c r="D677" s="253" t="s">
        <v>240</v>
      </c>
      <c r="E677" s="253" t="s">
        <v>896</v>
      </c>
      <c r="F677" s="253" t="s">
        <v>94</v>
      </c>
      <c r="G677" s="251" t="s">
        <v>863</v>
      </c>
      <c r="H677" s="251" t="s">
        <v>6</v>
      </c>
    </row>
    <row r="678" spans="1:8" x14ac:dyDescent="0.3">
      <c r="A678" s="253" t="s">
        <v>93</v>
      </c>
      <c r="B678" s="253" t="s">
        <v>898</v>
      </c>
      <c r="C678" s="253" t="s">
        <v>8</v>
      </c>
      <c r="D678" s="253" t="s">
        <v>40</v>
      </c>
      <c r="E678" s="253" t="s">
        <v>41</v>
      </c>
      <c r="F678" s="253" t="s">
        <v>94</v>
      </c>
      <c r="G678" s="251" t="s">
        <v>864</v>
      </c>
      <c r="H678" s="251" t="s">
        <v>4</v>
      </c>
    </row>
    <row r="679" spans="1:8" x14ac:dyDescent="0.3">
      <c r="A679" s="253" t="s">
        <v>93</v>
      </c>
      <c r="B679" s="253" t="s">
        <v>898</v>
      </c>
      <c r="C679" s="253" t="s">
        <v>8</v>
      </c>
      <c r="D679" s="253" t="s">
        <v>40</v>
      </c>
      <c r="E679" s="253" t="s">
        <v>41</v>
      </c>
      <c r="F679" s="253" t="s">
        <v>94</v>
      </c>
      <c r="G679" s="251" t="s">
        <v>865</v>
      </c>
      <c r="H679" s="251" t="s">
        <v>3</v>
      </c>
    </row>
    <row r="680" spans="1:8" x14ac:dyDescent="0.3">
      <c r="A680" s="253" t="s">
        <v>93</v>
      </c>
      <c r="B680" s="253" t="s">
        <v>898</v>
      </c>
      <c r="C680" s="253" t="s">
        <v>8</v>
      </c>
      <c r="D680" s="253" t="s">
        <v>40</v>
      </c>
      <c r="E680" s="253" t="s">
        <v>41</v>
      </c>
      <c r="F680" s="253" t="s">
        <v>94</v>
      </c>
      <c r="G680" s="251" t="s">
        <v>866</v>
      </c>
      <c r="H680" s="251" t="s">
        <v>2</v>
      </c>
    </row>
    <row r="681" spans="1:8" x14ac:dyDescent="0.3">
      <c r="A681" s="253" t="s">
        <v>93</v>
      </c>
      <c r="B681" s="253" t="s">
        <v>898</v>
      </c>
      <c r="C681" s="253" t="s">
        <v>8</v>
      </c>
      <c r="D681" s="253" t="s">
        <v>40</v>
      </c>
      <c r="E681" s="253" t="s">
        <v>41</v>
      </c>
      <c r="F681" s="253" t="s">
        <v>94</v>
      </c>
      <c r="G681" s="251" t="s">
        <v>863</v>
      </c>
      <c r="H681" s="251" t="s">
        <v>5</v>
      </c>
    </row>
    <row r="682" spans="1:8" x14ac:dyDescent="0.3">
      <c r="A682" s="253" t="s">
        <v>274</v>
      </c>
      <c r="B682" s="253" t="s">
        <v>931</v>
      </c>
      <c r="C682" s="253" t="s">
        <v>84</v>
      </c>
      <c r="D682" s="253" t="s">
        <v>240</v>
      </c>
      <c r="E682" s="253" t="s">
        <v>896</v>
      </c>
      <c r="F682" s="253" t="s">
        <v>94</v>
      </c>
      <c r="G682" s="251" t="s">
        <v>868</v>
      </c>
      <c r="H682" s="251" t="s">
        <v>5</v>
      </c>
    </row>
    <row r="683" spans="1:8" x14ac:dyDescent="0.3">
      <c r="A683" s="253" t="s">
        <v>274</v>
      </c>
      <c r="B683" s="253" t="s">
        <v>931</v>
      </c>
      <c r="C683" s="253" t="s">
        <v>84</v>
      </c>
      <c r="D683" s="253" t="s">
        <v>240</v>
      </c>
      <c r="E683" s="253" t="s">
        <v>896</v>
      </c>
      <c r="F683" s="253" t="s">
        <v>94</v>
      </c>
      <c r="G683" s="251" t="s">
        <v>869</v>
      </c>
      <c r="H683" s="251" t="s">
        <v>4</v>
      </c>
    </row>
    <row r="684" spans="1:8" x14ac:dyDescent="0.3">
      <c r="A684" s="253" t="s">
        <v>274</v>
      </c>
      <c r="B684" s="253" t="s">
        <v>931</v>
      </c>
      <c r="C684" s="253" t="s">
        <v>84</v>
      </c>
      <c r="D684" s="253" t="s">
        <v>240</v>
      </c>
      <c r="E684" s="253" t="s">
        <v>896</v>
      </c>
      <c r="F684" s="253" t="s">
        <v>94</v>
      </c>
      <c r="G684" s="251" t="s">
        <v>870</v>
      </c>
      <c r="H684" s="251" t="s">
        <v>5</v>
      </c>
    </row>
    <row r="685" spans="1:8" x14ac:dyDescent="0.3">
      <c r="A685" s="253" t="s">
        <v>274</v>
      </c>
      <c r="B685" s="253" t="s">
        <v>931</v>
      </c>
      <c r="C685" s="253" t="s">
        <v>84</v>
      </c>
      <c r="D685" s="253" t="s">
        <v>240</v>
      </c>
      <c r="E685" s="253" t="s">
        <v>896</v>
      </c>
      <c r="F685" s="253" t="s">
        <v>94</v>
      </c>
      <c r="G685" s="251" t="s">
        <v>863</v>
      </c>
      <c r="H685" s="251" t="s">
        <v>6</v>
      </c>
    </row>
    <row r="686" spans="1:8" x14ac:dyDescent="0.3">
      <c r="A686" s="253" t="s">
        <v>249</v>
      </c>
      <c r="B686" s="253" t="s">
        <v>926</v>
      </c>
      <c r="C686" s="253" t="s">
        <v>8</v>
      </c>
      <c r="D686" s="253" t="s">
        <v>240</v>
      </c>
      <c r="E686" s="253" t="s">
        <v>896</v>
      </c>
      <c r="F686" s="253" t="s">
        <v>94</v>
      </c>
      <c r="G686" s="251" t="s">
        <v>868</v>
      </c>
      <c r="H686" s="251" t="s">
        <v>6</v>
      </c>
    </row>
    <row r="687" spans="1:8" x14ac:dyDescent="0.3">
      <c r="A687" s="253" t="s">
        <v>249</v>
      </c>
      <c r="B687" s="253" t="s">
        <v>926</v>
      </c>
      <c r="C687" s="253" t="s">
        <v>8</v>
      </c>
      <c r="D687" s="253" t="s">
        <v>240</v>
      </c>
      <c r="E687" s="253" t="s">
        <v>896</v>
      </c>
      <c r="F687" s="253" t="s">
        <v>94</v>
      </c>
      <c r="G687" s="251" t="s">
        <v>869</v>
      </c>
      <c r="H687" s="251" t="s">
        <v>6</v>
      </c>
    </row>
    <row r="688" spans="1:8" x14ac:dyDescent="0.3">
      <c r="A688" s="253" t="s">
        <v>249</v>
      </c>
      <c r="B688" s="253" t="s">
        <v>926</v>
      </c>
      <c r="C688" s="253" t="s">
        <v>8</v>
      </c>
      <c r="D688" s="253" t="s">
        <v>240</v>
      </c>
      <c r="E688" s="253" t="s">
        <v>896</v>
      </c>
      <c r="F688" s="253" t="s">
        <v>94</v>
      </c>
      <c r="G688" s="251" t="s">
        <v>870</v>
      </c>
      <c r="H688" s="251" t="s">
        <v>4</v>
      </c>
    </row>
    <row r="689" spans="1:8" x14ac:dyDescent="0.3">
      <c r="A689" s="253" t="s">
        <v>249</v>
      </c>
      <c r="B689" s="253" t="s">
        <v>926</v>
      </c>
      <c r="C689" s="253" t="s">
        <v>8</v>
      </c>
      <c r="D689" s="253" t="s">
        <v>240</v>
      </c>
      <c r="E689" s="253" t="s">
        <v>896</v>
      </c>
      <c r="F689" s="253" t="s">
        <v>94</v>
      </c>
      <c r="G689" s="251" t="s">
        <v>863</v>
      </c>
      <c r="H689" s="251" t="s">
        <v>5</v>
      </c>
    </row>
    <row r="690" spans="1:8" x14ac:dyDescent="0.3">
      <c r="A690" s="253" t="s">
        <v>313</v>
      </c>
      <c r="B690" s="253" t="s">
        <v>314</v>
      </c>
      <c r="C690" s="253" t="s">
        <v>8</v>
      </c>
      <c r="D690" s="253" t="s">
        <v>304</v>
      </c>
      <c r="E690" s="253" t="s">
        <v>895</v>
      </c>
      <c r="F690" s="253" t="s">
        <v>42</v>
      </c>
      <c r="G690" s="251" t="s">
        <v>875</v>
      </c>
      <c r="H690" s="251" t="s">
        <v>8</v>
      </c>
    </row>
    <row r="691" spans="1:8" x14ac:dyDescent="0.3">
      <c r="A691" s="253" t="s">
        <v>313</v>
      </c>
      <c r="B691" s="253" t="s">
        <v>314</v>
      </c>
      <c r="C691" s="253" t="s">
        <v>8</v>
      </c>
      <c r="D691" s="253" t="s">
        <v>304</v>
      </c>
      <c r="E691" s="253" t="s">
        <v>895</v>
      </c>
      <c r="F691" s="253" t="s">
        <v>42</v>
      </c>
      <c r="G691" s="251" t="s">
        <v>876</v>
      </c>
      <c r="H691" s="251" t="s">
        <v>8</v>
      </c>
    </row>
    <row r="692" spans="1:8" x14ac:dyDescent="0.3">
      <c r="A692" s="253" t="s">
        <v>313</v>
      </c>
      <c r="B692" s="253" t="s">
        <v>314</v>
      </c>
      <c r="C692" s="253" t="s">
        <v>8</v>
      </c>
      <c r="D692" s="253" t="s">
        <v>304</v>
      </c>
      <c r="E692" s="253" t="s">
        <v>895</v>
      </c>
      <c r="F692" s="253" t="s">
        <v>42</v>
      </c>
      <c r="G692" s="251" t="s">
        <v>877</v>
      </c>
      <c r="H692" s="251" t="s">
        <v>4</v>
      </c>
    </row>
    <row r="693" spans="1:8" x14ac:dyDescent="0.3">
      <c r="A693" s="253" t="s">
        <v>313</v>
      </c>
      <c r="B693" s="253" t="s">
        <v>314</v>
      </c>
      <c r="C693" s="253" t="s">
        <v>8</v>
      </c>
      <c r="D693" s="253" t="s">
        <v>304</v>
      </c>
      <c r="E693" s="253" t="s">
        <v>895</v>
      </c>
      <c r="F693" s="253" t="s">
        <v>42</v>
      </c>
      <c r="G693" s="251" t="s">
        <v>863</v>
      </c>
      <c r="H693" s="251" t="s">
        <v>6</v>
      </c>
    </row>
    <row r="694" spans="1:8" x14ac:dyDescent="0.3">
      <c r="A694" s="253" t="s">
        <v>323</v>
      </c>
      <c r="B694" s="253" t="s">
        <v>324</v>
      </c>
      <c r="C694" s="253" t="s">
        <v>84</v>
      </c>
      <c r="D694" s="253" t="s">
        <v>304</v>
      </c>
      <c r="E694" s="253" t="s">
        <v>895</v>
      </c>
      <c r="F694" s="253" t="s">
        <v>42</v>
      </c>
      <c r="G694" s="251" t="s">
        <v>875</v>
      </c>
      <c r="H694" s="251" t="s">
        <v>4</v>
      </c>
    </row>
    <row r="695" spans="1:8" x14ac:dyDescent="0.3">
      <c r="A695" s="253" t="s">
        <v>323</v>
      </c>
      <c r="B695" s="253" t="s">
        <v>324</v>
      </c>
      <c r="C695" s="253" t="s">
        <v>84</v>
      </c>
      <c r="D695" s="253" t="s">
        <v>304</v>
      </c>
      <c r="E695" s="253" t="s">
        <v>895</v>
      </c>
      <c r="F695" s="253" t="s">
        <v>42</v>
      </c>
      <c r="G695" s="251" t="s">
        <v>876</v>
      </c>
      <c r="H695" s="251" t="s">
        <v>8</v>
      </c>
    </row>
    <row r="696" spans="1:8" x14ac:dyDescent="0.3">
      <c r="A696" s="253" t="s">
        <v>323</v>
      </c>
      <c r="B696" s="253" t="s">
        <v>324</v>
      </c>
      <c r="C696" s="253" t="s">
        <v>84</v>
      </c>
      <c r="D696" s="253" t="s">
        <v>304</v>
      </c>
      <c r="E696" s="253" t="s">
        <v>895</v>
      </c>
      <c r="F696" s="253" t="s">
        <v>42</v>
      </c>
      <c r="G696" s="251" t="s">
        <v>877</v>
      </c>
      <c r="H696" s="251" t="s">
        <v>4</v>
      </c>
    </row>
    <row r="697" spans="1:8" x14ac:dyDescent="0.3">
      <c r="A697" s="253" t="s">
        <v>323</v>
      </c>
      <c r="B697" s="253" t="s">
        <v>324</v>
      </c>
      <c r="C697" s="253" t="s">
        <v>84</v>
      </c>
      <c r="D697" s="253" t="s">
        <v>304</v>
      </c>
      <c r="E697" s="253" t="s">
        <v>895</v>
      </c>
      <c r="F697" s="253" t="s">
        <v>42</v>
      </c>
      <c r="G697" s="251" t="s">
        <v>863</v>
      </c>
      <c r="H697" s="251" t="s">
        <v>6</v>
      </c>
    </row>
    <row r="698" spans="1:8" x14ac:dyDescent="0.3">
      <c r="A698" s="253" t="s">
        <v>115</v>
      </c>
      <c r="B698" s="253" t="s">
        <v>116</v>
      </c>
      <c r="C698" s="253" t="s">
        <v>8</v>
      </c>
      <c r="D698" s="253" t="s">
        <v>40</v>
      </c>
      <c r="E698" s="253" t="s">
        <v>41</v>
      </c>
      <c r="F698" s="253" t="s">
        <v>42</v>
      </c>
      <c r="G698" s="251" t="s">
        <v>864</v>
      </c>
      <c r="H698" s="251" t="s">
        <v>2</v>
      </c>
    </row>
    <row r="699" spans="1:8" x14ac:dyDescent="0.3">
      <c r="A699" s="253" t="s">
        <v>115</v>
      </c>
      <c r="B699" s="253" t="s">
        <v>116</v>
      </c>
      <c r="C699" s="253" t="s">
        <v>8</v>
      </c>
      <c r="D699" s="253" t="s">
        <v>40</v>
      </c>
      <c r="E699" s="253" t="s">
        <v>41</v>
      </c>
      <c r="F699" s="253" t="s">
        <v>42</v>
      </c>
      <c r="G699" s="251" t="s">
        <v>865</v>
      </c>
      <c r="H699" s="251" t="s">
        <v>2</v>
      </c>
    </row>
    <row r="700" spans="1:8" x14ac:dyDescent="0.3">
      <c r="A700" s="253" t="s">
        <v>115</v>
      </c>
      <c r="B700" s="253" t="s">
        <v>116</v>
      </c>
      <c r="C700" s="253" t="s">
        <v>8</v>
      </c>
      <c r="D700" s="253" t="s">
        <v>40</v>
      </c>
      <c r="E700" s="253" t="s">
        <v>41</v>
      </c>
      <c r="F700" s="253" t="s">
        <v>42</v>
      </c>
      <c r="G700" s="251" t="s">
        <v>866</v>
      </c>
      <c r="H700" s="251" t="s">
        <v>2</v>
      </c>
    </row>
    <row r="701" spans="1:8" x14ac:dyDescent="0.3">
      <c r="A701" s="253" t="s">
        <v>115</v>
      </c>
      <c r="B701" s="253" t="s">
        <v>116</v>
      </c>
      <c r="C701" s="253" t="s">
        <v>8</v>
      </c>
      <c r="D701" s="253" t="s">
        <v>40</v>
      </c>
      <c r="E701" s="253" t="s">
        <v>41</v>
      </c>
      <c r="F701" s="253" t="s">
        <v>42</v>
      </c>
      <c r="G701" s="251" t="s">
        <v>863</v>
      </c>
      <c r="H701" s="251" t="s">
        <v>2</v>
      </c>
    </row>
    <row r="702" spans="1:8" x14ac:dyDescent="0.3">
      <c r="A702" s="253" t="s">
        <v>117</v>
      </c>
      <c r="B702" s="253" t="s">
        <v>118</v>
      </c>
      <c r="C702" s="253" t="s">
        <v>8</v>
      </c>
      <c r="D702" s="253" t="s">
        <v>40</v>
      </c>
      <c r="E702" s="253" t="s">
        <v>41</v>
      </c>
      <c r="F702" s="253" t="s">
        <v>42</v>
      </c>
      <c r="G702" s="251" t="s">
        <v>864</v>
      </c>
      <c r="H702" s="251" t="s">
        <v>5</v>
      </c>
    </row>
    <row r="703" spans="1:8" x14ac:dyDescent="0.3">
      <c r="A703" s="253" t="s">
        <v>117</v>
      </c>
      <c r="B703" s="253" t="s">
        <v>118</v>
      </c>
      <c r="C703" s="253" t="s">
        <v>8</v>
      </c>
      <c r="D703" s="253" t="s">
        <v>40</v>
      </c>
      <c r="E703" s="253" t="s">
        <v>41</v>
      </c>
      <c r="F703" s="253" t="s">
        <v>42</v>
      </c>
      <c r="G703" s="251" t="s">
        <v>865</v>
      </c>
      <c r="H703" s="251" t="s">
        <v>5</v>
      </c>
    </row>
    <row r="704" spans="1:8" x14ac:dyDescent="0.3">
      <c r="A704" s="253" t="s">
        <v>117</v>
      </c>
      <c r="B704" s="253" t="s">
        <v>118</v>
      </c>
      <c r="C704" s="253" t="s">
        <v>8</v>
      </c>
      <c r="D704" s="253" t="s">
        <v>40</v>
      </c>
      <c r="E704" s="253" t="s">
        <v>41</v>
      </c>
      <c r="F704" s="253" t="s">
        <v>42</v>
      </c>
      <c r="G704" s="251" t="s">
        <v>866</v>
      </c>
      <c r="H704" s="251" t="s">
        <v>2</v>
      </c>
    </row>
    <row r="705" spans="1:8" x14ac:dyDescent="0.3">
      <c r="A705" s="253" t="s">
        <v>117</v>
      </c>
      <c r="B705" s="253" t="s">
        <v>118</v>
      </c>
      <c r="C705" s="253" t="s">
        <v>8</v>
      </c>
      <c r="D705" s="253" t="s">
        <v>40</v>
      </c>
      <c r="E705" s="253" t="s">
        <v>41</v>
      </c>
      <c r="F705" s="253" t="s">
        <v>42</v>
      </c>
      <c r="G705" s="251" t="s">
        <v>863</v>
      </c>
      <c r="H705" s="251" t="s">
        <v>6</v>
      </c>
    </row>
    <row r="706" spans="1:8" x14ac:dyDescent="0.3">
      <c r="A706" s="253" t="s">
        <v>251</v>
      </c>
      <c r="B706" s="253" t="s">
        <v>928</v>
      </c>
      <c r="C706" s="253" t="s">
        <v>8</v>
      </c>
      <c r="D706" s="253" t="s">
        <v>240</v>
      </c>
      <c r="E706" s="253" t="s">
        <v>896</v>
      </c>
      <c r="F706" s="253" t="s">
        <v>94</v>
      </c>
      <c r="G706" s="251" t="s">
        <v>868</v>
      </c>
      <c r="H706" s="251" t="s">
        <v>4</v>
      </c>
    </row>
    <row r="707" spans="1:8" x14ac:dyDescent="0.3">
      <c r="A707" s="253" t="s">
        <v>251</v>
      </c>
      <c r="B707" s="253" t="s">
        <v>928</v>
      </c>
      <c r="C707" s="253" t="s">
        <v>8</v>
      </c>
      <c r="D707" s="253" t="s">
        <v>240</v>
      </c>
      <c r="E707" s="253" t="s">
        <v>896</v>
      </c>
      <c r="F707" s="253" t="s">
        <v>94</v>
      </c>
      <c r="G707" s="251" t="s">
        <v>869</v>
      </c>
      <c r="H707" s="251" t="s">
        <v>4</v>
      </c>
    </row>
    <row r="708" spans="1:8" x14ac:dyDescent="0.3">
      <c r="A708" s="253" t="s">
        <v>251</v>
      </c>
      <c r="B708" s="253" t="s">
        <v>928</v>
      </c>
      <c r="C708" s="253" t="s">
        <v>8</v>
      </c>
      <c r="D708" s="253" t="s">
        <v>240</v>
      </c>
      <c r="E708" s="253" t="s">
        <v>896</v>
      </c>
      <c r="F708" s="253" t="s">
        <v>94</v>
      </c>
      <c r="G708" s="251" t="s">
        <v>870</v>
      </c>
      <c r="H708" s="251" t="s">
        <v>8</v>
      </c>
    </row>
    <row r="709" spans="1:8" x14ac:dyDescent="0.3">
      <c r="A709" s="253" t="s">
        <v>251</v>
      </c>
      <c r="B709" s="253" t="s">
        <v>928</v>
      </c>
      <c r="C709" s="253" t="s">
        <v>8</v>
      </c>
      <c r="D709" s="253" t="s">
        <v>240</v>
      </c>
      <c r="E709" s="253" t="s">
        <v>896</v>
      </c>
      <c r="F709" s="253" t="s">
        <v>94</v>
      </c>
      <c r="G709" s="251" t="s">
        <v>863</v>
      </c>
      <c r="H709" s="251" t="s">
        <v>5</v>
      </c>
    </row>
    <row r="710" spans="1:8" x14ac:dyDescent="0.3">
      <c r="A710" s="253" t="s">
        <v>214</v>
      </c>
      <c r="B710" s="253" t="s">
        <v>912</v>
      </c>
      <c r="C710" s="253" t="s">
        <v>84</v>
      </c>
      <c r="D710" s="253" t="s">
        <v>194</v>
      </c>
      <c r="E710" s="253" t="s">
        <v>896</v>
      </c>
      <c r="F710" s="253" t="s">
        <v>94</v>
      </c>
      <c r="G710" s="251" t="s">
        <v>868</v>
      </c>
      <c r="H710" s="251" t="s">
        <v>5</v>
      </c>
    </row>
    <row r="711" spans="1:8" x14ac:dyDescent="0.3">
      <c r="A711" s="253" t="s">
        <v>214</v>
      </c>
      <c r="B711" s="253" t="s">
        <v>912</v>
      </c>
      <c r="C711" s="253" t="s">
        <v>84</v>
      </c>
      <c r="D711" s="253" t="s">
        <v>194</v>
      </c>
      <c r="E711" s="253" t="s">
        <v>896</v>
      </c>
      <c r="F711" s="253" t="s">
        <v>94</v>
      </c>
      <c r="G711" s="251" t="s">
        <v>869</v>
      </c>
      <c r="H711" s="251" t="s">
        <v>4</v>
      </c>
    </row>
    <row r="712" spans="1:8" x14ac:dyDescent="0.3">
      <c r="A712" s="253" t="s">
        <v>214</v>
      </c>
      <c r="B712" s="253" t="s">
        <v>912</v>
      </c>
      <c r="C712" s="253" t="s">
        <v>84</v>
      </c>
      <c r="D712" s="253" t="s">
        <v>194</v>
      </c>
      <c r="E712" s="253" t="s">
        <v>896</v>
      </c>
      <c r="F712" s="253" t="s">
        <v>94</v>
      </c>
      <c r="G712" s="251" t="s">
        <v>873</v>
      </c>
      <c r="H712" s="251" t="s">
        <v>4</v>
      </c>
    </row>
    <row r="713" spans="1:8" x14ac:dyDescent="0.3">
      <c r="A713" s="253" t="s">
        <v>214</v>
      </c>
      <c r="B713" s="253" t="s">
        <v>912</v>
      </c>
      <c r="C713" s="253" t="s">
        <v>84</v>
      </c>
      <c r="D713" s="253" t="s">
        <v>194</v>
      </c>
      <c r="E713" s="253" t="s">
        <v>896</v>
      </c>
      <c r="F713" s="253" t="s">
        <v>94</v>
      </c>
      <c r="G713" s="251" t="s">
        <v>863</v>
      </c>
      <c r="H713" s="251" t="s">
        <v>8</v>
      </c>
    </row>
    <row r="714" spans="1:8" x14ac:dyDescent="0.3">
      <c r="A714" s="253" t="s">
        <v>254</v>
      </c>
      <c r="B714" s="253" t="s">
        <v>929</v>
      </c>
      <c r="C714" s="253" t="s">
        <v>8</v>
      </c>
      <c r="D714" s="253" t="s">
        <v>240</v>
      </c>
      <c r="E714" s="253" t="s">
        <v>896</v>
      </c>
      <c r="F714" s="253" t="s">
        <v>94</v>
      </c>
      <c r="G714" s="251" t="s">
        <v>868</v>
      </c>
      <c r="H714" s="251" t="s">
        <v>6</v>
      </c>
    </row>
    <row r="715" spans="1:8" x14ac:dyDescent="0.3">
      <c r="A715" s="253" t="s">
        <v>254</v>
      </c>
      <c r="B715" s="253" t="s">
        <v>929</v>
      </c>
      <c r="C715" s="253" t="s">
        <v>8</v>
      </c>
      <c r="D715" s="253" t="s">
        <v>240</v>
      </c>
      <c r="E715" s="253" t="s">
        <v>896</v>
      </c>
      <c r="F715" s="253" t="s">
        <v>94</v>
      </c>
      <c r="G715" s="251" t="s">
        <v>869</v>
      </c>
      <c r="H715" s="251" t="s">
        <v>6</v>
      </c>
    </row>
    <row r="716" spans="1:8" x14ac:dyDescent="0.3">
      <c r="A716" s="253" t="s">
        <v>254</v>
      </c>
      <c r="B716" s="253" t="s">
        <v>929</v>
      </c>
      <c r="C716" s="253" t="s">
        <v>8</v>
      </c>
      <c r="D716" s="253" t="s">
        <v>240</v>
      </c>
      <c r="E716" s="253" t="s">
        <v>896</v>
      </c>
      <c r="F716" s="253" t="s">
        <v>94</v>
      </c>
      <c r="G716" s="251" t="s">
        <v>870</v>
      </c>
      <c r="H716" s="251" t="s">
        <v>4</v>
      </c>
    </row>
    <row r="717" spans="1:8" x14ac:dyDescent="0.3">
      <c r="A717" s="253" t="s">
        <v>254</v>
      </c>
      <c r="B717" s="253" t="s">
        <v>929</v>
      </c>
      <c r="C717" s="253" t="s">
        <v>8</v>
      </c>
      <c r="D717" s="253" t="s">
        <v>240</v>
      </c>
      <c r="E717" s="253" t="s">
        <v>896</v>
      </c>
      <c r="F717" s="253" t="s">
        <v>94</v>
      </c>
      <c r="G717" s="251" t="s">
        <v>863</v>
      </c>
      <c r="H717" s="251" t="s">
        <v>6</v>
      </c>
    </row>
    <row r="718" spans="1:8" x14ac:dyDescent="0.3">
      <c r="A718" s="253" t="s">
        <v>960</v>
      </c>
      <c r="B718" s="253" t="s">
        <v>961</v>
      </c>
      <c r="C718" s="253" t="s">
        <v>8</v>
      </c>
      <c r="D718" s="253" t="s">
        <v>289</v>
      </c>
      <c r="E718" s="253" t="s">
        <v>896</v>
      </c>
      <c r="F718" s="253" t="s">
        <v>94</v>
      </c>
      <c r="G718" s="251" t="s">
        <v>869</v>
      </c>
      <c r="H718" s="251" t="s">
        <v>6</v>
      </c>
    </row>
    <row r="719" spans="1:8" x14ac:dyDescent="0.3">
      <c r="A719" s="253" t="s">
        <v>960</v>
      </c>
      <c r="B719" s="253" t="s">
        <v>961</v>
      </c>
      <c r="C719" s="253" t="s">
        <v>8</v>
      </c>
      <c r="D719" s="253" t="s">
        <v>289</v>
      </c>
      <c r="E719" s="253" t="s">
        <v>896</v>
      </c>
      <c r="F719" s="253" t="s">
        <v>94</v>
      </c>
      <c r="G719" s="251" t="s">
        <v>870</v>
      </c>
      <c r="H719" s="251" t="s">
        <v>4</v>
      </c>
    </row>
    <row r="720" spans="1:8" x14ac:dyDescent="0.3">
      <c r="A720" s="253" t="s">
        <v>960</v>
      </c>
      <c r="B720" s="253" t="s">
        <v>961</v>
      </c>
      <c r="C720" s="253" t="s">
        <v>8</v>
      </c>
      <c r="D720" s="253" t="s">
        <v>289</v>
      </c>
      <c r="E720" s="253" t="s">
        <v>896</v>
      </c>
      <c r="F720" s="253" t="s">
        <v>94</v>
      </c>
      <c r="G720" s="251" t="s">
        <v>871</v>
      </c>
      <c r="H720" s="251" t="s">
        <v>5</v>
      </c>
    </row>
    <row r="721" spans="1:8" x14ac:dyDescent="0.3">
      <c r="A721" s="253" t="s">
        <v>960</v>
      </c>
      <c r="B721" s="253" t="s">
        <v>961</v>
      </c>
      <c r="C721" s="253" t="s">
        <v>8</v>
      </c>
      <c r="D721" s="253" t="s">
        <v>289</v>
      </c>
      <c r="E721" s="253" t="s">
        <v>896</v>
      </c>
      <c r="F721" s="253" t="s">
        <v>94</v>
      </c>
      <c r="G721" s="251" t="s">
        <v>863</v>
      </c>
      <c r="H721" s="251" t="s">
        <v>6</v>
      </c>
    </row>
    <row r="722" spans="1:8" x14ac:dyDescent="0.3">
      <c r="A722" s="253" t="s">
        <v>46</v>
      </c>
      <c r="B722" s="253" t="s">
        <v>47</v>
      </c>
      <c r="C722" s="253" t="s">
        <v>8</v>
      </c>
      <c r="D722" s="253" t="s">
        <v>45</v>
      </c>
      <c r="E722" s="253" t="s">
        <v>41</v>
      </c>
      <c r="F722" s="253" t="s">
        <v>42</v>
      </c>
      <c r="G722" s="251" t="s">
        <v>864</v>
      </c>
      <c r="H722" s="251" t="s">
        <v>4</v>
      </c>
    </row>
    <row r="723" spans="1:8" x14ac:dyDescent="0.3">
      <c r="A723" s="253" t="s">
        <v>46</v>
      </c>
      <c r="B723" s="253" t="s">
        <v>47</v>
      </c>
      <c r="C723" s="253" t="s">
        <v>8</v>
      </c>
      <c r="D723" s="253" t="s">
        <v>45</v>
      </c>
      <c r="E723" s="253" t="s">
        <v>41</v>
      </c>
      <c r="F723" s="253" t="s">
        <v>42</v>
      </c>
      <c r="G723" s="251" t="s">
        <v>865</v>
      </c>
      <c r="H723" s="251" t="s">
        <v>4</v>
      </c>
    </row>
    <row r="724" spans="1:8" x14ac:dyDescent="0.3">
      <c r="A724" s="253" t="s">
        <v>46</v>
      </c>
      <c r="B724" s="253" t="s">
        <v>47</v>
      </c>
      <c r="C724" s="253" t="s">
        <v>8</v>
      </c>
      <c r="D724" s="253" t="s">
        <v>45</v>
      </c>
      <c r="E724" s="253" t="s">
        <v>41</v>
      </c>
      <c r="F724" s="253" t="s">
        <v>42</v>
      </c>
      <c r="G724" s="251" t="s">
        <v>867</v>
      </c>
      <c r="H724" s="251" t="s">
        <v>4</v>
      </c>
    </row>
    <row r="725" spans="1:8" x14ac:dyDescent="0.3">
      <c r="A725" s="253" t="s">
        <v>46</v>
      </c>
      <c r="B725" s="253" t="s">
        <v>47</v>
      </c>
      <c r="C725" s="253" t="s">
        <v>8</v>
      </c>
      <c r="D725" s="253" t="s">
        <v>45</v>
      </c>
      <c r="E725" s="253" t="s">
        <v>41</v>
      </c>
      <c r="F725" s="253" t="s">
        <v>42</v>
      </c>
      <c r="G725" s="251" t="s">
        <v>863</v>
      </c>
      <c r="H725" s="251" t="s">
        <v>5</v>
      </c>
    </row>
    <row r="726" spans="1:8" x14ac:dyDescent="0.3">
      <c r="A726" s="253" t="s">
        <v>199</v>
      </c>
      <c r="B726" s="253" t="s">
        <v>200</v>
      </c>
      <c r="C726" s="253" t="s">
        <v>8</v>
      </c>
      <c r="D726" s="253" t="s">
        <v>194</v>
      </c>
      <c r="E726" s="253" t="s">
        <v>896</v>
      </c>
      <c r="F726" s="253" t="s">
        <v>42</v>
      </c>
      <c r="G726" s="251" t="s">
        <v>868</v>
      </c>
      <c r="H726" s="251" t="s">
        <v>4</v>
      </c>
    </row>
    <row r="727" spans="1:8" x14ac:dyDescent="0.3">
      <c r="A727" s="253" t="s">
        <v>199</v>
      </c>
      <c r="B727" s="253" t="s">
        <v>200</v>
      </c>
      <c r="C727" s="253" t="s">
        <v>8</v>
      </c>
      <c r="D727" s="253" t="s">
        <v>194</v>
      </c>
      <c r="E727" s="253" t="s">
        <v>896</v>
      </c>
      <c r="F727" s="253" t="s">
        <v>42</v>
      </c>
      <c r="G727" s="251" t="s">
        <v>869</v>
      </c>
      <c r="H727" s="251" t="s">
        <v>4</v>
      </c>
    </row>
    <row r="728" spans="1:8" x14ac:dyDescent="0.3">
      <c r="A728" s="253" t="s">
        <v>199</v>
      </c>
      <c r="B728" s="253" t="s">
        <v>200</v>
      </c>
      <c r="C728" s="253" t="s">
        <v>8</v>
      </c>
      <c r="D728" s="253" t="s">
        <v>194</v>
      </c>
      <c r="E728" s="253" t="s">
        <v>896</v>
      </c>
      <c r="F728" s="253" t="s">
        <v>42</v>
      </c>
      <c r="G728" s="251" t="s">
        <v>873</v>
      </c>
      <c r="H728" s="251" t="s">
        <v>8</v>
      </c>
    </row>
    <row r="729" spans="1:8" x14ac:dyDescent="0.3">
      <c r="A729" s="253" t="s">
        <v>199</v>
      </c>
      <c r="B729" s="253" t="s">
        <v>200</v>
      </c>
      <c r="C729" s="253" t="s">
        <v>8</v>
      </c>
      <c r="D729" s="253" t="s">
        <v>194</v>
      </c>
      <c r="E729" s="253" t="s">
        <v>896</v>
      </c>
      <c r="F729" s="253" t="s">
        <v>42</v>
      </c>
      <c r="G729" s="251" t="s">
        <v>863</v>
      </c>
      <c r="H729" s="251" t="s">
        <v>8</v>
      </c>
    </row>
    <row r="730" spans="1:8" x14ac:dyDescent="0.3">
      <c r="A730" s="253" t="s">
        <v>956</v>
      </c>
      <c r="B730" s="253" t="s">
        <v>957</v>
      </c>
      <c r="C730" s="253" t="s">
        <v>8</v>
      </c>
      <c r="D730" s="253" t="s">
        <v>289</v>
      </c>
      <c r="E730" s="253" t="s">
        <v>896</v>
      </c>
      <c r="F730" s="253" t="s">
        <v>94</v>
      </c>
      <c r="G730" s="251" t="s">
        <v>869</v>
      </c>
      <c r="H730" s="251" t="s">
        <v>5</v>
      </c>
    </row>
    <row r="731" spans="1:8" x14ac:dyDescent="0.3">
      <c r="A731" s="253" t="s">
        <v>956</v>
      </c>
      <c r="B731" s="253" t="s">
        <v>957</v>
      </c>
      <c r="C731" s="253" t="s">
        <v>8</v>
      </c>
      <c r="D731" s="253" t="s">
        <v>289</v>
      </c>
      <c r="E731" s="253" t="s">
        <v>896</v>
      </c>
      <c r="F731" s="253" t="s">
        <v>94</v>
      </c>
      <c r="G731" s="251" t="s">
        <v>870</v>
      </c>
      <c r="H731" s="251" t="s">
        <v>4</v>
      </c>
    </row>
    <row r="732" spans="1:8" x14ac:dyDescent="0.3">
      <c r="A732" s="253" t="s">
        <v>956</v>
      </c>
      <c r="B732" s="253" t="s">
        <v>957</v>
      </c>
      <c r="C732" s="253" t="s">
        <v>8</v>
      </c>
      <c r="D732" s="253" t="s">
        <v>289</v>
      </c>
      <c r="E732" s="253" t="s">
        <v>896</v>
      </c>
      <c r="F732" s="253" t="s">
        <v>94</v>
      </c>
      <c r="G732" s="251" t="s">
        <v>871</v>
      </c>
      <c r="H732" s="251" t="s">
        <v>5</v>
      </c>
    </row>
    <row r="733" spans="1:8" x14ac:dyDescent="0.3">
      <c r="A733" s="253" t="s">
        <v>956</v>
      </c>
      <c r="B733" s="253" t="s">
        <v>957</v>
      </c>
      <c r="C733" s="253" t="s">
        <v>8</v>
      </c>
      <c r="D733" s="253" t="s">
        <v>289</v>
      </c>
      <c r="E733" s="253" t="s">
        <v>896</v>
      </c>
      <c r="F733" s="253" t="s">
        <v>94</v>
      </c>
      <c r="G733" s="251" t="s">
        <v>863</v>
      </c>
      <c r="H733" s="251" t="s">
        <v>7</v>
      </c>
    </row>
    <row r="734" spans="1:8" x14ac:dyDescent="0.3">
      <c r="A734" s="253" t="s">
        <v>984</v>
      </c>
      <c r="B734" s="253" t="s">
        <v>342</v>
      </c>
      <c r="C734" s="253" t="s">
        <v>84</v>
      </c>
      <c r="D734" s="253" t="s">
        <v>978</v>
      </c>
      <c r="E734" s="253" t="s">
        <v>896</v>
      </c>
      <c r="F734" s="253" t="s">
        <v>42</v>
      </c>
      <c r="G734" s="251" t="s">
        <v>868</v>
      </c>
      <c r="H734" s="251" t="s">
        <v>8</v>
      </c>
    </row>
    <row r="735" spans="1:8" x14ac:dyDescent="0.3">
      <c r="A735" s="253" t="s">
        <v>984</v>
      </c>
      <c r="B735" s="253" t="s">
        <v>342</v>
      </c>
      <c r="C735" s="253" t="s">
        <v>84</v>
      </c>
      <c r="D735" s="253" t="s">
        <v>978</v>
      </c>
      <c r="E735" s="253" t="s">
        <v>896</v>
      </c>
      <c r="F735" s="253" t="s">
        <v>42</v>
      </c>
      <c r="G735" s="251" t="s">
        <v>873</v>
      </c>
      <c r="H735" s="251" t="s">
        <v>6</v>
      </c>
    </row>
    <row r="736" spans="1:8" x14ac:dyDescent="0.3">
      <c r="A736" s="253" t="s">
        <v>984</v>
      </c>
      <c r="B736" s="253" t="s">
        <v>342</v>
      </c>
      <c r="C736" s="253" t="s">
        <v>84</v>
      </c>
      <c r="D736" s="253" t="s">
        <v>978</v>
      </c>
      <c r="E736" s="253" t="s">
        <v>896</v>
      </c>
      <c r="F736" s="253" t="s">
        <v>42</v>
      </c>
      <c r="G736" s="251" t="s">
        <v>874</v>
      </c>
      <c r="H736" s="251" t="s">
        <v>4</v>
      </c>
    </row>
    <row r="737" spans="1:8" x14ac:dyDescent="0.3">
      <c r="A737" s="253" t="s">
        <v>984</v>
      </c>
      <c r="B737" s="253" t="s">
        <v>342</v>
      </c>
      <c r="C737" s="253" t="s">
        <v>84</v>
      </c>
      <c r="D737" s="253" t="s">
        <v>978</v>
      </c>
      <c r="E737" s="253" t="s">
        <v>896</v>
      </c>
      <c r="F737" s="253" t="s">
        <v>42</v>
      </c>
      <c r="G737" s="251" t="s">
        <v>863</v>
      </c>
      <c r="H737" s="251" t="s">
        <v>6</v>
      </c>
    </row>
    <row r="738" spans="1:8" x14ac:dyDescent="0.3">
      <c r="A738" s="253" t="s">
        <v>255</v>
      </c>
      <c r="B738" s="253" t="s">
        <v>256</v>
      </c>
      <c r="C738" s="253" t="s">
        <v>8</v>
      </c>
      <c r="D738" s="253" t="s">
        <v>240</v>
      </c>
      <c r="E738" s="253" t="s">
        <v>896</v>
      </c>
      <c r="F738" s="253" t="s">
        <v>42</v>
      </c>
      <c r="G738" s="251" t="s">
        <v>868</v>
      </c>
      <c r="H738" s="251" t="s">
        <v>6</v>
      </c>
    </row>
    <row r="739" spans="1:8" x14ac:dyDescent="0.3">
      <c r="A739" s="253" t="s">
        <v>255</v>
      </c>
      <c r="B739" s="253" t="s">
        <v>256</v>
      </c>
      <c r="C739" s="253" t="s">
        <v>8</v>
      </c>
      <c r="D739" s="253" t="s">
        <v>240</v>
      </c>
      <c r="E739" s="253" t="s">
        <v>896</v>
      </c>
      <c r="F739" s="253" t="s">
        <v>42</v>
      </c>
      <c r="G739" s="251" t="s">
        <v>869</v>
      </c>
      <c r="H739" s="251" t="s">
        <v>4</v>
      </c>
    </row>
    <row r="740" spans="1:8" x14ac:dyDescent="0.3">
      <c r="A740" s="253" t="s">
        <v>255</v>
      </c>
      <c r="B740" s="253" t="s">
        <v>256</v>
      </c>
      <c r="C740" s="253" t="s">
        <v>8</v>
      </c>
      <c r="D740" s="253" t="s">
        <v>240</v>
      </c>
      <c r="E740" s="253" t="s">
        <v>896</v>
      </c>
      <c r="F740" s="253" t="s">
        <v>42</v>
      </c>
      <c r="G740" s="251" t="s">
        <v>870</v>
      </c>
      <c r="H740" s="251" t="s">
        <v>4</v>
      </c>
    </row>
    <row r="741" spans="1:8" x14ac:dyDescent="0.3">
      <c r="A741" s="253" t="s">
        <v>255</v>
      </c>
      <c r="B741" s="253" t="s">
        <v>256</v>
      </c>
      <c r="C741" s="253" t="s">
        <v>8</v>
      </c>
      <c r="D741" s="253" t="s">
        <v>240</v>
      </c>
      <c r="E741" s="253" t="s">
        <v>896</v>
      </c>
      <c r="F741" s="253" t="s">
        <v>42</v>
      </c>
      <c r="G741" s="251" t="s">
        <v>863</v>
      </c>
      <c r="H741" s="251" t="s">
        <v>6</v>
      </c>
    </row>
    <row r="742" spans="1:8" x14ac:dyDescent="0.3">
      <c r="A742" s="253" t="s">
        <v>184</v>
      </c>
      <c r="B742" s="253" t="s">
        <v>185</v>
      </c>
      <c r="C742" s="253" t="s">
        <v>84</v>
      </c>
      <c r="D742" s="253" t="s">
        <v>139</v>
      </c>
      <c r="E742" s="253" t="s">
        <v>895</v>
      </c>
      <c r="F742" s="253" t="s">
        <v>42</v>
      </c>
      <c r="G742" s="251" t="s">
        <v>865</v>
      </c>
      <c r="H742" s="251" t="s">
        <v>3</v>
      </c>
    </row>
    <row r="743" spans="1:8" x14ac:dyDescent="0.3">
      <c r="A743" s="253" t="s">
        <v>184</v>
      </c>
      <c r="B743" s="253" t="s">
        <v>185</v>
      </c>
      <c r="C743" s="253" t="s">
        <v>84</v>
      </c>
      <c r="D743" s="253" t="s">
        <v>139</v>
      </c>
      <c r="E743" s="253" t="s">
        <v>895</v>
      </c>
      <c r="F743" s="253" t="s">
        <v>42</v>
      </c>
      <c r="G743" s="251" t="s">
        <v>873</v>
      </c>
      <c r="H743" s="251" t="s">
        <v>5</v>
      </c>
    </row>
    <row r="744" spans="1:8" x14ac:dyDescent="0.3">
      <c r="A744" s="253" t="s">
        <v>184</v>
      </c>
      <c r="B744" s="253" t="s">
        <v>185</v>
      </c>
      <c r="C744" s="253" t="s">
        <v>84</v>
      </c>
      <c r="D744" s="253" t="s">
        <v>139</v>
      </c>
      <c r="E744" s="253" t="s">
        <v>895</v>
      </c>
      <c r="F744" s="253" t="s">
        <v>42</v>
      </c>
      <c r="G744" s="251" t="s">
        <v>875</v>
      </c>
      <c r="H744" s="251" t="s">
        <v>4</v>
      </c>
    </row>
    <row r="745" spans="1:8" x14ac:dyDescent="0.3">
      <c r="A745" s="253" t="s">
        <v>184</v>
      </c>
      <c r="B745" s="253" t="s">
        <v>185</v>
      </c>
      <c r="C745" s="253" t="s">
        <v>84</v>
      </c>
      <c r="D745" s="253" t="s">
        <v>139</v>
      </c>
      <c r="E745" s="253" t="s">
        <v>895</v>
      </c>
      <c r="F745" s="253" t="s">
        <v>42</v>
      </c>
      <c r="G745" s="251" t="s">
        <v>863</v>
      </c>
      <c r="H745" s="251" t="s">
        <v>6</v>
      </c>
    </row>
    <row r="746" spans="1:8" x14ac:dyDescent="0.3">
      <c r="A746" s="253" t="s">
        <v>201</v>
      </c>
      <c r="B746" s="253" t="s">
        <v>202</v>
      </c>
      <c r="C746" s="253" t="s">
        <v>8</v>
      </c>
      <c r="D746" s="253" t="s">
        <v>194</v>
      </c>
      <c r="E746" s="253" t="s">
        <v>896</v>
      </c>
      <c r="F746" s="253" t="s">
        <v>42</v>
      </c>
      <c r="G746" s="251" t="s">
        <v>868</v>
      </c>
      <c r="H746" s="251" t="s">
        <v>5</v>
      </c>
    </row>
    <row r="747" spans="1:8" x14ac:dyDescent="0.3">
      <c r="A747" s="253" t="s">
        <v>201</v>
      </c>
      <c r="B747" s="253" t="s">
        <v>202</v>
      </c>
      <c r="C747" s="253" t="s">
        <v>8</v>
      </c>
      <c r="D747" s="253" t="s">
        <v>194</v>
      </c>
      <c r="E747" s="253" t="s">
        <v>896</v>
      </c>
      <c r="F747" s="253" t="s">
        <v>42</v>
      </c>
      <c r="G747" s="251" t="s">
        <v>869</v>
      </c>
      <c r="H747" s="251" t="s">
        <v>4</v>
      </c>
    </row>
    <row r="748" spans="1:8" x14ac:dyDescent="0.3">
      <c r="A748" s="253" t="s">
        <v>201</v>
      </c>
      <c r="B748" s="253" t="s">
        <v>202</v>
      </c>
      <c r="C748" s="253" t="s">
        <v>8</v>
      </c>
      <c r="D748" s="253" t="s">
        <v>194</v>
      </c>
      <c r="E748" s="253" t="s">
        <v>896</v>
      </c>
      <c r="F748" s="253" t="s">
        <v>42</v>
      </c>
      <c r="G748" s="251" t="s">
        <v>873</v>
      </c>
      <c r="H748" s="251" t="s">
        <v>6</v>
      </c>
    </row>
    <row r="749" spans="1:8" x14ac:dyDescent="0.3">
      <c r="A749" s="253" t="s">
        <v>201</v>
      </c>
      <c r="B749" s="253" t="s">
        <v>202</v>
      </c>
      <c r="C749" s="253" t="s">
        <v>8</v>
      </c>
      <c r="D749" s="253" t="s">
        <v>194</v>
      </c>
      <c r="E749" s="253" t="s">
        <v>896</v>
      </c>
      <c r="F749" s="253" t="s">
        <v>42</v>
      </c>
      <c r="G749" s="251" t="s">
        <v>863</v>
      </c>
      <c r="H749" s="251" t="s">
        <v>6</v>
      </c>
    </row>
    <row r="750" spans="1:8" x14ac:dyDescent="0.3">
      <c r="A750" s="253" t="s">
        <v>101</v>
      </c>
      <c r="B750" s="253" t="s">
        <v>901</v>
      </c>
      <c r="C750" s="253" t="s">
        <v>8</v>
      </c>
      <c r="D750" s="253" t="s">
        <v>40</v>
      </c>
      <c r="E750" s="253" t="s">
        <v>41</v>
      </c>
      <c r="F750" s="253" t="s">
        <v>94</v>
      </c>
      <c r="G750" s="251" t="s">
        <v>864</v>
      </c>
      <c r="H750" s="251" t="s">
        <v>4</v>
      </c>
    </row>
    <row r="751" spans="1:8" x14ac:dyDescent="0.3">
      <c r="A751" s="253" t="s">
        <v>101</v>
      </c>
      <c r="B751" s="253" t="s">
        <v>901</v>
      </c>
      <c r="C751" s="253" t="s">
        <v>8</v>
      </c>
      <c r="D751" s="253" t="s">
        <v>40</v>
      </c>
      <c r="E751" s="253" t="s">
        <v>41</v>
      </c>
      <c r="F751" s="253" t="s">
        <v>94</v>
      </c>
      <c r="G751" s="251" t="s">
        <v>865</v>
      </c>
      <c r="H751" s="251" t="s">
        <v>4</v>
      </c>
    </row>
    <row r="752" spans="1:8" x14ac:dyDescent="0.3">
      <c r="A752" s="253" t="s">
        <v>101</v>
      </c>
      <c r="B752" s="253" t="s">
        <v>901</v>
      </c>
      <c r="C752" s="253" t="s">
        <v>8</v>
      </c>
      <c r="D752" s="253" t="s">
        <v>40</v>
      </c>
      <c r="E752" s="253" t="s">
        <v>41</v>
      </c>
      <c r="F752" s="253" t="s">
        <v>94</v>
      </c>
      <c r="G752" s="251" t="s">
        <v>866</v>
      </c>
      <c r="H752" s="251" t="s">
        <v>2</v>
      </c>
    </row>
    <row r="753" spans="1:8" x14ac:dyDescent="0.3">
      <c r="A753" s="253" t="s">
        <v>101</v>
      </c>
      <c r="B753" s="253" t="s">
        <v>901</v>
      </c>
      <c r="C753" s="253" t="s">
        <v>8</v>
      </c>
      <c r="D753" s="253" t="s">
        <v>40</v>
      </c>
      <c r="E753" s="253" t="s">
        <v>41</v>
      </c>
      <c r="F753" s="253" t="s">
        <v>94</v>
      </c>
      <c r="G753" s="251" t="s">
        <v>863</v>
      </c>
      <c r="H753" s="251" t="s">
        <v>5</v>
      </c>
    </row>
    <row r="754" spans="1:8" x14ac:dyDescent="0.3">
      <c r="A754" s="253" t="s">
        <v>205</v>
      </c>
      <c r="B754" s="253" t="s">
        <v>206</v>
      </c>
      <c r="C754" s="253" t="s">
        <v>8</v>
      </c>
      <c r="D754" s="253" t="s">
        <v>194</v>
      </c>
      <c r="E754" s="253" t="s">
        <v>896</v>
      </c>
      <c r="F754" s="253" t="s">
        <v>42</v>
      </c>
      <c r="G754" s="251" t="s">
        <v>868</v>
      </c>
      <c r="H754" s="251" t="s">
        <v>5</v>
      </c>
    </row>
    <row r="755" spans="1:8" x14ac:dyDescent="0.3">
      <c r="A755" s="253" t="s">
        <v>205</v>
      </c>
      <c r="B755" s="253" t="s">
        <v>206</v>
      </c>
      <c r="C755" s="253" t="s">
        <v>8</v>
      </c>
      <c r="D755" s="253" t="s">
        <v>194</v>
      </c>
      <c r="E755" s="253" t="s">
        <v>896</v>
      </c>
      <c r="F755" s="253" t="s">
        <v>42</v>
      </c>
      <c r="G755" s="251" t="s">
        <v>869</v>
      </c>
      <c r="H755" s="251" t="s">
        <v>4</v>
      </c>
    </row>
    <row r="756" spans="1:8" x14ac:dyDescent="0.3">
      <c r="A756" s="253" t="s">
        <v>205</v>
      </c>
      <c r="B756" s="253" t="s">
        <v>206</v>
      </c>
      <c r="C756" s="253" t="s">
        <v>8</v>
      </c>
      <c r="D756" s="253" t="s">
        <v>194</v>
      </c>
      <c r="E756" s="253" t="s">
        <v>896</v>
      </c>
      <c r="F756" s="253" t="s">
        <v>42</v>
      </c>
      <c r="G756" s="251" t="s">
        <v>873</v>
      </c>
      <c r="H756" s="251" t="s">
        <v>5</v>
      </c>
    </row>
    <row r="757" spans="1:8" x14ac:dyDescent="0.3">
      <c r="A757" s="253" t="s">
        <v>205</v>
      </c>
      <c r="B757" s="253" t="s">
        <v>206</v>
      </c>
      <c r="C757" s="253" t="s">
        <v>8</v>
      </c>
      <c r="D757" s="253" t="s">
        <v>194</v>
      </c>
      <c r="E757" s="253" t="s">
        <v>896</v>
      </c>
      <c r="F757" s="253" t="s">
        <v>42</v>
      </c>
      <c r="G757" s="251" t="s">
        <v>863</v>
      </c>
      <c r="H757" s="251" t="s">
        <v>6</v>
      </c>
    </row>
    <row r="758" spans="1:8" x14ac:dyDescent="0.3">
      <c r="A758" s="253" t="s">
        <v>128</v>
      </c>
      <c r="B758" s="253" t="s">
        <v>904</v>
      </c>
      <c r="C758" s="253" t="s">
        <v>8</v>
      </c>
      <c r="D758" s="253" t="s">
        <v>40</v>
      </c>
      <c r="E758" s="253" t="s">
        <v>41</v>
      </c>
      <c r="F758" s="253" t="s">
        <v>94</v>
      </c>
      <c r="G758" s="251" t="s">
        <v>864</v>
      </c>
      <c r="H758" s="251" t="s">
        <v>3</v>
      </c>
    </row>
    <row r="759" spans="1:8" x14ac:dyDescent="0.3">
      <c r="A759" s="253" t="s">
        <v>128</v>
      </c>
      <c r="B759" s="253" t="s">
        <v>904</v>
      </c>
      <c r="C759" s="253" t="s">
        <v>8</v>
      </c>
      <c r="D759" s="253" t="s">
        <v>40</v>
      </c>
      <c r="E759" s="253" t="s">
        <v>41</v>
      </c>
      <c r="F759" s="253" t="s">
        <v>94</v>
      </c>
      <c r="G759" s="251" t="s">
        <v>865</v>
      </c>
      <c r="H759" s="251" t="s">
        <v>4</v>
      </c>
    </row>
    <row r="760" spans="1:8" x14ac:dyDescent="0.3">
      <c r="A760" s="253" t="s">
        <v>128</v>
      </c>
      <c r="B760" s="253" t="s">
        <v>904</v>
      </c>
      <c r="C760" s="253" t="s">
        <v>8</v>
      </c>
      <c r="D760" s="253" t="s">
        <v>40</v>
      </c>
      <c r="E760" s="253" t="s">
        <v>41</v>
      </c>
      <c r="F760" s="253" t="s">
        <v>94</v>
      </c>
      <c r="G760" s="251" t="s">
        <v>866</v>
      </c>
      <c r="H760" s="251" t="s">
        <v>2</v>
      </c>
    </row>
    <row r="761" spans="1:8" x14ac:dyDescent="0.3">
      <c r="A761" s="253" t="s">
        <v>128</v>
      </c>
      <c r="B761" s="253" t="s">
        <v>904</v>
      </c>
      <c r="C761" s="253" t="s">
        <v>8</v>
      </c>
      <c r="D761" s="253" t="s">
        <v>40</v>
      </c>
      <c r="E761" s="253" t="s">
        <v>41</v>
      </c>
      <c r="F761" s="253" t="s">
        <v>94</v>
      </c>
      <c r="G761" s="251" t="s">
        <v>863</v>
      </c>
      <c r="H761" s="251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46"/>
  <sheetViews>
    <sheetView workbookViewId="0">
      <pane ySplit="2" topLeftCell="A3" activePane="bottomLeft" state="frozen"/>
      <selection pane="bottomLeft" activeCell="C139" sqref="C139"/>
    </sheetView>
  </sheetViews>
  <sheetFormatPr defaultRowHeight="14.4" x14ac:dyDescent="0.3"/>
  <cols>
    <col min="1" max="1" width="28" style="210" customWidth="1"/>
    <col min="2" max="2" width="8.88671875" style="210" bestFit="1" customWidth="1"/>
    <col min="3" max="3" width="12" style="210" bestFit="1" customWidth="1"/>
    <col min="4" max="4" width="12.5546875" style="210" customWidth="1"/>
    <col min="5" max="5" width="12.33203125" style="210" bestFit="1" customWidth="1"/>
    <col min="6" max="6" width="9.6640625" style="210" bestFit="1" customWidth="1"/>
    <col min="7" max="7" width="11.44140625" style="210" bestFit="1" customWidth="1"/>
    <col min="8" max="8" width="12.88671875" style="210" bestFit="1" customWidth="1"/>
    <col min="9" max="9" width="13.21875" style="210" customWidth="1"/>
    <col min="10" max="10" width="10" style="210" customWidth="1"/>
    <col min="11" max="11" width="16" style="210" customWidth="1"/>
    <col min="12" max="12" width="12" style="210" customWidth="1"/>
    <col min="13" max="13" width="16" style="210" customWidth="1"/>
    <col min="14" max="14" width="22" style="210" customWidth="1"/>
  </cols>
  <sheetData>
    <row r="1" spans="1:14" ht="31.95" customHeight="1" x14ac:dyDescent="0.3">
      <c r="A1" s="418" t="s">
        <v>354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</row>
    <row r="3" spans="1:14" ht="22.05" customHeight="1" x14ac:dyDescent="0.3">
      <c r="A3" s="417" t="s">
        <v>355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</row>
    <row r="4" spans="1:14" x14ac:dyDescent="0.3">
      <c r="A4" s="416" t="s">
        <v>356</v>
      </c>
      <c r="B4" s="41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</row>
    <row r="5" spans="1:14" ht="18" customHeight="1" x14ac:dyDescent="0.3">
      <c r="A5" s="189" t="s">
        <v>357</v>
      </c>
      <c r="B5" s="190" t="s">
        <v>2</v>
      </c>
      <c r="C5" s="190" t="s">
        <v>3</v>
      </c>
      <c r="D5" s="190" t="s">
        <v>4</v>
      </c>
      <c r="E5" s="190" t="s">
        <v>5</v>
      </c>
      <c r="F5" s="190" t="s">
        <v>6</v>
      </c>
      <c r="G5" s="190" t="s">
        <v>7</v>
      </c>
      <c r="H5" s="190" t="s">
        <v>8</v>
      </c>
      <c r="I5" s="190" t="s">
        <v>344</v>
      </c>
      <c r="J5" s="190" t="s">
        <v>347</v>
      </c>
      <c r="K5" s="190" t="s">
        <v>348</v>
      </c>
      <c r="L5" s="190" t="s">
        <v>358</v>
      </c>
      <c r="M5" s="191" t="s">
        <v>0</v>
      </c>
      <c r="N5" s="141"/>
    </row>
    <row r="6" spans="1:14" ht="16.95" customHeight="1" thickBot="1" x14ac:dyDescent="0.35">
      <c r="A6" s="186" t="s">
        <v>360</v>
      </c>
      <c r="B6" s="128">
        <f>COUNTIFS(F6Results_2026[[Comb]:[Comb]],"CBA",F6Results_2026[[Gs]:[Gs]],"A")</f>
        <v>0</v>
      </c>
      <c r="C6" s="128">
        <f>COUNTIFS(F6Results_2026[[Comb]:[Comb]],"CBA",F6Results_2026[[Gs]:[Gs]],"B")</f>
        <v>0</v>
      </c>
      <c r="D6" s="128">
        <f>COUNTIFS(F6Results_2026[[Comb]:[Comb]],"CBA",F6Results_2026[[Gs]:[Gs]],"C")</f>
        <v>0</v>
      </c>
      <c r="E6" s="128">
        <f>COUNTIFS(F6Results_2026[[Comb]:[Comb]],"CBA",F6Results_2026[[Gs]:[Gs]],"D")</f>
        <v>4</v>
      </c>
      <c r="F6" s="128">
        <f>COUNTIFS(F6Results_2026[[Comb]:[Comb]],"CBA",F6Results_2026[[Gs]:[Gs]],"E")</f>
        <v>8</v>
      </c>
      <c r="G6" s="128">
        <f>COUNTIFS(F6Results_2026[[Comb]:[Comb]],"CBA",F6Results_2026[[Gs]:[Gs]],"S")</f>
        <v>2</v>
      </c>
      <c r="H6" s="128">
        <f>COUNTIFS(F6Results_2026[[Comb]:[Comb]],"CBA",F6Results_2026[[Gs]:[Gs]],"F")</f>
        <v>3</v>
      </c>
      <c r="I6" s="143">
        <f>SUM(B6:H6)</f>
        <v>17</v>
      </c>
      <c r="J6" s="223">
        <f>(((B6*5)+(C6*4)+(D6*3)+(E6*2)+(F6*1)+(G6*0.5)+(H6*0))/(I6*5))*100</f>
        <v>20</v>
      </c>
      <c r="K6" s="3" t="str">
        <f>IF(I6=0,"N/A",IF(J6&gt;=60,"✓ Within KPI","✗ Out of KPI"))</f>
        <v>✗ Out of KPI</v>
      </c>
      <c r="L6" s="144">
        <f t="array" ref="L6">IFERROR(((B6*1)+(C6*2)+(D6*3)+(E6*4)+(F6*5)+(G6:G6*6)+(H6*7))/(I6),"N/A")</f>
        <v>5.2352941176470589</v>
      </c>
      <c r="M6" s="188" t="str">
        <f>IF(OR(L6="N/A",ISNA(L6)),"N/A",IF(ISBLANK(L6),"",IF(L6="","",IF(L6&lt;=1.4999,"A-EXCELLENT",IF(L6&lt;=1.9999,"B-VERY GOOD",IF(L6&lt;=2.9999,"C-GOOD",IF(L6&lt;=3.9999,"D-AVERAGE",IF(L6&lt;=4.9999,"E-SATISFACTORY",IF(L6&lt;=5.4999,"S-SUBSIDIARY",IF(L6&lt;=6,"F-FAIL",""))))))))))</f>
        <v>S-SUBSIDIARY</v>
      </c>
      <c r="N6" s="146"/>
    </row>
    <row r="7" spans="1:14" ht="16.95" customHeight="1" thickBot="1" x14ac:dyDescent="0.35">
      <c r="A7" s="187" t="s">
        <v>361</v>
      </c>
      <c r="B7" s="128">
        <f>COUNTIFS(F6Results_2026[[Comb]:[Comb]],"CBA",F6Results_2026[[Chem]:[Chem]],"A")</f>
        <v>0</v>
      </c>
      <c r="C7" s="128">
        <f>COUNTIFS(F6Results_2026[[Comb]:[Comb]],"CBA",F6Results_2026[[Chem]:[Chem]],"B")</f>
        <v>0</v>
      </c>
      <c r="D7" s="128">
        <f>COUNTIFS(F6Results_2026[[Comb]:[Comb]],"CBA",F6Results_2026[[Chem]:[Chem]],"C")</f>
        <v>4</v>
      </c>
      <c r="E7" s="128">
        <f>COUNTIFS(F6Results_2026[[Comb]:[Comb]],"CBA",F6Results_2026[[Chem]:[Chem]],"D")</f>
        <v>11</v>
      </c>
      <c r="F7" s="128">
        <f>COUNTIFS(F6Results_2026[[Comb]:[Comb]],"CBA",F6Results_2026[[Chem]:[Chem]],"E")</f>
        <v>2</v>
      </c>
      <c r="G7" s="128">
        <f>COUNTIFS(F6Results_2026[[Comb]:[Comb]],"CBA",F6Results_2026[[Chem]:[Chem]],"S")</f>
        <v>0</v>
      </c>
      <c r="H7" s="128">
        <f>COUNTIFS(F6Results_2026[[Comb]:[Comb]],"CBA",F6Results_2026[[Chem]:[Chem]],"F")</f>
        <v>0</v>
      </c>
      <c r="I7" s="143">
        <f>SUM(B7:H7)</f>
        <v>17</v>
      </c>
      <c r="J7" s="223">
        <f>(((B7*5)+(C7*4)+(D7*3)+(E7*2)+(F7*1)+(G7*0.5)+(H7*0))/(I7*5))*100</f>
        <v>42.352941176470587</v>
      </c>
      <c r="K7" s="3" t="str">
        <f>IF(I7=0,"N/A",IF(J7&gt;=60,"✓ Within KPI","✗ Out of KPI"))</f>
        <v>✗ Out of KPI</v>
      </c>
      <c r="L7" s="144">
        <f t="array" ref="L7">IFERROR(((B7*1)+(C7*2)+(D7*3)+(E7*4)+(F7*5)+(G7:G7*6)+(H7*7))/(I7),"N/A")</f>
        <v>3.8823529411764706</v>
      </c>
      <c r="M7" s="188" t="str">
        <f>IF(OR(L7="N/A",ISNA(L7)),"N/A",IF(ISBLANK(L7),"",IF(L7="","",IF(L7&lt;=1.4999,"A-EXCELLENT",IF(L7&lt;=1.9999,"B-VERY GOOD",IF(L7&lt;=2.9999,"C-GOOD",IF(L7&lt;=3.9999,"D-AVERAGE",IF(L7&lt;=4.9999,"E-SATISFACTORY",IF(L7&lt;=5.4999,"S-SUBSIDIARY",IF(L7&lt;=6,"F-FAIL",""))))))))))</f>
        <v>D-AVERAGE</v>
      </c>
      <c r="N7" s="146"/>
    </row>
    <row r="8" spans="1:14" ht="16.95" customHeight="1" thickBot="1" x14ac:dyDescent="0.35">
      <c r="A8" s="186" t="s">
        <v>362</v>
      </c>
      <c r="B8" s="128">
        <f>COUNTIFS(F6Results_2026[[Comb]:[Comb]],"CBA",F6Results_2026[[Biol]:[Biol]],"A")</f>
        <v>0</v>
      </c>
      <c r="C8" s="128">
        <f>COUNTIFS(F6Results_2026[[Comb]:[Comb]],"CBA",F6Results_2026[[Biol]:[Biol]],"B")</f>
        <v>0</v>
      </c>
      <c r="D8" s="128">
        <f>COUNTIFS(F6Results_2026[[Comb]:[Comb]],"CBA",F6Results_2026[[Biol]:[Biol]],"C")</f>
        <v>9</v>
      </c>
      <c r="E8" s="128">
        <f>COUNTIFS(F6Results_2026[[Comb]:[Comb]],"CBA",F6Results_2026[[Biol]:[Biol]],"D")</f>
        <v>0</v>
      </c>
      <c r="F8" s="128">
        <f>COUNTIFS(F6Results_2026[[Comb]:[Comb]],"CBA",F6Results_2026[[Biol]:[Biol]],"E")</f>
        <v>0</v>
      </c>
      <c r="G8" s="128">
        <f>COUNTIFS(F6Results_2026[[Comb]:[Comb]],"CBA",F6Results_2026[[Biol]:[Biol]],"S")</f>
        <v>0</v>
      </c>
      <c r="H8" s="128">
        <f>COUNTIFS(F6Results_2026[[Comb]:[Comb]],"CBA",F6Results_2026[[Biol]:[Biol]],"F")</f>
        <v>8</v>
      </c>
      <c r="I8" s="143">
        <f>SUM(B8:H8)</f>
        <v>17</v>
      </c>
      <c r="J8" s="223">
        <f>(((B8*5)+(C8*4)+(D8*3)+(E8*2)+(F8*1)+(G8*0.5)+(H8*0))/(I8*5))*100</f>
        <v>31.764705882352938</v>
      </c>
      <c r="K8" s="3" t="str">
        <f>IF(I8=0,"N/A",IF(J8&gt;=60,"✓ Within KPI","✗ Out of KPI"))</f>
        <v>✗ Out of KPI</v>
      </c>
      <c r="L8" s="144">
        <f t="array" ref="L8">IFERROR(((B8*1)+(C8*2)+(D8*3)+(E8*4)+(F8*5)+(G8:G8*6)+(H8*7))/(I8),"N/A")</f>
        <v>4.882352941176471</v>
      </c>
      <c r="M8" s="188" t="str">
        <f>IF(OR(L8="N/A",ISNA(L8)),"N/A",IF(ISBLANK(L8),"",IF(L8="","",IF(L8&lt;=1.4999,"A-EXCELLENT",IF(L8&lt;=1.9999,"B-VERY GOOD",IF(L8&lt;=2.9999,"C-GOOD",IF(L8&lt;=3.9999,"D-AVERAGE",IF(L8&lt;=4.9999,"E-SATISFACTORY",IF(L8&lt;=5.4999,"S-SUBSIDIARY",IF(L8&lt;=6,"F-FAIL",""))))))))))</f>
        <v>E-SATISFACTORY</v>
      </c>
      <c r="N8" s="146"/>
    </row>
    <row r="9" spans="1:14" ht="16.95" customHeight="1" thickBot="1" x14ac:dyDescent="0.35">
      <c r="A9" s="187" t="s">
        <v>363</v>
      </c>
      <c r="B9" s="128">
        <f>COUNTIFS(F6Results_2026[[Comb]:[Comb]],"CBA",F6Results_2026[[Agr]:[Agr]],"A")</f>
        <v>0</v>
      </c>
      <c r="C9" s="128">
        <f>COUNTIFS(F6Results_2026[[Comb]:[Comb]],"CBA",F6Results_2026[[Agr]:[Agr]],"B")</f>
        <v>0</v>
      </c>
      <c r="D9" s="128">
        <f>COUNTIFS(F6Results_2026[[Comb]:[Comb]],"CBA",F6Results_2026[[Agr]:[Agr]],"C")</f>
        <v>10</v>
      </c>
      <c r="E9" s="128">
        <f>COUNTIFS(F6Results_2026[[Comb]:[Comb]],"CBA",F6Results_2026[[Agr]:[Agr]],"D")</f>
        <v>4</v>
      </c>
      <c r="F9" s="128">
        <f>COUNTIFS(F6Results_2026[[Comb]:[Comb]],"CBA",F6Results_2026[[Agr]:[Agr]],"E")</f>
        <v>0</v>
      </c>
      <c r="G9" s="128">
        <f>COUNTIFS(F6Results_2026[[Comb]:[Comb]],"CBA",F6Results_2026[[Agr]:[Agr]],"S")</f>
        <v>0</v>
      </c>
      <c r="H9" s="128">
        <f>COUNTIFS(F6Results_2026[[Comb]:[Comb]],"CBA",F6Results_2026[[Agr]:[Agr]],"F")</f>
        <v>2</v>
      </c>
      <c r="I9" s="143">
        <f>SUM(B9:H9)</f>
        <v>16</v>
      </c>
      <c r="J9" s="223">
        <f>(((B9*5)+(C9*4)+(D9*3)+(E9*2)+(F9*1)+(G9*0.5)+(H9*0))/(I9*5))*100</f>
        <v>47.5</v>
      </c>
      <c r="K9" s="3" t="str">
        <f>IF(I9=0,"N/A",IF(J9&gt;=60,"✓ Within KPI","✗ Out of KPI"))</f>
        <v>✗ Out of KPI</v>
      </c>
      <c r="L9" s="144">
        <f t="array" ref="L9">IFERROR(((B9*1)+(C9*2)+(D9*3)+(E9*4)+(F9*5)+(G9:G9*6)+(H9*7))/(I9),"N/A")</f>
        <v>3.75</v>
      </c>
      <c r="M9" s="188" t="str">
        <f>IF(OR(L9="N/A",ISNA(L9)),"N/A",IF(ISBLANK(L9),"",IF(L9="","",IF(L9&lt;=1.4999,"A-EXCELLENT",IF(L9&lt;=1.9999,"B-VERY GOOD",IF(L9&lt;=2.9999,"C-GOOD",IF(L9&lt;=3.9999,"D-AVERAGE",IF(L9&lt;=4.9999,"E-SATISFACTORY",IF(L9&lt;=5.4999,"S-SUBSIDIARY",IF(L9&lt;=6,"F-FAIL",""))))))))))</f>
        <v>D-AVERAGE</v>
      </c>
      <c r="N9" s="146"/>
    </row>
    <row r="10" spans="1:14" ht="16.95" customHeight="1" thickBot="1" x14ac:dyDescent="0.35">
      <c r="A10" s="192" t="s">
        <v>364</v>
      </c>
      <c r="B10" s="193">
        <f>COUNTIFS(F6Results_2026[[Comb]:[Comb]],"CBA",F6Results_2026[[Bam]:[Bam]],"A")</f>
        <v>0</v>
      </c>
      <c r="C10" s="193">
        <f>COUNTIFS(F6Results_2026[[Comb]:[Comb]],"CBA",F6Results_2026[[Bam]:[Bam]],"B")</f>
        <v>0</v>
      </c>
      <c r="D10" s="193">
        <f>COUNTIFS(F6Results_2026[[Comb]:[Comb]],"CBA",F6Results_2026[[Bam]:[Bam]],"C")</f>
        <v>1</v>
      </c>
      <c r="E10" s="193">
        <f>COUNTIFS(F6Results_2026[[Comb]:[Comb]],"CBA",F6Results_2026[[Bam]:[Bam]],"D")</f>
        <v>0</v>
      </c>
      <c r="F10" s="193">
        <f>COUNTIFS(F6Results_2026[[Comb]:[Comb]],"CBA",F6Results_2026[[Bam]:[Bam]],"E")</f>
        <v>3</v>
      </c>
      <c r="G10" s="193">
        <f>COUNTIFS(F6Results_2026[[Comb]:[Comb]],"CBA",F6Results_2026[[Bam]:[Bam]],"S")</f>
        <v>2</v>
      </c>
      <c r="H10" s="193">
        <f>COUNTIFS(F6Results_2026[[Comb]:[Comb]],"CBA",F6Results_2026[[Bam]:[Bam]],"F")</f>
        <v>11</v>
      </c>
      <c r="I10" s="194">
        <f>SUM(B10:H10)</f>
        <v>17</v>
      </c>
      <c r="J10" s="223">
        <f>(((B10*5)+(C10*4)+(D10*3)+(E10*2)+(F10*1)+(G10*0.5)+(H10*0))/(I10*5))*100</f>
        <v>8.235294117647058</v>
      </c>
      <c r="K10" s="195" t="str">
        <f>IF(I10=0,"N/A",IF(J10&gt;=60,"✓ Within KPI","✗ Out of KPI"))</f>
        <v>✗ Out of KPI</v>
      </c>
      <c r="L10" s="196">
        <f t="array" ref="L10">IFERROR(((B10*1)+(C10*2)+(D10*3)+(E10*4)+(F10*5)+(G10:G10*6)+(H10*7))/(I10),"N/A")</f>
        <v>6.2941176470588234</v>
      </c>
      <c r="M10" s="197" t="str">
        <f>IF(OR(L10="N/A",ISNA(L10)),"N/A",IF(ISBLANK(L10),"",IF(L10="","",IF(L10&lt;=1.4999,"A-EXCELLENT",IF(L10&lt;=1.9999,"B-VERY GOOD",IF(L10&lt;=2.9999,"C-GOOD",IF(L10&lt;=3.9999,"D-AVERAGE",IF(L10&lt;=4.9999,"E-SATISFACTORY",IF(L10&lt;=5.4999,"S-SUBSIDIARY",IF(L10&lt;=6,"F-FAIL",""))))))))))</f>
        <v/>
      </c>
      <c r="N10" s="146"/>
    </row>
    <row r="12" spans="1:14" x14ac:dyDescent="0.3">
      <c r="A12" s="414" t="s">
        <v>365</v>
      </c>
      <c r="B12" s="415"/>
      <c r="C12" s="415"/>
      <c r="D12" s="415"/>
      <c r="E12" s="415"/>
      <c r="F12" s="415"/>
      <c r="G12" s="415"/>
      <c r="H12" s="415"/>
      <c r="I12" s="415"/>
      <c r="J12" s="415"/>
      <c r="K12" s="415"/>
      <c r="L12" s="415"/>
      <c r="M12" s="415"/>
      <c r="N12" s="415"/>
    </row>
    <row r="13" spans="1:14" ht="18" customHeight="1" x14ac:dyDescent="0.3">
      <c r="A13" s="189" t="s">
        <v>357</v>
      </c>
      <c r="B13" s="190" t="s">
        <v>366</v>
      </c>
      <c r="C13" s="190" t="s">
        <v>367</v>
      </c>
      <c r="D13" s="190" t="s">
        <v>368</v>
      </c>
      <c r="E13" s="190" t="s">
        <v>369</v>
      </c>
      <c r="F13" s="190" t="s">
        <v>370</v>
      </c>
      <c r="G13" s="190" t="s">
        <v>371</v>
      </c>
      <c r="H13" s="190" t="s">
        <v>372</v>
      </c>
      <c r="I13" s="190" t="s">
        <v>373</v>
      </c>
      <c r="J13" s="190" t="s">
        <v>347</v>
      </c>
      <c r="K13" s="190" t="s">
        <v>348</v>
      </c>
      <c r="L13" s="190" t="s">
        <v>358</v>
      </c>
      <c r="M13" s="191" t="s">
        <v>0</v>
      </c>
      <c r="N13" s="135"/>
    </row>
    <row r="14" spans="1:14" ht="16.95" customHeight="1" x14ac:dyDescent="0.3">
      <c r="A14" s="186" t="s">
        <v>360</v>
      </c>
      <c r="B14" s="151">
        <f t="shared" ref="B14:H14" si="0">B6/$I$6</f>
        <v>0</v>
      </c>
      <c r="C14" s="151">
        <f t="shared" si="0"/>
        <v>0</v>
      </c>
      <c r="D14" s="151">
        <f t="shared" si="0"/>
        <v>0</v>
      </c>
      <c r="E14" s="151">
        <f t="shared" si="0"/>
        <v>0.23529411764705882</v>
      </c>
      <c r="F14" s="151">
        <f t="shared" si="0"/>
        <v>0.47058823529411764</v>
      </c>
      <c r="G14" s="151">
        <f t="shared" si="0"/>
        <v>0.11764705882352941</v>
      </c>
      <c r="H14" s="151">
        <f t="shared" si="0"/>
        <v>0.17647058823529413</v>
      </c>
      <c r="I14" s="143">
        <f t="shared" ref="I14:J18" si="1">I6</f>
        <v>17</v>
      </c>
      <c r="J14" s="224">
        <f t="shared" si="1"/>
        <v>20</v>
      </c>
      <c r="K14" s="3" t="str">
        <f t="shared" ref="K14:K19" si="2">IF(I14=0,"N/A",IF(J14&gt;=60,"✓ Within KPI","✗ Out of KPI"))</f>
        <v>✗ Out of KPI</v>
      </c>
      <c r="L14" s="144">
        <f>L6</f>
        <v>5.2352941176470589</v>
      </c>
      <c r="M14" s="188" t="str">
        <f t="shared" ref="M14:M19" si="3">IF(OR(L14="N/A",ISNA(L14)),"N/A",IF(ISBLANK(L14),"",IF(L14="","",IF(L14&lt;=1.4999,"A-EXCELLENT",IF(L14&lt;=1.9999,"B-VERY GOOD",IF(L14&lt;=2.9999,"C-GOOD",IF(L14&lt;=3.9999,"D-AVERAGE",IF(L14&lt;=4.9999,"E-SATISFACTORY",IF(L14&lt;=5.4999,"S-SUBSIDIARY",IF(L14&lt;=6,"F-FAIL",""))))))))))</f>
        <v>S-SUBSIDIARY</v>
      </c>
      <c r="N14" s="152"/>
    </row>
    <row r="15" spans="1:14" ht="16.95" customHeight="1" x14ac:dyDescent="0.3">
      <c r="A15" s="187" t="s">
        <v>361</v>
      </c>
      <c r="B15" s="151">
        <f t="shared" ref="B15:H15" si="4">B7/$I$7</f>
        <v>0</v>
      </c>
      <c r="C15" s="151">
        <f t="shared" si="4"/>
        <v>0</v>
      </c>
      <c r="D15" s="151">
        <f t="shared" si="4"/>
        <v>0.23529411764705882</v>
      </c>
      <c r="E15" s="151">
        <f t="shared" si="4"/>
        <v>0.6470588235294118</v>
      </c>
      <c r="F15" s="151">
        <f t="shared" si="4"/>
        <v>0.11764705882352941</v>
      </c>
      <c r="G15" s="151">
        <f t="shared" si="4"/>
        <v>0</v>
      </c>
      <c r="H15" s="151">
        <f t="shared" si="4"/>
        <v>0</v>
      </c>
      <c r="I15" s="143">
        <f t="shared" si="1"/>
        <v>17</v>
      </c>
      <c r="J15" s="224">
        <f t="shared" si="1"/>
        <v>42.352941176470587</v>
      </c>
      <c r="K15" s="3" t="str">
        <f t="shared" si="2"/>
        <v>✗ Out of KPI</v>
      </c>
      <c r="L15" s="144">
        <f>L7</f>
        <v>3.8823529411764706</v>
      </c>
      <c r="M15" s="188" t="str">
        <f t="shared" si="3"/>
        <v>D-AVERAGE</v>
      </c>
      <c r="N15" s="153"/>
    </row>
    <row r="16" spans="1:14" ht="16.95" customHeight="1" x14ac:dyDescent="0.3">
      <c r="A16" s="186" t="s">
        <v>362</v>
      </c>
      <c r="B16" s="151">
        <f t="shared" ref="B16:H16" si="5">B8/$I$8</f>
        <v>0</v>
      </c>
      <c r="C16" s="151">
        <f t="shared" si="5"/>
        <v>0</v>
      </c>
      <c r="D16" s="151">
        <f t="shared" si="5"/>
        <v>0.52941176470588236</v>
      </c>
      <c r="E16" s="151">
        <f t="shared" si="5"/>
        <v>0</v>
      </c>
      <c r="F16" s="151">
        <f t="shared" si="5"/>
        <v>0</v>
      </c>
      <c r="G16" s="151">
        <f t="shared" si="5"/>
        <v>0</v>
      </c>
      <c r="H16" s="151">
        <f t="shared" si="5"/>
        <v>0.47058823529411764</v>
      </c>
      <c r="I16" s="143">
        <f t="shared" si="1"/>
        <v>17</v>
      </c>
      <c r="J16" s="224">
        <f t="shared" si="1"/>
        <v>31.764705882352938</v>
      </c>
      <c r="K16" s="3" t="str">
        <f t="shared" si="2"/>
        <v>✗ Out of KPI</v>
      </c>
      <c r="L16" s="144">
        <f>L8</f>
        <v>4.882352941176471</v>
      </c>
      <c r="M16" s="188" t="str">
        <f t="shared" si="3"/>
        <v>E-SATISFACTORY</v>
      </c>
      <c r="N16" s="152"/>
    </row>
    <row r="17" spans="1:14" ht="16.95" customHeight="1" x14ac:dyDescent="0.3">
      <c r="A17" s="187" t="s">
        <v>363</v>
      </c>
      <c r="B17" s="151">
        <f t="shared" ref="B17:H17" si="6">B9/$I$9</f>
        <v>0</v>
      </c>
      <c r="C17" s="151">
        <f t="shared" si="6"/>
        <v>0</v>
      </c>
      <c r="D17" s="151">
        <f t="shared" si="6"/>
        <v>0.625</v>
      </c>
      <c r="E17" s="151">
        <f t="shared" si="6"/>
        <v>0.25</v>
      </c>
      <c r="F17" s="151">
        <f t="shared" si="6"/>
        <v>0</v>
      </c>
      <c r="G17" s="151">
        <f t="shared" si="6"/>
        <v>0</v>
      </c>
      <c r="H17" s="151">
        <f t="shared" si="6"/>
        <v>0.125</v>
      </c>
      <c r="I17" s="143">
        <f t="shared" si="1"/>
        <v>16</v>
      </c>
      <c r="J17" s="224">
        <f t="shared" si="1"/>
        <v>47.5</v>
      </c>
      <c r="K17" s="3" t="str">
        <f t="shared" si="2"/>
        <v>✗ Out of KPI</v>
      </c>
      <c r="L17" s="144">
        <f>L9</f>
        <v>3.75</v>
      </c>
      <c r="M17" s="188" t="str">
        <f t="shared" si="3"/>
        <v>D-AVERAGE</v>
      </c>
      <c r="N17" s="153"/>
    </row>
    <row r="18" spans="1:14" ht="16.95" customHeight="1" x14ac:dyDescent="0.3">
      <c r="A18" s="186" t="s">
        <v>364</v>
      </c>
      <c r="B18" s="151">
        <f t="shared" ref="B18:H18" si="7">B10/$I$10</f>
        <v>0</v>
      </c>
      <c r="C18" s="151">
        <f t="shared" si="7"/>
        <v>0</v>
      </c>
      <c r="D18" s="151">
        <f t="shared" si="7"/>
        <v>5.8823529411764705E-2</v>
      </c>
      <c r="E18" s="151">
        <f t="shared" si="7"/>
        <v>0</v>
      </c>
      <c r="F18" s="151">
        <f t="shared" si="7"/>
        <v>0.17647058823529413</v>
      </c>
      <c r="G18" s="151">
        <f t="shared" si="7"/>
        <v>0.11764705882352941</v>
      </c>
      <c r="H18" s="151">
        <f t="shared" si="7"/>
        <v>0.6470588235294118</v>
      </c>
      <c r="I18" s="143">
        <f t="shared" si="1"/>
        <v>17</v>
      </c>
      <c r="J18" s="224">
        <f t="shared" si="1"/>
        <v>8.235294117647058</v>
      </c>
      <c r="K18" s="3" t="str">
        <f t="shared" si="2"/>
        <v>✗ Out of KPI</v>
      </c>
      <c r="L18" s="144">
        <f>L10</f>
        <v>6.2941176470588234</v>
      </c>
      <c r="M18" s="188" t="str">
        <f t="shared" si="3"/>
        <v/>
      </c>
      <c r="N18" s="152"/>
    </row>
    <row r="19" spans="1:14" ht="16.95" customHeight="1" x14ac:dyDescent="0.3">
      <c r="A19" s="198" t="s">
        <v>781</v>
      </c>
      <c r="B19" s="199">
        <f t="shared" ref="B19:J19" si="8">AVERAGE(B15:B18)</f>
        <v>0</v>
      </c>
      <c r="C19" s="199">
        <f t="shared" si="8"/>
        <v>0</v>
      </c>
      <c r="D19" s="199">
        <f t="shared" si="8"/>
        <v>0.36213235294117646</v>
      </c>
      <c r="E19" s="199">
        <f t="shared" si="8"/>
        <v>0.22426470588235295</v>
      </c>
      <c r="F19" s="199">
        <f t="shared" si="8"/>
        <v>7.3529411764705885E-2</v>
      </c>
      <c r="G19" s="199">
        <f t="shared" si="8"/>
        <v>2.9411764705882353E-2</v>
      </c>
      <c r="H19" s="199">
        <f t="shared" si="8"/>
        <v>0.31066176470588236</v>
      </c>
      <c r="I19" s="194">
        <f t="shared" si="8"/>
        <v>16.75</v>
      </c>
      <c r="J19" s="200">
        <f t="shared" si="8"/>
        <v>32.463235294117645</v>
      </c>
      <c r="K19" s="195" t="str">
        <f t="shared" si="2"/>
        <v>✗ Out of KPI</v>
      </c>
      <c r="L19" s="200">
        <f>AVERAGE(L15:L18)</f>
        <v>4.7022058823529411</v>
      </c>
      <c r="M19" s="197" t="str">
        <f t="shared" si="3"/>
        <v>E-SATISFACTORY</v>
      </c>
      <c r="N19" s="148"/>
    </row>
    <row r="21" spans="1:14" ht="22.05" customHeight="1" x14ac:dyDescent="0.3">
      <c r="A21" s="417" t="s">
        <v>375</v>
      </c>
      <c r="B21" s="415"/>
      <c r="C21" s="415"/>
      <c r="D21" s="415"/>
      <c r="E21" s="415"/>
      <c r="F21" s="415"/>
      <c r="G21" s="415"/>
      <c r="H21" s="415"/>
      <c r="I21" s="415"/>
      <c r="J21" s="415"/>
      <c r="K21" s="415"/>
      <c r="L21" s="415"/>
      <c r="M21" s="415"/>
      <c r="N21" s="415"/>
    </row>
    <row r="22" spans="1:14" x14ac:dyDescent="0.3">
      <c r="A22" s="416" t="s">
        <v>356</v>
      </c>
      <c r="B22" s="415"/>
      <c r="C22" s="415"/>
      <c r="D22" s="415"/>
      <c r="E22" s="415"/>
      <c r="F22" s="415"/>
      <c r="G22" s="415"/>
      <c r="H22" s="415"/>
      <c r="I22" s="415"/>
      <c r="J22" s="415"/>
      <c r="K22" s="415"/>
      <c r="L22" s="415"/>
      <c r="M22" s="415"/>
      <c r="N22" s="415"/>
    </row>
    <row r="23" spans="1:14" ht="18" customHeight="1" x14ac:dyDescent="0.3">
      <c r="A23" s="189" t="s">
        <v>357</v>
      </c>
      <c r="B23" s="190" t="s">
        <v>2</v>
      </c>
      <c r="C23" s="190" t="s">
        <v>3</v>
      </c>
      <c r="D23" s="190" t="s">
        <v>4</v>
      </c>
      <c r="E23" s="190" t="s">
        <v>5</v>
      </c>
      <c r="F23" s="190" t="s">
        <v>6</v>
      </c>
      <c r="G23" s="190" t="s">
        <v>7</v>
      </c>
      <c r="H23" s="190" t="s">
        <v>8</v>
      </c>
      <c r="I23" s="190" t="s">
        <v>344</v>
      </c>
      <c r="J23" s="190" t="s">
        <v>347</v>
      </c>
      <c r="K23" s="190" t="s">
        <v>348</v>
      </c>
      <c r="L23" s="190" t="s">
        <v>358</v>
      </c>
      <c r="M23" s="191" t="s">
        <v>0</v>
      </c>
      <c r="N23" s="135"/>
    </row>
    <row r="24" spans="1:14" ht="16.95" customHeight="1" thickBot="1" x14ac:dyDescent="0.35">
      <c r="A24" s="186" t="s">
        <v>360</v>
      </c>
      <c r="B24" s="128">
        <f>COUNTIFS(F6Results_2026[[Comb]:[Comb]],"ECA",F6Results_2026[[Gs]:[Gs]],"A")</f>
        <v>0</v>
      </c>
      <c r="C24" s="128">
        <f>COUNTIFS(F6Results_2026[[Comb]:[Comb]],"ECA",F6Results_2026[[Gs]:[Gs]],"B")</f>
        <v>0</v>
      </c>
      <c r="D24" s="128">
        <f>COUNTIFS(F6Results_2026[[Comb]:[Comb]],"ECA",F6Results_2026[[Gs]:[Gs]],"C")</f>
        <v>0</v>
      </c>
      <c r="E24" s="128">
        <f>COUNTIFS(F6Results_2026[[Comb]:[Comb]],"ECA",F6Results_2026[[Gs]:[Gs]],"D")</f>
        <v>1</v>
      </c>
      <c r="F24" s="128">
        <f>COUNTIFS(F6Results_2026[[Comb]:[Comb]],"ECA",F6Results_2026[[Gs]:[Gs]],"E")</f>
        <v>9</v>
      </c>
      <c r="G24" s="128">
        <f>COUNTIFS(F6Results_2026[[Comb]:[Comb]],"ECA",F6Results_2026[[Gs]:[Gs]],"S")</f>
        <v>2</v>
      </c>
      <c r="H24" s="128">
        <f>COUNTIFS(F6Results_2026[[Comb]:[Comb]],"ECA",F6Results_2026[[Gs]:[Gs]],"F")</f>
        <v>1</v>
      </c>
      <c r="I24" s="143">
        <f>SUM(B24:H24)</f>
        <v>13</v>
      </c>
      <c r="J24" s="223">
        <f>(((B24*5)+(C24*4)+(D24*3)+(E24*2)+(F24*1)+(G24*0.5)+(H24*0))/(I24*5))*100</f>
        <v>18.461538461538463</v>
      </c>
      <c r="K24" s="3" t="str">
        <f>IF(I24=0,"N/A",IF(J24&gt;=60,"✓ Within KPI","✗ Out of KPI"))</f>
        <v>✗ Out of KPI</v>
      </c>
      <c r="L24" s="144">
        <f t="array" ref="L24">IFERROR(((B24*1)+(C24*2)+(D24*3)+(E24*4)+(F24*5)+(G24:G24*6)+(H24*7))/(I24),"N/A")</f>
        <v>5.2307692307692308</v>
      </c>
      <c r="M24" s="188" t="str">
        <f>IF(OR(L24="N/A",ISNA(L24)),"N/A",IF(ISBLANK(L24),"",IF(L24="","",IF(L24&lt;=1.4999,"A-EXCELLENT",IF(L24&lt;=1.9999,"B-VERY GOOD",IF(L24&lt;=2.9999,"C-GOOD",IF(L24&lt;=3.9999,"D-AVERAGE",IF(L24&lt;=4.9999,"E-SATISFACTORY",IF(L24&lt;=5.4999,"S-SUBSIDIARY",IF(L24&lt;=6,"F-FAIL",""))))))))))</f>
        <v>S-SUBSIDIARY</v>
      </c>
      <c r="N24" s="152"/>
    </row>
    <row r="25" spans="1:14" ht="16.95" customHeight="1" thickBot="1" x14ac:dyDescent="0.35">
      <c r="A25" s="187" t="s">
        <v>364</v>
      </c>
      <c r="B25" s="128">
        <f>COUNTIFS(F6Results_2026[[Comb]:[Comb]],"ECA",F6Results_2026[[Bam]:[Bam]],"A")</f>
        <v>3</v>
      </c>
      <c r="C25" s="128">
        <f>COUNTIFS(F6Results_2026[[Comb]:[Comb]],"ECA",F6Results_2026[[Bam]:[Bam]],"B")</f>
        <v>0</v>
      </c>
      <c r="D25" s="128">
        <f>COUNTIFS(F6Results_2026[[Comb]:[Comb]],"ECA",F6Results_2026[[Bam]:[Bam]],"C")</f>
        <v>2</v>
      </c>
      <c r="E25" s="128">
        <f>COUNTIFS(F6Results_2026[[Comb]:[Comb]],"ECA",F6Results_2026[[Bam]:[Bam]],"D")</f>
        <v>2</v>
      </c>
      <c r="F25" s="128">
        <f>COUNTIFS(F6Results_2026[[Comb]:[Comb]],"ECA",F6Results_2026[[Bam]:[Bam]],"E")</f>
        <v>1</v>
      </c>
      <c r="G25" s="128">
        <f>COUNTIFS(F6Results_2026[[Comb]:[Comb]],"ECA",F6Results_2026[[Bam]:[Bam]],"S")</f>
        <v>2</v>
      </c>
      <c r="H25" s="128">
        <f>COUNTIFS(F6Results_2026[[Comb]:[Comb]],"ECA",F6Results_2026[[Bam]:[Bam]],"F")</f>
        <v>3</v>
      </c>
      <c r="I25" s="143">
        <f>SUM(B25:H25)</f>
        <v>13</v>
      </c>
      <c r="J25" s="223">
        <f>(((B25*5)+(C25*4)+(D25*3)+(E25*2)+(F25*1)+(G25*0.5)+(H25*0))/(I25*5))*100</f>
        <v>41.53846153846154</v>
      </c>
      <c r="K25" s="3" t="str">
        <f>IF(I25=0,"N/A",IF(J25&gt;=60,"✓ Within KPI","✗ Out of KPI"))</f>
        <v>✗ Out of KPI</v>
      </c>
      <c r="L25" s="144">
        <f t="array" ref="L25">IFERROR(((B25*1)+(C25*2)+(D25*3)+(E25*4)+(F25*5)+(G25:G25*6)+(H25*7))/(I25),"N/A")</f>
        <v>4.2307692307692308</v>
      </c>
      <c r="M25" s="188" t="str">
        <f>IF(OR(L25="N/A",ISNA(L25)),"N/A",IF(ISBLANK(L25),"",IF(L25="","",IF(L25&lt;=1.4999,"A-EXCELLENT",IF(L25&lt;=1.9999,"B-VERY GOOD",IF(L25&lt;=2.9999,"C-GOOD",IF(L25&lt;=3.9999,"D-AVERAGE",IF(L25&lt;=4.9999,"E-SATISFACTORY",IF(L25&lt;=5.4999,"S-SUBSIDIARY",IF(L25&lt;=6,"F-FAIL",""))))))))))</f>
        <v>E-SATISFACTORY</v>
      </c>
      <c r="N25" s="153"/>
    </row>
    <row r="26" spans="1:14" ht="16.95" customHeight="1" thickBot="1" x14ac:dyDescent="0.35">
      <c r="A26" s="186" t="s">
        <v>376</v>
      </c>
      <c r="B26" s="128">
        <f>COUNTIFS(F6Results_2026[[Comb]:[Comb]],"ECA",F6Results_2026[[Econ]:[Econ]],"A")</f>
        <v>0</v>
      </c>
      <c r="C26" s="128">
        <f>COUNTIFS(F6Results_2026[[Comb]:[Comb]],"ECA",F6Results_2026[[Econ]:[Econ]],"B")</f>
        <v>0</v>
      </c>
      <c r="D26" s="128">
        <f>COUNTIFS(F6Results_2026[[Comb]:[Comb]],"ECA",F6Results_2026[[Econ]:[Econ]],"C")</f>
        <v>4</v>
      </c>
      <c r="E26" s="128">
        <f>COUNTIFS(F6Results_2026[[Comb]:[Comb]],"ECA",F6Results_2026[[Econ]:[Econ]],"D")</f>
        <v>0</v>
      </c>
      <c r="F26" s="128">
        <f>COUNTIFS(F6Results_2026[[Comb]:[Comb]],"ECA",F6Results_2026[[Econ]:[Econ]],"E")</f>
        <v>0</v>
      </c>
      <c r="G26" s="128">
        <f>COUNTIFS(F6Results_2026[[Comb]:[Comb]],"ECA",F6Results_2026[[Econ]:[Econ]],"S")</f>
        <v>0</v>
      </c>
      <c r="H26" s="128">
        <f>COUNTIFS(F6Results_2026[[Comb]:[Comb]],"ECA",F6Results_2026[[Econ]:[Econ]],"F")</f>
        <v>9</v>
      </c>
      <c r="I26" s="143">
        <f>SUM(B26:H26)</f>
        <v>13</v>
      </c>
      <c r="J26" s="223">
        <f>(((B26*5)+(C26*4)+(D26*3)+(E26*2)+(F26*1)+(G26*0.5)+(H26*0))/(I26*5))*100</f>
        <v>18.461538461538463</v>
      </c>
      <c r="K26" s="3" t="str">
        <f>IF(I26=0,"N/A",IF(J26&gt;=60,"✓ Within KPI","✗ Out of KPI"))</f>
        <v>✗ Out of KPI</v>
      </c>
      <c r="L26" s="144">
        <f t="array" ref="L26">IFERROR(((B26*1)+(C26*2)+(D26*3)+(E26*4)+(F26*5)+(G26:G26*6)+(H26*7))/(I26),"N/A")</f>
        <v>5.7692307692307692</v>
      </c>
      <c r="M26" s="188" t="str">
        <f>IF(OR(L26="N/A",ISNA(L26)),"N/A",IF(ISBLANK(L26),"",IF(L26="","",IF(L26&lt;=1.4999,"A-EXCELLENT",IF(L26&lt;=1.9999,"B-VERY GOOD",IF(L26&lt;=2.9999,"C-GOOD",IF(L26&lt;=3.9999,"D-AVERAGE",IF(L26&lt;=4.9999,"E-SATISFACTORY",IF(L26&lt;=5.4999,"S-SUBSIDIARY",IF(L26&lt;=6,"F-FAIL",""))))))))))</f>
        <v>F-FAIL</v>
      </c>
      <c r="N26" s="152"/>
    </row>
    <row r="27" spans="1:14" ht="16.95" customHeight="1" thickBot="1" x14ac:dyDescent="0.35">
      <c r="A27" s="187" t="s">
        <v>377</v>
      </c>
      <c r="B27" s="128">
        <f>COUNTIFS(F6Results_2026[[Comb]:[Comb]],"ECA",F6Results_2026[[Comm]:[Comm]],"A")</f>
        <v>0</v>
      </c>
      <c r="C27" s="128">
        <f>COUNTIFS(F6Results_2026[[Comb]:[Comb]],"ECA",F6Results_2026[[Comm]:[Comm]],"B")</f>
        <v>0</v>
      </c>
      <c r="D27" s="128">
        <f>COUNTIFS(F6Results_2026[[Comb]:[Comb]],"ECA",F6Results_2026[[Comm]:[Comm]],"C")</f>
        <v>0</v>
      </c>
      <c r="E27" s="128">
        <f>COUNTIFS(F6Results_2026[[Comb]:[Comb]],"ECA",F6Results_2026[[Comm]:[Comm]],"D")</f>
        <v>0</v>
      </c>
      <c r="F27" s="128">
        <f>COUNTIFS(F6Results_2026[[Comb]:[Comb]],"ECA",F6Results_2026[[Comm]:[Comm]],"E")</f>
        <v>0</v>
      </c>
      <c r="G27" s="128">
        <f>COUNTIFS(F6Results_2026[[Comb]:[Comb]],"ECA",F6Results_2026[[Comm]:[Comm]],"S")</f>
        <v>0</v>
      </c>
      <c r="H27" s="128">
        <f>COUNTIFS(F6Results_2026[[Comb]:[Comb]],"ECA",F6Results_2026[[Comm]:[Comm]],"F")</f>
        <v>13</v>
      </c>
      <c r="I27" s="143">
        <f>SUM(B27:H27)</f>
        <v>13</v>
      </c>
      <c r="J27" s="223">
        <f>(((B27*5)+(C27*4)+(D27*3)+(E27*2)+(F27*1)+(G27*0.5)+(H27*0))/(I27*5))*100</f>
        <v>0</v>
      </c>
      <c r="K27" s="3" t="str">
        <f>IF(I27=0,"N/A",IF(J27&gt;=60,"✓ Within KPI","✗ Out of KPI"))</f>
        <v>✗ Out of KPI</v>
      </c>
      <c r="L27" s="144">
        <f t="array" ref="L27">IFERROR(((B27*1)+(C27*2)+(D27*3)+(E27*4)+(F27*5)+(G27:G27*6)+(H27*7))/(I27),"N/A")</f>
        <v>7</v>
      </c>
      <c r="M27" s="188" t="str">
        <f>IF(OR(L27="N/A",ISNA(L27)),"N/A",IF(ISBLANK(L27),"",IF(L27="","",IF(L27&lt;=1.4999,"A-EXCELLENT",IF(L27&lt;=1.9999,"B-VERY GOOD",IF(L27&lt;=2.9999,"C-GOOD",IF(L27&lt;=3.9999,"D-AVERAGE",IF(L27&lt;=4.9999,"E-SATISFACTORY",IF(L27&lt;=5.4999,"S-SUBSIDIARY",IF(L27&lt;=6,"F-FAIL",""))))))))))</f>
        <v/>
      </c>
      <c r="N27" s="153"/>
    </row>
    <row r="28" spans="1:14" ht="16.95" customHeight="1" thickBot="1" x14ac:dyDescent="0.35">
      <c r="A28" s="192" t="s">
        <v>378</v>
      </c>
      <c r="B28" s="193">
        <f>COUNTIFS(F6Results_2026[[Comb]:[Comb]],"ECA",F6Results_2026[[Acco]:[Acco]],"A")</f>
        <v>0</v>
      </c>
      <c r="C28" s="193">
        <f>COUNTIFS(F6Results_2026[[Comb]:[Comb]],"ECA",F6Results_2026[[Acco]:[Acco]],"B")</f>
        <v>0</v>
      </c>
      <c r="D28" s="193">
        <f>COUNTIFS(F6Results_2026[[Comb]:[Comb]],"ECA",F6Results_2026[[Acco]:[Acco]],"C")</f>
        <v>4</v>
      </c>
      <c r="E28" s="193">
        <f>COUNTIFS(F6Results_2026[[Comb]:[Comb]],"ECA",F6Results_2026[[Acco]:[Acco]],"D")</f>
        <v>5</v>
      </c>
      <c r="F28" s="193">
        <f>COUNTIFS(F6Results_2026[[Comb]:[Comb]],"ECA",F6Results_2026[[Acco]:[Acco]],"E")</f>
        <v>1</v>
      </c>
      <c r="G28" s="193">
        <f>COUNTIFS(F6Results_2026[[Comb]:[Comb]],"ECA",F6Results_2026[[Acco]:[Acco]],"S")</f>
        <v>0</v>
      </c>
      <c r="H28" s="193">
        <f>COUNTIFS(F6Results_2026[[Comb]:[Comb]],"ECA",F6Results_2026[[Acco]:[Acco]],"F")</f>
        <v>3</v>
      </c>
      <c r="I28" s="194">
        <f>SUM(B28:H28)</f>
        <v>13</v>
      </c>
      <c r="J28" s="223">
        <f>(((B28*5)+(C28*4)+(D28*3)+(E28*2)+(F28*1)+(G28*0.5)+(H28*0))/(I28*5))*100</f>
        <v>35.384615384615387</v>
      </c>
      <c r="K28" s="195" t="str">
        <f>IF(I28=0,"N/A",IF(J28&gt;=60,"✓ Within KPI","✗ Out of KPI"))</f>
        <v>✗ Out of KPI</v>
      </c>
      <c r="L28" s="196">
        <f t="array" ref="L28">IFERROR(((B28*1)+(C28*2)+(D28*3)+(E28*4)+(F28*5)+(G28:G28*6)+(H28*7))/(I28),"N/A")</f>
        <v>4.4615384615384617</v>
      </c>
      <c r="M28" s="197" t="str">
        <f>IF(OR(L28="N/A",ISNA(L28)),"N/A",IF(ISBLANK(L28),"",IF(L28="","",IF(L28&lt;=1.4999,"A-EXCELLENT",IF(L28&lt;=1.9999,"B-VERY GOOD",IF(L28&lt;=2.9999,"C-GOOD",IF(L28&lt;=3.9999,"D-AVERAGE",IF(L28&lt;=4.9999,"E-SATISFACTORY",IF(L28&lt;=5.4999,"S-SUBSIDIARY",IF(L28&lt;=6,"F-FAIL",""))))))))))</f>
        <v>E-SATISFACTORY</v>
      </c>
      <c r="N28" s="152"/>
    </row>
    <row r="30" spans="1:14" x14ac:dyDescent="0.3">
      <c r="A30" s="414" t="s">
        <v>365</v>
      </c>
      <c r="B30" s="415"/>
      <c r="C30" s="415"/>
      <c r="D30" s="415"/>
      <c r="E30" s="415"/>
      <c r="F30" s="415"/>
      <c r="G30" s="415"/>
      <c r="H30" s="415"/>
      <c r="I30" s="415"/>
      <c r="J30" s="415"/>
      <c r="K30" s="415"/>
      <c r="L30" s="415"/>
      <c r="M30" s="415"/>
      <c r="N30" s="415"/>
    </row>
    <row r="31" spans="1:14" ht="18" customHeight="1" x14ac:dyDescent="0.3">
      <c r="A31" s="189" t="s">
        <v>357</v>
      </c>
      <c r="B31" s="190" t="s">
        <v>366</v>
      </c>
      <c r="C31" s="190" t="s">
        <v>367</v>
      </c>
      <c r="D31" s="190" t="s">
        <v>368</v>
      </c>
      <c r="E31" s="190" t="s">
        <v>369</v>
      </c>
      <c r="F31" s="190" t="s">
        <v>370</v>
      </c>
      <c r="G31" s="190" t="s">
        <v>371</v>
      </c>
      <c r="H31" s="190" t="s">
        <v>372</v>
      </c>
      <c r="I31" s="190" t="s">
        <v>373</v>
      </c>
      <c r="J31" s="190" t="s">
        <v>347</v>
      </c>
      <c r="K31" s="190" t="s">
        <v>348</v>
      </c>
      <c r="L31" s="190" t="s">
        <v>358</v>
      </c>
      <c r="M31" s="191" t="s">
        <v>0</v>
      </c>
      <c r="N31" s="135"/>
    </row>
    <row r="32" spans="1:14" ht="16.95" customHeight="1" x14ac:dyDescent="0.3">
      <c r="A32" s="186" t="s">
        <v>360</v>
      </c>
      <c r="B32" s="151">
        <f>B24/I32</f>
        <v>0</v>
      </c>
      <c r="C32" s="151">
        <f>C24/I32</f>
        <v>0</v>
      </c>
      <c r="D32" s="151">
        <f>D24/I32</f>
        <v>0</v>
      </c>
      <c r="E32" s="151">
        <f>E24/I32</f>
        <v>7.6923076923076927E-2</v>
      </c>
      <c r="F32" s="151">
        <f>F24/I32</f>
        <v>0.69230769230769229</v>
      </c>
      <c r="G32" s="151">
        <f>G24/I32</f>
        <v>0.15384615384615385</v>
      </c>
      <c r="H32" s="151">
        <f>H24/I32</f>
        <v>7.6923076923076927E-2</v>
      </c>
      <c r="I32" s="143">
        <f t="shared" ref="I32:J36" si="9">I24</f>
        <v>13</v>
      </c>
      <c r="J32" s="224">
        <f t="shared" si="9"/>
        <v>18.461538461538463</v>
      </c>
      <c r="K32" s="3" t="str">
        <f t="shared" ref="K32:K37" si="10">IF(I32=0,"N/A",IF(J32&gt;=60,"✓ Within KPI","✗ Out of KPI"))</f>
        <v>✗ Out of KPI</v>
      </c>
      <c r="L32" s="144">
        <f>L24</f>
        <v>5.2307692307692308</v>
      </c>
      <c r="M32" s="188" t="str">
        <f t="shared" ref="M32:M37" si="11">IF(OR(L32="N/A",ISNA(L32)),"N/A",IF(ISBLANK(L32),"",IF(L32="","",IF(L32&lt;=1.4999,"A-EXCELLENT",IF(L32&lt;=1.9999,"B-VERY GOOD",IF(L32&lt;=2.9999,"C-GOOD",IF(L32&lt;=3.9999,"D-AVERAGE",IF(L32&lt;=4.9999,"E-SATISFACTORY",IF(L32&lt;=5.4999,"S-SUBSIDIARY",IF(L32&lt;=6,"F-FAIL",""))))))))))</f>
        <v>S-SUBSIDIARY</v>
      </c>
      <c r="N32" s="152"/>
    </row>
    <row r="33" spans="1:14" ht="16.95" customHeight="1" x14ac:dyDescent="0.3">
      <c r="A33" s="187" t="s">
        <v>364</v>
      </c>
      <c r="B33" s="151">
        <f>B25/I33</f>
        <v>0.23076923076923078</v>
      </c>
      <c r="C33" s="151">
        <f>C25/I33</f>
        <v>0</v>
      </c>
      <c r="D33" s="151">
        <f>D25/I33</f>
        <v>0.15384615384615385</v>
      </c>
      <c r="E33" s="151">
        <f>E25/I33</f>
        <v>0.15384615384615385</v>
      </c>
      <c r="F33" s="151">
        <f>F25/I33</f>
        <v>7.6923076923076927E-2</v>
      </c>
      <c r="G33" s="151">
        <f>G25/I33</f>
        <v>0.15384615384615385</v>
      </c>
      <c r="H33" s="151">
        <f>H25/I33</f>
        <v>0.23076923076923078</v>
      </c>
      <c r="I33" s="143">
        <f t="shared" si="9"/>
        <v>13</v>
      </c>
      <c r="J33" s="224">
        <f t="shared" si="9"/>
        <v>41.53846153846154</v>
      </c>
      <c r="K33" s="3" t="str">
        <f t="shared" si="10"/>
        <v>✗ Out of KPI</v>
      </c>
      <c r="L33" s="144">
        <f>L25</f>
        <v>4.2307692307692308</v>
      </c>
      <c r="M33" s="188" t="str">
        <f t="shared" si="11"/>
        <v>E-SATISFACTORY</v>
      </c>
      <c r="N33" s="153"/>
    </row>
    <row r="34" spans="1:14" ht="16.95" customHeight="1" x14ac:dyDescent="0.3">
      <c r="A34" s="186" t="s">
        <v>376</v>
      </c>
      <c r="B34" s="151">
        <f>B26/I34</f>
        <v>0</v>
      </c>
      <c r="C34" s="151">
        <f>C26/I34</f>
        <v>0</v>
      </c>
      <c r="D34" s="151">
        <f>D26/I34</f>
        <v>0.30769230769230771</v>
      </c>
      <c r="E34" s="151">
        <f>E26/I34</f>
        <v>0</v>
      </c>
      <c r="F34" s="151">
        <f>F26/I34</f>
        <v>0</v>
      </c>
      <c r="G34" s="151">
        <f>G26/I34</f>
        <v>0</v>
      </c>
      <c r="H34" s="151">
        <f>H26/I34</f>
        <v>0.69230769230769229</v>
      </c>
      <c r="I34" s="143">
        <f t="shared" si="9"/>
        <v>13</v>
      </c>
      <c r="J34" s="224">
        <f t="shared" si="9"/>
        <v>18.461538461538463</v>
      </c>
      <c r="K34" s="3" t="str">
        <f t="shared" si="10"/>
        <v>✗ Out of KPI</v>
      </c>
      <c r="L34" s="144">
        <f>L26</f>
        <v>5.7692307692307692</v>
      </c>
      <c r="M34" s="188" t="str">
        <f t="shared" si="11"/>
        <v>F-FAIL</v>
      </c>
      <c r="N34" s="152"/>
    </row>
    <row r="35" spans="1:14" ht="16.95" customHeight="1" x14ac:dyDescent="0.3">
      <c r="A35" s="187" t="s">
        <v>377</v>
      </c>
      <c r="B35" s="151">
        <f>B27/I35</f>
        <v>0</v>
      </c>
      <c r="C35" s="151">
        <f>C27/I35</f>
        <v>0</v>
      </c>
      <c r="D35" s="151">
        <f>D27/I35</f>
        <v>0</v>
      </c>
      <c r="E35" s="151">
        <f>E27/I35</f>
        <v>0</v>
      </c>
      <c r="F35" s="151">
        <f>F27/I35</f>
        <v>0</v>
      </c>
      <c r="G35" s="151">
        <f>G27/I35</f>
        <v>0</v>
      </c>
      <c r="H35" s="151">
        <f>H27/I35</f>
        <v>1</v>
      </c>
      <c r="I35" s="143">
        <f t="shared" si="9"/>
        <v>13</v>
      </c>
      <c r="J35" s="224">
        <f t="shared" si="9"/>
        <v>0</v>
      </c>
      <c r="K35" s="3" t="str">
        <f t="shared" si="10"/>
        <v>✗ Out of KPI</v>
      </c>
      <c r="L35" s="144">
        <f>L27</f>
        <v>7</v>
      </c>
      <c r="M35" s="188" t="str">
        <f t="shared" si="11"/>
        <v/>
      </c>
      <c r="N35" s="153"/>
    </row>
    <row r="36" spans="1:14" ht="16.95" customHeight="1" x14ac:dyDescent="0.3">
      <c r="A36" s="186" t="s">
        <v>378</v>
      </c>
      <c r="B36" s="151">
        <f>B28/I36</f>
        <v>0</v>
      </c>
      <c r="C36" s="151">
        <f>C28/I36</f>
        <v>0</v>
      </c>
      <c r="D36" s="151">
        <f>D28/I36</f>
        <v>0.30769230769230771</v>
      </c>
      <c r="E36" s="151">
        <f>E28/I36</f>
        <v>0.38461538461538464</v>
      </c>
      <c r="F36" s="151">
        <f>F28/I36</f>
        <v>7.6923076923076927E-2</v>
      </c>
      <c r="G36" s="151">
        <f>G28/I36</f>
        <v>0</v>
      </c>
      <c r="H36" s="151">
        <f>H28/I36</f>
        <v>0.23076923076923078</v>
      </c>
      <c r="I36" s="143">
        <f t="shared" si="9"/>
        <v>13</v>
      </c>
      <c r="J36" s="224">
        <f t="shared" si="9"/>
        <v>35.384615384615387</v>
      </c>
      <c r="K36" s="3" t="str">
        <f t="shared" si="10"/>
        <v>✗ Out of KPI</v>
      </c>
      <c r="L36" s="144">
        <f>L28</f>
        <v>4.4615384615384617</v>
      </c>
      <c r="M36" s="188" t="str">
        <f t="shared" si="11"/>
        <v>E-SATISFACTORY</v>
      </c>
      <c r="N36" s="152"/>
    </row>
    <row r="37" spans="1:14" ht="16.95" customHeight="1" x14ac:dyDescent="0.3">
      <c r="A37" s="198" t="s">
        <v>781</v>
      </c>
      <c r="B37" s="199">
        <f t="shared" ref="B37:J37" si="12">AVERAGE(B33:B36)</f>
        <v>5.7692307692307696E-2</v>
      </c>
      <c r="C37" s="199">
        <f t="shared" si="12"/>
        <v>0</v>
      </c>
      <c r="D37" s="199">
        <f t="shared" si="12"/>
        <v>0.19230769230769232</v>
      </c>
      <c r="E37" s="199">
        <f t="shared" si="12"/>
        <v>0.13461538461538464</v>
      </c>
      <c r="F37" s="199">
        <f t="shared" si="12"/>
        <v>3.8461538461538464E-2</v>
      </c>
      <c r="G37" s="199">
        <f t="shared" si="12"/>
        <v>3.8461538461538464E-2</v>
      </c>
      <c r="H37" s="199">
        <f t="shared" si="12"/>
        <v>0.53846153846153844</v>
      </c>
      <c r="I37" s="194">
        <f t="shared" si="12"/>
        <v>13</v>
      </c>
      <c r="J37" s="200">
        <f t="shared" si="12"/>
        <v>23.846153846153847</v>
      </c>
      <c r="K37" s="195" t="str">
        <f t="shared" si="10"/>
        <v>✗ Out of KPI</v>
      </c>
      <c r="L37" s="200">
        <f>AVERAGE(L33:L36)</f>
        <v>5.365384615384615</v>
      </c>
      <c r="M37" s="197" t="str">
        <f t="shared" si="11"/>
        <v>S-SUBSIDIARY</v>
      </c>
      <c r="N37" s="148"/>
    </row>
    <row r="39" spans="1:14" ht="22.05" customHeight="1" x14ac:dyDescent="0.3">
      <c r="A39" s="417" t="s">
        <v>379</v>
      </c>
      <c r="B39" s="415"/>
      <c r="C39" s="415"/>
      <c r="D39" s="415"/>
      <c r="E39" s="415"/>
      <c r="F39" s="415"/>
      <c r="G39" s="415"/>
      <c r="H39" s="415"/>
      <c r="I39" s="415"/>
      <c r="J39" s="415"/>
      <c r="K39" s="415"/>
      <c r="L39" s="415"/>
      <c r="M39" s="415"/>
      <c r="N39" s="415"/>
    </row>
    <row r="40" spans="1:14" x14ac:dyDescent="0.3">
      <c r="A40" s="416" t="s">
        <v>356</v>
      </c>
      <c r="B40" s="415"/>
      <c r="C40" s="415"/>
      <c r="D40" s="415"/>
      <c r="E40" s="415"/>
      <c r="F40" s="415"/>
      <c r="G40" s="415"/>
      <c r="H40" s="415"/>
      <c r="I40" s="415"/>
      <c r="J40" s="415"/>
      <c r="K40" s="415"/>
      <c r="L40" s="415"/>
      <c r="M40" s="415"/>
      <c r="N40" s="415"/>
    </row>
    <row r="41" spans="1:14" ht="18" customHeight="1" x14ac:dyDescent="0.3">
      <c r="A41" s="203" t="s">
        <v>357</v>
      </c>
      <c r="B41" s="204" t="s">
        <v>2</v>
      </c>
      <c r="C41" s="204" t="s">
        <v>3</v>
      </c>
      <c r="D41" s="204" t="s">
        <v>4</v>
      </c>
      <c r="E41" s="204" t="s">
        <v>5</v>
      </c>
      <c r="F41" s="204" t="s">
        <v>6</v>
      </c>
      <c r="G41" s="204" t="s">
        <v>7</v>
      </c>
      <c r="H41" s="204" t="s">
        <v>8</v>
      </c>
      <c r="I41" s="204" t="s">
        <v>344</v>
      </c>
      <c r="J41" s="204" t="s">
        <v>347</v>
      </c>
      <c r="K41" s="204" t="s">
        <v>348</v>
      </c>
      <c r="L41" s="204" t="s">
        <v>358</v>
      </c>
      <c r="M41" s="204" t="s">
        <v>0</v>
      </c>
      <c r="N41" s="135"/>
    </row>
    <row r="42" spans="1:14" ht="16.95" customHeight="1" thickBot="1" x14ac:dyDescent="0.35">
      <c r="A42" s="201" t="s">
        <v>360</v>
      </c>
      <c r="B42" s="137">
        <f>COUNTIFS(F6Results_2026[[Comb]:[Comb]],"EGM",F6Results_2026[[Gs]:[Gs]],"A")</f>
        <v>0</v>
      </c>
      <c r="C42" s="137">
        <f>COUNTIFS(F6Results_2026[[Comb]:[Comb]],"EGM",F6Results_2026[[Gs]:[Gs]],"B")</f>
        <v>0</v>
      </c>
      <c r="D42" s="137">
        <f>COUNTIFS(F6Results_2026[[Comb]:[Comb]],"EGM",F6Results_2026[[Gs]:[Gs]],"C")</f>
        <v>0</v>
      </c>
      <c r="E42" s="137">
        <f>COUNTIFS(F6Results_2026[[Comb]:[Comb]],"EGM",F6Results_2026[[Gs]:[Gs]],"D")</f>
        <v>8</v>
      </c>
      <c r="F42" s="137">
        <f>COUNTIFS(F6Results_2026[[Comb]:[Comb]],"EGM",F6Results_2026[[Gs]:[Gs]],"E")</f>
        <v>13</v>
      </c>
      <c r="G42" s="137">
        <f>COUNTIFS(F6Results_2026[[Comb]:[Comb]],"EGM",F6Results_2026[[Gs]:[Gs]],"S")</f>
        <v>4</v>
      </c>
      <c r="H42" s="137">
        <f>COUNTIFS(F6Results_2026[[Comb]:[Comb]],"EGM",F6Results_2026[[Gs]:[Gs]],"F")</f>
        <v>2</v>
      </c>
      <c r="I42" s="138">
        <f>SUM(B42:H42)</f>
        <v>27</v>
      </c>
      <c r="J42" s="223">
        <f>(((B42*5)+(C42*4)+(D42*3)+(E42*2)+(F42*1)+(G42*0.5)+(H42*0))/(I42*5))*100</f>
        <v>22.962962962962962</v>
      </c>
      <c r="K42" s="26" t="str">
        <f>IF(I42=0,"N/A",IF(J42&gt;=60,"✓ Within KPI","✗ Out of KPI"))</f>
        <v>✗ Out of KPI</v>
      </c>
      <c r="L42" s="139">
        <f t="array" ref="L42">IFERROR(((B42*1)+(C42*2)+(D42*3)+(E42*4)+(F42*5)+(G42:G42*6)+(H42*7))/(I42),"N/A")</f>
        <v>5</v>
      </c>
      <c r="M42" s="145" t="str">
        <f>IF(OR(L42="N/A",ISNA(L42)),"N/A",IF(ISBLANK(L42),"",IF(L42="","",IF(L42&lt;=1.4999,"A-EXCELLENT",IF(L42&lt;=1.9999,"B-VERY GOOD",IF(L42&lt;=2.9999,"C-GOOD",IF(L42&lt;=3.9999,"D-AVERAGE",IF(L42&lt;=4.9999,"E-SATISFACTORY",IF(L42&lt;=5.4999,"S-SUBSIDIARY",IF(L42&lt;=6,"F-FAIL",""))))))))))</f>
        <v>S-SUBSIDIARY</v>
      </c>
      <c r="N42" s="152"/>
    </row>
    <row r="43" spans="1:14" ht="16.95" customHeight="1" thickBot="1" x14ac:dyDescent="0.35">
      <c r="A43" s="202" t="s">
        <v>380</v>
      </c>
      <c r="B43" s="137">
        <f>COUNTIFS(F6Results_2026[[Comb]:[Comb]],"EGM",F6Results_2026[[Geo]:[Geo]],"A")</f>
        <v>2</v>
      </c>
      <c r="C43" s="137">
        <f>COUNTIFS(F6Results_2026[[Comb]:[Comb]],"EGM",F6Results_2026[[Geo]:[Geo]],"B")</f>
        <v>13</v>
      </c>
      <c r="D43" s="137">
        <f>COUNTIFS(F6Results_2026[[Comb]:[Comb]],"EGM",F6Results_2026[[Geo]:[Geo]],"C")</f>
        <v>11</v>
      </c>
      <c r="E43" s="137">
        <f>COUNTIFS(F6Results_2026[[Comb]:[Comb]],"EGM",F6Results_2026[[Geo]:[Geo]],"D")</f>
        <v>1</v>
      </c>
      <c r="F43" s="137">
        <f>COUNTIFS(F6Results_2026[[Comb]:[Comb]],"EGM",F6Results_2026[[Geo]:[Geo]],"E")</f>
        <v>0</v>
      </c>
      <c r="G43" s="137">
        <f>COUNTIFS(F6Results_2026[[Comb]:[Comb]],"EGM",F6Results_2026[[Geo]:[Geo]],"S")</f>
        <v>0</v>
      </c>
      <c r="H43" s="137">
        <f>COUNTIFS(F6Results_2026[[Comb]:[Comb]],"EGM",F6Results_2026[[Geo]:[Geo]],"F")</f>
        <v>0</v>
      </c>
      <c r="I43" s="138">
        <f>SUM(B43:H43)</f>
        <v>27</v>
      </c>
      <c r="J43" s="223">
        <f>(((B43*5)+(C43*4)+(D43*3)+(E43*2)+(F43*1)+(G43*0.5)+(H43*0))/(I43*5))*100</f>
        <v>71.851851851851862</v>
      </c>
      <c r="K43" s="26" t="str">
        <f>IF(I43=0,"N/A",IF(J43&gt;=60,"✓ Within KPI","✗ Out of KPI"))</f>
        <v>✓ Within KPI</v>
      </c>
      <c r="L43" s="139">
        <f t="array" ref="L43">IFERROR(((B43*1)+(C43*2)+(D43*3)+(E43*4)+(F43*5)+(G43:G43*6)+(H43*7))/(I43),"N/A")</f>
        <v>2.4074074074074074</v>
      </c>
      <c r="M43" s="145" t="str">
        <f>IF(OR(L43="N/A",ISNA(L43)),"N/A",IF(ISBLANK(L43),"",IF(L43="","",IF(L43&lt;=1.4999,"A-EXCELLENT",IF(L43&lt;=1.9999,"B-VERY GOOD",IF(L43&lt;=2.9999,"C-GOOD",IF(L43&lt;=3.9999,"D-AVERAGE",IF(L43&lt;=4.9999,"E-SATISFACTORY",IF(L43&lt;=5.4999,"S-SUBSIDIARY",IF(L43&lt;=6,"F-FAIL",""))))))))))</f>
        <v>C-GOOD</v>
      </c>
      <c r="N43" s="153"/>
    </row>
    <row r="44" spans="1:14" ht="16.95" customHeight="1" thickBot="1" x14ac:dyDescent="0.35">
      <c r="A44" s="201" t="s">
        <v>381</v>
      </c>
      <c r="B44" s="128">
        <f>COUNTIFS(F6Results_2026[[Comb]:[Comb]],"EGM",F6Results_2026[[Adv_Math]:[Adv_Math]],"A")</f>
        <v>0</v>
      </c>
      <c r="C44" s="128">
        <f>COUNTIFS(F6Results_2026[[Comb]:[Comb]],"EGM",F6Results_2026[[Adv_Math]:[Adv_Math]],"B")</f>
        <v>0</v>
      </c>
      <c r="D44" s="128">
        <f>COUNTIFS(F6Results_2026[[Comb]:[Comb]],"EGM",F6Results_2026[[Adv_Math]:[Adv_Math]],"C")</f>
        <v>3</v>
      </c>
      <c r="E44" s="128">
        <f>COUNTIFS(F6Results_2026[[Comb]:[Comb]],"EGM",F6Results_2026[[Adv_Math]:[Adv_Math]],"D")</f>
        <v>6</v>
      </c>
      <c r="F44" s="128">
        <f>COUNTIFS(F6Results_2026[[Comb]:[Comb]],"EGM",F6Results_2026[[Adv_Math]:[Adv_Math]],"E")</f>
        <v>11</v>
      </c>
      <c r="G44" s="128">
        <f>COUNTIFS(F6Results_2026[[Comb]:[Comb]],"EGM",F6Results_2026[[Adv_Math]:[Adv_Math]],"S")</f>
        <v>4</v>
      </c>
      <c r="H44" s="128">
        <f>COUNTIFS(F6Results_2026[[Comb]:[Comb]],"EGM",F6Results_2026[[Adv_Math]:[Adv_Math]],"F")</f>
        <v>3</v>
      </c>
      <c r="I44" s="12">
        <f>SUM(B44:H44)</f>
        <v>27</v>
      </c>
      <c r="J44" s="223">
        <f>(((B44*5)+(C44*4)+(D44*3)+(E44*2)+(F44*1)+(G44*0.5)+(H44*0))/(I44*5))*100</f>
        <v>25.185185185185183</v>
      </c>
      <c r="K44" s="3" t="str">
        <f>IF(I44=0,"N/A",IF(J44&gt;=60,"✓ Within KPI","✗ Out of KPI"))</f>
        <v>✗ Out of KPI</v>
      </c>
      <c r="L44" s="18">
        <f t="array" ref="L44">IFERROR(((B44*1)+(C44*2)+(D44*3)+(E44*4)+(F44*5)+(G44:G44*6)+(H44*7))/(I44),"N/A")</f>
        <v>4.9259259259259256</v>
      </c>
      <c r="M44" s="145" t="str">
        <f>IF(OR(L44="N/A",ISNA(L44)),"N/A",IF(ISBLANK(L44),"",IF(L44="","",IF(L44&lt;=1.4999,"A-EXCELLENT",IF(L44&lt;=1.9999,"B-VERY GOOD",IF(L44&lt;=2.9999,"C-GOOD",IF(L44&lt;=3.9999,"D-AVERAGE",IF(L44&lt;=4.9999,"E-SATISFACTORY",IF(L44&lt;=5.4999,"S-SUBSIDIARY",IF(L44&lt;=6,"F-FAIL",""))))))))))</f>
        <v>E-SATISFACTORY</v>
      </c>
      <c r="N44" s="153"/>
    </row>
    <row r="45" spans="1:14" ht="16.95" customHeight="1" thickBot="1" x14ac:dyDescent="0.35">
      <c r="A45" s="202" t="s">
        <v>376</v>
      </c>
      <c r="B45" s="137">
        <f>COUNTIFS(F6Results_2026[[Comb]:[Comb]],"EGM",F6Results_2026[[Econ]:[Econ]],"A")</f>
        <v>0</v>
      </c>
      <c r="C45" s="137">
        <f>COUNTIFS(F6Results_2026[[Comb]:[Comb]],"EGM",F6Results_2026[[Econ]:[Econ]],"B")</f>
        <v>0</v>
      </c>
      <c r="D45" s="137">
        <f>COUNTIFS(F6Results_2026[[Comb]:[Comb]],"EGM",F6Results_2026[[Econ]:[Econ]],"C")</f>
        <v>10</v>
      </c>
      <c r="E45" s="137">
        <f>COUNTIFS(F6Results_2026[[Comb]:[Comb]],"EGM",F6Results_2026[[Econ]:[Econ]],"D")</f>
        <v>7</v>
      </c>
      <c r="F45" s="137">
        <f>COUNTIFS(F6Results_2026[[Comb]:[Comb]],"EGM",F6Results_2026[[Econ]:[Econ]],"E")</f>
        <v>1</v>
      </c>
      <c r="G45" s="137">
        <f>COUNTIFS(F6Results_2026[[Comb]:[Comb]],"EGM",F6Results_2026[[Econ]:[Econ]],"S")</f>
        <v>0</v>
      </c>
      <c r="H45" s="137">
        <f>COUNTIFS(F6Results_2026[[Comb]:[Comb]],"EGM",F6Results_2026[[Econ]:[Econ]],"F")</f>
        <v>9</v>
      </c>
      <c r="I45" s="138">
        <f>SUM(B45:H45)</f>
        <v>27</v>
      </c>
      <c r="J45" s="223">
        <f>(((B45*5)+(C45*4)+(D45*3)+(E45*2)+(F45*1)+(G45*0.5)+(H45*0))/(I45*5))*100</f>
        <v>33.333333333333329</v>
      </c>
      <c r="K45" s="26" t="str">
        <f>IF(I45=0,"N/A",IF(J45&gt;=60,"✓ Within KPI","✗ Out of KPI"))</f>
        <v>✗ Out of KPI</v>
      </c>
      <c r="L45" s="139">
        <f t="array" ref="L45">IFERROR(((B45*1)+(C45*2)+(D45*3)+(E45*4)+(F45*5)+(G45:G45*6)+(H45*7))/(I45),"N/A")</f>
        <v>4.666666666666667</v>
      </c>
      <c r="M45" s="145" t="str">
        <f>IF(OR(L45="N/A",ISNA(L45)),"N/A",IF(ISBLANK(L45),"",IF(L45="","",IF(L45&lt;=1.4999,"A-EXCELLENT",IF(L45&lt;=1.9999,"B-VERY GOOD",IF(L45&lt;=2.9999,"C-GOOD",IF(L45&lt;=3.9999,"D-AVERAGE",IF(L45&lt;=4.9999,"E-SATISFACTORY",IF(L45&lt;=5.4999,"S-SUBSIDIARY",IF(L45&lt;=6,"F-FAIL",""))))))))))</f>
        <v>E-SATISFACTORY</v>
      </c>
      <c r="N45" s="153"/>
    </row>
    <row r="46" spans="1:14" x14ac:dyDescent="0.3">
      <c r="M46" s="149" t="str">
        <f>IF(OR(L46="N/A",ISNA(L46)),"N/A",IF(ISBLANK(L46),"",IF(L46="","",IF(L46&lt;=1.4999,"A-EXCELLENT",IF(L46&lt;=1.9999,"B-VERY GOOD",IF(L46&lt;=2.9999,"C-GOOD",IF(L46&lt;=3.9999,"D-AVERAGE",IF(L46&lt;=4.9999,"E-SATISFACTORY",IF(L46&lt;=5.4999,"S-SUBSIDIARY",IF(L46&lt;=6,"F-FAIL",""))))))))))</f>
        <v/>
      </c>
    </row>
    <row r="47" spans="1:14" x14ac:dyDescent="0.3">
      <c r="A47" s="414" t="s">
        <v>365</v>
      </c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</row>
    <row r="48" spans="1:14" ht="18" customHeight="1" x14ac:dyDescent="0.3">
      <c r="A48" s="189" t="s">
        <v>357</v>
      </c>
      <c r="B48" s="190" t="s">
        <v>366</v>
      </c>
      <c r="C48" s="190" t="s">
        <v>367</v>
      </c>
      <c r="D48" s="190" t="s">
        <v>368</v>
      </c>
      <c r="E48" s="190" t="s">
        <v>369</v>
      </c>
      <c r="F48" s="190" t="s">
        <v>370</v>
      </c>
      <c r="G48" s="190" t="s">
        <v>371</v>
      </c>
      <c r="H48" s="190" t="s">
        <v>372</v>
      </c>
      <c r="I48" s="190" t="s">
        <v>373</v>
      </c>
      <c r="J48" s="190" t="s">
        <v>347</v>
      </c>
      <c r="K48" s="190" t="s">
        <v>348</v>
      </c>
      <c r="L48" s="190" t="s">
        <v>358</v>
      </c>
      <c r="M48" s="191" t="s">
        <v>0</v>
      </c>
      <c r="N48" s="135" t="s">
        <v>359</v>
      </c>
    </row>
    <row r="49" spans="1:14" ht="16.95" customHeight="1" x14ac:dyDescent="0.3">
      <c r="A49" s="186" t="s">
        <v>360</v>
      </c>
      <c r="B49" s="151">
        <f>B42/I49</f>
        <v>0</v>
      </c>
      <c r="C49" s="151">
        <f>C42/I49</f>
        <v>0</v>
      </c>
      <c r="D49" s="151">
        <f>D42/I49</f>
        <v>0</v>
      </c>
      <c r="E49" s="151">
        <f>E42/I49</f>
        <v>0.29629629629629628</v>
      </c>
      <c r="F49" s="151">
        <f>F42/I49</f>
        <v>0.48148148148148145</v>
      </c>
      <c r="G49" s="151">
        <f>G42/I49</f>
        <v>0.14814814814814814</v>
      </c>
      <c r="H49" s="151">
        <f>H42/I49</f>
        <v>7.407407407407407E-2</v>
      </c>
      <c r="I49" s="143">
        <f t="shared" ref="I49:J52" si="13">I42</f>
        <v>27</v>
      </c>
      <c r="J49" s="224">
        <f t="shared" si="13"/>
        <v>22.962962962962962</v>
      </c>
      <c r="K49" s="3" t="str">
        <f>IF(I49=0,"N/A",IF(J49&gt;=60,"✓ Within KPI","✗ Out of KPI"))</f>
        <v>✗ Out of KPI</v>
      </c>
      <c r="L49" s="144">
        <f>L42</f>
        <v>5</v>
      </c>
      <c r="M49" s="188" t="str">
        <f>IF(OR(L49="N/A",ISNA(L49)),"N/A",IF(ISBLANK(L49),"",IF(L49="","",IF(L49&lt;=1.4999,"A-EXCELLENT",IF(L49&lt;=1.9999,"B-VERY GOOD",IF(L49&lt;=2.9999,"C-GOOD",IF(L49&lt;=3.9999,"D-AVERAGE",IF(L49&lt;=4.9999,"E-SATISFACTORY",IF(L49&lt;=5.4999,"S-SUBSIDIARY",IF(L49&lt;=6,"F-FAIL",""))))))))))</f>
        <v>S-SUBSIDIARY</v>
      </c>
      <c r="N49" s="152"/>
    </row>
    <row r="50" spans="1:14" ht="16.95" customHeight="1" x14ac:dyDescent="0.3">
      <c r="A50" s="187" t="s">
        <v>380</v>
      </c>
      <c r="B50" s="151">
        <f>B43/I50</f>
        <v>7.407407407407407E-2</v>
      </c>
      <c r="C50" s="151">
        <f>C43/I50</f>
        <v>0.48148148148148145</v>
      </c>
      <c r="D50" s="151">
        <f>D43/I50</f>
        <v>0.40740740740740738</v>
      </c>
      <c r="E50" s="151">
        <f>E43/I50</f>
        <v>3.7037037037037035E-2</v>
      </c>
      <c r="F50" s="151">
        <f>F43/I50</f>
        <v>0</v>
      </c>
      <c r="G50" s="151">
        <f>G43/I50</f>
        <v>0</v>
      </c>
      <c r="H50" s="151">
        <f>H43/I50</f>
        <v>0</v>
      </c>
      <c r="I50" s="143">
        <f t="shared" si="13"/>
        <v>27</v>
      </c>
      <c r="J50" s="224">
        <f t="shared" si="13"/>
        <v>71.851851851851862</v>
      </c>
      <c r="K50" s="3" t="str">
        <f>IF(I50=0,"N/A",IF(J50&gt;=60,"✓ Within KPI","✗ Out of KPI"))</f>
        <v>✓ Within KPI</v>
      </c>
      <c r="L50" s="144">
        <f>L43</f>
        <v>2.4074074074074074</v>
      </c>
      <c r="M50" s="188" t="str">
        <f>IF(OR(L50="N/A",ISNA(L50)),"N/A",IF(ISBLANK(L50),"",IF(L50="","",IF(L50&lt;=1.4999,"A-EXCELLENT",IF(L50&lt;=1.9999,"B-VERY GOOD",IF(L50&lt;=2.9999,"C-GOOD",IF(L50&lt;=3.9999,"D-AVERAGE",IF(L50&lt;=4.9999,"E-SATISFACTORY",IF(L50&lt;=5.4999,"S-SUBSIDIARY",IF(L50&lt;=6,"F-FAIL",""))))))))))</f>
        <v>C-GOOD</v>
      </c>
      <c r="N50" s="153"/>
    </row>
    <row r="51" spans="1:14" ht="16.95" customHeight="1" x14ac:dyDescent="0.3">
      <c r="A51" s="186" t="s">
        <v>381</v>
      </c>
      <c r="B51" s="151">
        <f>B44/I51</f>
        <v>0</v>
      </c>
      <c r="C51" s="151">
        <f>C44/I51</f>
        <v>0</v>
      </c>
      <c r="D51" s="151">
        <f>D44/I51</f>
        <v>0.1111111111111111</v>
      </c>
      <c r="E51" s="151">
        <f>E44/I51</f>
        <v>0.22222222222222221</v>
      </c>
      <c r="F51" s="151">
        <f>F44/I51</f>
        <v>0.40740740740740738</v>
      </c>
      <c r="G51" s="151">
        <f>G44/I51</f>
        <v>0.14814814814814814</v>
      </c>
      <c r="H51" s="151">
        <f>H44/I51</f>
        <v>0.1111111111111111</v>
      </c>
      <c r="I51" s="143">
        <f t="shared" si="13"/>
        <v>27</v>
      </c>
      <c r="J51" s="224">
        <f t="shared" si="13"/>
        <v>25.185185185185183</v>
      </c>
      <c r="K51" s="3" t="str">
        <f>IF(I51=0,"N/A",IF(J51&gt;=60,"✓ Within KPI","✗ Out of KPI"))</f>
        <v>✗ Out of KPI</v>
      </c>
      <c r="L51" s="144">
        <f>L44</f>
        <v>4.9259259259259256</v>
      </c>
      <c r="M51" s="188" t="str">
        <f>IF(OR(L51="N/A",ISNA(L51)),"N/A",IF(ISBLANK(L51),"",IF(L51="","",IF(L51&lt;=1.4999,"A-EXCELLENT",IF(L51&lt;=1.9999,"B-VERY GOOD",IF(L51&lt;=2.9999,"C-GOOD",IF(L51&lt;=3.9999,"D-AVERAGE",IF(L51&lt;=4.9999,"E-SATISFACTORY",IF(L51&lt;=5.4999,"S-SUBSIDIARY",IF(L51&lt;=6,"F-FAIL",""))))))))))</f>
        <v>E-SATISFACTORY</v>
      </c>
      <c r="N51" s="152"/>
    </row>
    <row r="52" spans="1:14" ht="16.95" customHeight="1" x14ac:dyDescent="0.3">
      <c r="A52" s="187" t="s">
        <v>376</v>
      </c>
      <c r="B52" s="151">
        <f>B45/I52</f>
        <v>0</v>
      </c>
      <c r="C52" s="151">
        <f>C45/I52</f>
        <v>0</v>
      </c>
      <c r="D52" s="151">
        <f>D45/I52</f>
        <v>0.37037037037037035</v>
      </c>
      <c r="E52" s="151">
        <f>E45/I52</f>
        <v>0.25925925925925924</v>
      </c>
      <c r="F52" s="151">
        <f>F45/I52</f>
        <v>3.7037037037037035E-2</v>
      </c>
      <c r="G52" s="151">
        <f>G45/I52</f>
        <v>0</v>
      </c>
      <c r="H52" s="151">
        <f>H45/I52</f>
        <v>0.33333333333333331</v>
      </c>
      <c r="I52" s="143">
        <f t="shared" si="13"/>
        <v>27</v>
      </c>
      <c r="J52" s="224">
        <f t="shared" si="13"/>
        <v>33.333333333333329</v>
      </c>
      <c r="K52" s="3" t="str">
        <f>IF(I52=0,"N/A",IF(J52&gt;=60,"✓ Within KPI","✗ Out of KPI"))</f>
        <v>✗ Out of KPI</v>
      </c>
      <c r="L52" s="144">
        <f>L45</f>
        <v>4.666666666666667</v>
      </c>
      <c r="M52" s="188" t="str">
        <f>IF(OR(L52="N/A",ISNA(L52)),"N/A",IF(ISBLANK(L52),"",IF(L52="","",IF(L52&lt;=1.4999,"A-EXCELLENT",IF(L52&lt;=1.9999,"B-VERY GOOD",IF(L52&lt;=2.9999,"C-GOOD",IF(L52&lt;=3.9999,"D-AVERAGE",IF(L52&lt;=4.9999,"E-SATISFACTORY",IF(L52&lt;=5.4999,"S-SUBSIDIARY",IF(L52&lt;=6,"F-FAIL",""))))))))))</f>
        <v>E-SATISFACTORY</v>
      </c>
      <c r="N52" s="153"/>
    </row>
    <row r="53" spans="1:14" ht="16.95" customHeight="1" x14ac:dyDescent="0.3">
      <c r="A53" s="198" t="s">
        <v>781</v>
      </c>
      <c r="B53" s="199">
        <f t="shared" ref="B53:J53" si="14">AVERAGE(B49:B52)</f>
        <v>1.8518518518518517E-2</v>
      </c>
      <c r="C53" s="199">
        <f t="shared" si="14"/>
        <v>0.12037037037037036</v>
      </c>
      <c r="D53" s="199">
        <f t="shared" si="14"/>
        <v>0.22222222222222221</v>
      </c>
      <c r="E53" s="199">
        <f t="shared" si="14"/>
        <v>0.20370370370370372</v>
      </c>
      <c r="F53" s="199">
        <f t="shared" si="14"/>
        <v>0.23148148148148145</v>
      </c>
      <c r="G53" s="199">
        <f t="shared" si="14"/>
        <v>7.407407407407407E-2</v>
      </c>
      <c r="H53" s="199">
        <f t="shared" si="14"/>
        <v>0.12962962962962962</v>
      </c>
      <c r="I53" s="194">
        <f t="shared" si="14"/>
        <v>27</v>
      </c>
      <c r="J53" s="200">
        <f t="shared" si="14"/>
        <v>38.333333333333329</v>
      </c>
      <c r="K53" s="195" t="str">
        <f>IF(I53=0,"N/A",IF(J53&gt;=60,"✓ Within KPI","✗ Out of KPI"))</f>
        <v>✗ Out of KPI</v>
      </c>
      <c r="L53" s="200">
        <f>AVERAGE(L49:L52)</f>
        <v>4.25</v>
      </c>
      <c r="M53" s="197" t="str">
        <f>IF(OR(L53="N/A",ISNA(L53)),"N/A",IF(ISBLANK(L53),"",IF(L53="","",IF(L53&lt;=1.4999,"A-EXCELLENT",IF(L53&lt;=1.9999,"B-VERY GOOD",IF(L53&lt;=2.9999,"C-GOOD",IF(L53&lt;=3.9999,"D-AVERAGE",IF(L53&lt;=4.9999,"E-SATISFACTORY",IF(L53&lt;=5.4999,"S-SUBSIDIARY",IF(L53&lt;=6,"F-FAIL",""))))))))))</f>
        <v>E-SATISFACTORY</v>
      </c>
      <c r="N53" s="148"/>
    </row>
    <row r="55" spans="1:14" ht="22.05" customHeight="1" x14ac:dyDescent="0.3">
      <c r="A55" s="417" t="s">
        <v>382</v>
      </c>
      <c r="B55" s="415"/>
      <c r="C55" s="415"/>
      <c r="D55" s="415"/>
      <c r="E55" s="415"/>
      <c r="F55" s="415"/>
      <c r="G55" s="415"/>
      <c r="H55" s="415"/>
      <c r="I55" s="415"/>
      <c r="J55" s="415"/>
      <c r="K55" s="415"/>
      <c r="L55" s="415"/>
      <c r="M55" s="415"/>
      <c r="N55" s="415"/>
    </row>
    <row r="56" spans="1:14" x14ac:dyDescent="0.3">
      <c r="A56" s="416" t="s">
        <v>356</v>
      </c>
      <c r="B56" s="415"/>
      <c r="C56" s="415"/>
      <c r="D56" s="415"/>
      <c r="E56" s="415"/>
      <c r="F56" s="415"/>
      <c r="G56" s="415"/>
      <c r="H56" s="415"/>
      <c r="I56" s="415"/>
      <c r="J56" s="415"/>
      <c r="K56" s="415"/>
      <c r="L56" s="415"/>
      <c r="M56" s="415"/>
      <c r="N56" s="415"/>
    </row>
    <row r="57" spans="1:14" ht="18" customHeight="1" x14ac:dyDescent="0.3">
      <c r="A57" s="189" t="s">
        <v>357</v>
      </c>
      <c r="B57" s="190" t="s">
        <v>2</v>
      </c>
      <c r="C57" s="190" t="s">
        <v>3</v>
      </c>
      <c r="D57" s="190" t="s">
        <v>4</v>
      </c>
      <c r="E57" s="190" t="s">
        <v>5</v>
      </c>
      <c r="F57" s="190" t="s">
        <v>6</v>
      </c>
      <c r="G57" s="190" t="s">
        <v>7</v>
      </c>
      <c r="H57" s="190" t="s">
        <v>8</v>
      </c>
      <c r="I57" s="190" t="s">
        <v>344</v>
      </c>
      <c r="J57" s="190" t="s">
        <v>347</v>
      </c>
      <c r="K57" s="190" t="s">
        <v>348</v>
      </c>
      <c r="L57" s="190" t="s">
        <v>358</v>
      </c>
      <c r="M57" s="191" t="s">
        <v>0</v>
      </c>
      <c r="N57" s="135"/>
    </row>
    <row r="58" spans="1:14" ht="16.95" customHeight="1" thickBot="1" x14ac:dyDescent="0.35">
      <c r="A58" s="186" t="s">
        <v>360</v>
      </c>
      <c r="B58" s="128">
        <f>COUNTIFS(F6Results_2026[[Comb]:[Comb]],"HGK",F6Results_2026[[Gs]:[Gs]],"A")</f>
        <v>1</v>
      </c>
      <c r="C58" s="128">
        <f>COUNTIFS(F6Results_2026[[Comb]:[Comb]],"HGK",F6Results_2026[[Gs]:[Gs]],"B")</f>
        <v>0</v>
      </c>
      <c r="D58" s="128">
        <f>COUNTIFS(F6Results_2026[[Comb]:[Comb]],"HGK",F6Results_2026[[Gs]:[Gs]],"C")</f>
        <v>0</v>
      </c>
      <c r="E58" s="128">
        <f>COUNTIFS(F6Results_2026[[Comb]:[Comb]],"HGK",F6Results_2026[[Gs]:[Gs]],"D")</f>
        <v>10</v>
      </c>
      <c r="F58" s="128">
        <f>COUNTIFS(F6Results_2026[[Comb]:[Comb]],"HGK",F6Results_2026[[Gs]:[Gs]],"E")</f>
        <v>11</v>
      </c>
      <c r="G58" s="128">
        <f>COUNTIFS(F6Results_2026[[Comb]:[Comb]],"HGK",F6Results_2026[[Gs]:[Gs]],"S")</f>
        <v>4</v>
      </c>
      <c r="H58" s="128">
        <f>COUNTIFS(F6Results_2026[[Comb]:[Comb]],"HGK",F6Results_2026[[Gs]:[Gs]],"F")</f>
        <v>3</v>
      </c>
      <c r="I58" s="143">
        <f>SUM(B58:H58)</f>
        <v>29</v>
      </c>
      <c r="J58" s="223">
        <f>(((B58*5)+(C58*4)+(D58*3)+(E58*2)+(F58*1)+(G58*0.5)+(H58*0))/(I58*5))*100</f>
        <v>26.206896551724139</v>
      </c>
      <c r="K58" s="3" t="str">
        <f>IF(I58=0,"N/A",IF(J58&gt;=60,"✓ Within KPI","✗ Out of KPI"))</f>
        <v>✗ Out of KPI</v>
      </c>
      <c r="L58" s="144">
        <f t="array" ref="L58">IFERROR(((B58*1)+(C58*2)+(D58*3)+(E58*4)+(F58*5)+(G58:G58*6)+(H58*7))/(I58),"N/A")</f>
        <v>4.8620689655172411</v>
      </c>
      <c r="M58" s="188" t="str">
        <f>IF(OR(L58="N/A",ISNA(L58)),"N/A",IF(ISBLANK(L58),"",IF(L58="","",IF(L58&lt;=1.4999,"A-EXCELLENT",IF(L58&lt;=1.9999,"B-VERY GOOD",IF(L58&lt;=2.9999,"C-GOOD",IF(L58&lt;=3.9999,"D-AVERAGE",IF(L58&lt;=4.9999,"E-SATISFACTORY",IF(L58&lt;=5.4999,"S-SUBSIDIARY",IF(L58&lt;=6,"F-FAIL",""))))))))))</f>
        <v>E-SATISFACTORY</v>
      </c>
      <c r="N58" s="152"/>
    </row>
    <row r="59" spans="1:14" ht="16.95" customHeight="1" thickBot="1" x14ac:dyDescent="0.35">
      <c r="A59" s="187" t="s">
        <v>383</v>
      </c>
      <c r="B59" s="128">
        <f>COUNTIFS(F6Results_2026[[Comb]:[Comb]],"HGK",F6Results_2026[[Hist]:[Hist]],"A")</f>
        <v>1</v>
      </c>
      <c r="C59" s="128">
        <f>COUNTIFS(F6Results_2026[[Comb]:[Comb]],"HGK",F6Results_2026[[Hist]:[Hist]],"B")</f>
        <v>1</v>
      </c>
      <c r="D59" s="128">
        <f>COUNTIFS(F6Results_2026[[Comb]:[Comb]],"HGK",F6Results_2026[[Hist]:[Hist]],"C")</f>
        <v>14</v>
      </c>
      <c r="E59" s="128">
        <f>COUNTIFS(F6Results_2026[[Comb]:[Comb]],"HGK",F6Results_2026[[Hist]:[Hist]],"D")</f>
        <v>12</v>
      </c>
      <c r="F59" s="128">
        <f>COUNTIFS(F6Results_2026[[Comb]:[Comb]],"HGK",F6Results_2026[[Hist]:[Hist]],"E")</f>
        <v>1</v>
      </c>
      <c r="G59" s="128">
        <f>COUNTIFS(F6Results_2026[[Comb]:[Comb]],"HGK",F6Results_2026[[Hist]:[Hist]],"S")</f>
        <v>0</v>
      </c>
      <c r="H59" s="128">
        <f>COUNTIFS(F6Results_2026[[Comb]:[Comb]],"HGK",F6Results_2026[[Hist]:[Hist]],"F")</f>
        <v>0</v>
      </c>
      <c r="I59" s="143">
        <f>SUM(B59:H59)</f>
        <v>29</v>
      </c>
      <c r="J59" s="223">
        <f>(((B59*5)+(C59*4)+(D59*3)+(E59*2)+(F59*1)+(G59*0.5)+(H59*0))/(I59*5))*100</f>
        <v>52.413793103448278</v>
      </c>
      <c r="K59" s="3" t="str">
        <f>IF(I59=0,"N/A",IF(J59&gt;=60,"✓ Within KPI","✗ Out of KPI"))</f>
        <v>✗ Out of KPI</v>
      </c>
      <c r="L59" s="144">
        <f t="array" ref="L59">IFERROR(((B59*1)+(C59*2)+(D59*3)+(E59*4)+(F59*5)+(G59:G59*6)+(H59*7))/(I59),"N/A")</f>
        <v>3.3793103448275863</v>
      </c>
      <c r="M59" s="188" t="str">
        <f>IF(OR(L59="N/A",ISNA(L59)),"N/A",IF(ISBLANK(L59),"",IF(L59="","",IF(L59&lt;=1.4999,"A-EXCELLENT",IF(L59&lt;=1.9999,"B-VERY GOOD",IF(L59&lt;=2.9999,"C-GOOD",IF(L59&lt;=3.9999,"D-AVERAGE",IF(L59&lt;=4.9999,"E-SATISFACTORY",IF(L59&lt;=5.4999,"S-SUBSIDIARY",IF(L59&lt;=6,"F-FAIL",""))))))))))</f>
        <v>D-AVERAGE</v>
      </c>
      <c r="N59" s="153"/>
    </row>
    <row r="60" spans="1:14" ht="16.95" customHeight="1" thickBot="1" x14ac:dyDescent="0.35">
      <c r="A60" s="186" t="s">
        <v>380</v>
      </c>
      <c r="B60" s="128">
        <f>COUNTIFS(F6Results_2026[[Comb]:[Comb]],"HGK",F6Results_2026[[Geo]:[Geo]],"A")</f>
        <v>1</v>
      </c>
      <c r="C60" s="128">
        <f>COUNTIFS(F6Results_2026[[Comb]:[Comb]],"HGK",F6Results_2026[[Geo]:[Geo]],"B")</f>
        <v>5</v>
      </c>
      <c r="D60" s="128">
        <f>COUNTIFS(F6Results_2026[[Comb]:[Comb]],"HGK",F6Results_2026[[Geo]:[Geo]],"C")</f>
        <v>18</v>
      </c>
      <c r="E60" s="128">
        <f>COUNTIFS(F6Results_2026[[Comb]:[Comb]],"HGK",F6Results_2026[[Geo]:[Geo]],"D")</f>
        <v>5</v>
      </c>
      <c r="F60" s="128">
        <f>COUNTIFS(F6Results_2026[[Comb]:[Comb]],"HGK",F6Results_2026[[Geo]:[Geo]],"E")</f>
        <v>0</v>
      </c>
      <c r="G60" s="128">
        <f>COUNTIFS(F6Results_2026[[Comb]:[Comb]],"HGK",F6Results_2026[[Geo]:[Geo]],"S")</f>
        <v>0</v>
      </c>
      <c r="H60" s="128">
        <f>COUNTIFS(F6Results_2026[[Comb]:[Comb]],"HGK",F6Results_2026[[Geo]:[Geo]],"F")</f>
        <v>0</v>
      </c>
      <c r="I60" s="143">
        <f>SUM(B60:H60)</f>
        <v>29</v>
      </c>
      <c r="J60" s="223">
        <f>(((B60*5)+(C60*4)+(D60*3)+(E60*2)+(F60*1)+(G60*0.5)+(H60*0))/(I60*5))*100</f>
        <v>61.379310344827587</v>
      </c>
      <c r="K60" s="3" t="str">
        <f>IF(I60=0,"N/A",IF(J60&gt;=60,"✓ Within KPI","✗ Out of KPI"))</f>
        <v>✓ Within KPI</v>
      </c>
      <c r="L60" s="144">
        <f t="array" ref="L60">IFERROR(((B60*1)+(C60*2)+(D60*3)+(E60*4)+(F60*5)+(G60:G60*6)+(H60*7))/(I60),"N/A")</f>
        <v>2.9310344827586206</v>
      </c>
      <c r="M60" s="188" t="str">
        <f>IF(OR(L60="N/A",ISNA(L60)),"N/A",IF(ISBLANK(L60),"",IF(L60="","",IF(L60&lt;=1.4999,"A-EXCELLENT",IF(L60&lt;=1.9999,"B-VERY GOOD",IF(L60&lt;=2.9999,"C-GOOD",IF(L60&lt;=3.9999,"D-AVERAGE",IF(L60&lt;=4.9999,"E-SATISFACTORY",IF(L60&lt;=5.4999,"S-SUBSIDIARY",IF(L60&lt;=6,"F-FAIL",""))))))))))</f>
        <v>C-GOOD</v>
      </c>
      <c r="N60" s="152"/>
    </row>
    <row r="61" spans="1:14" ht="16.95" customHeight="1" thickBot="1" x14ac:dyDescent="0.35">
      <c r="A61" s="205" t="s">
        <v>384</v>
      </c>
      <c r="B61" s="193">
        <f>COUNTIFS(F6Results_2026[[Comb]:[Comb]],"HGK",F6Results_2026[[Kisw]:[Kisw]],"A")</f>
        <v>28</v>
      </c>
      <c r="C61" s="193">
        <f>COUNTIFS(F6Results_2026[[Comb]:[Comb]],"HGK",F6Results_2026[[Kisw]:[Kisw]],"B")</f>
        <v>0</v>
      </c>
      <c r="D61" s="193">
        <f>COUNTIFS(F6Results_2026[[Comb]:[Comb]],"HGK",F6Results_2026[[Kisw]:[Kisw]],"C")</f>
        <v>0</v>
      </c>
      <c r="E61" s="193">
        <f>COUNTIFS(F6Results_2026[[Comb]:[Comb]],"HGK",F6Results_2026[[Kisw]:[Kisw]],"D")</f>
        <v>0</v>
      </c>
      <c r="F61" s="193">
        <f>COUNTIFS(F6Results_2026[[Comb]:[Comb]],"HGK",F6Results_2026[[Kisw]:[Kisw]],"E")</f>
        <v>0</v>
      </c>
      <c r="G61" s="193">
        <f>COUNTIFS(F6Results_2026[[Comb]:[Comb]],"HGK",F6Results_2026[[Kisw]:[Kisw]],"S")</f>
        <v>0</v>
      </c>
      <c r="H61" s="193">
        <f>COUNTIFS(F6Results_2026[[Comb]:[Comb]],"HGK",F6Results_2026[[Kisw]:[Kisw]],"F")</f>
        <v>0</v>
      </c>
      <c r="I61" s="194">
        <f>SUM(B61:H61)</f>
        <v>28</v>
      </c>
      <c r="J61" s="223">
        <f>(((B61*5)+(C61*4)+(D61*3)+(E61*2)+(F61*1)+(G61*0.5)+(H61*0))/(I61*5))*100</f>
        <v>100</v>
      </c>
      <c r="K61" s="195" t="str">
        <f>IF(I61=0,"N/A",IF(J61&gt;=60,"✓ Within KPI","✗ Out of KPI"))</f>
        <v>✓ Within KPI</v>
      </c>
      <c r="L61" s="196">
        <f t="array" ref="L61">IFERROR(((B61*1)+(C61*2)+(D61*3)+(E61*4)+(F61*5)+(G61:G61*6)+(H61*7))/(I61),"N/A")</f>
        <v>1</v>
      </c>
      <c r="M61" s="197" t="str">
        <f>IF(OR(L61="N/A",ISNA(L61)),"N/A",IF(ISBLANK(L61),"",IF(L61="","",IF(L61&lt;=1.4999,"A-EXCELLENT",IF(L61&lt;=1.9999,"B-VERY GOOD",IF(L61&lt;=2.9999,"C-GOOD",IF(L61&lt;=3.9999,"D-AVERAGE",IF(L61&lt;=4.9999,"E-SATISFACTORY",IF(L61&lt;=5.4999,"S-SUBSIDIARY",IF(L61&lt;=6,"F-FAIL",""))))))))))</f>
        <v>A-EXCELLENT</v>
      </c>
      <c r="N61" s="153"/>
    </row>
    <row r="63" spans="1:14" x14ac:dyDescent="0.3">
      <c r="A63" s="414" t="s">
        <v>365</v>
      </c>
      <c r="B63" s="415"/>
      <c r="C63" s="415"/>
      <c r="D63" s="415"/>
      <c r="E63" s="415"/>
      <c r="F63" s="415"/>
      <c r="G63" s="415"/>
      <c r="H63" s="415"/>
      <c r="I63" s="415"/>
      <c r="J63" s="415"/>
      <c r="K63" s="415"/>
      <c r="L63" s="415"/>
      <c r="M63" s="415"/>
      <c r="N63" s="415"/>
    </row>
    <row r="64" spans="1:14" ht="18" customHeight="1" x14ac:dyDescent="0.3">
      <c r="A64" s="189" t="s">
        <v>357</v>
      </c>
      <c r="B64" s="190" t="s">
        <v>366</v>
      </c>
      <c r="C64" s="190" t="s">
        <v>367</v>
      </c>
      <c r="D64" s="190" t="s">
        <v>368</v>
      </c>
      <c r="E64" s="190" t="s">
        <v>369</v>
      </c>
      <c r="F64" s="190" t="s">
        <v>370</v>
      </c>
      <c r="G64" s="190" t="s">
        <v>371</v>
      </c>
      <c r="H64" s="190" t="s">
        <v>372</v>
      </c>
      <c r="I64" s="190" t="s">
        <v>373</v>
      </c>
      <c r="J64" s="190" t="s">
        <v>347</v>
      </c>
      <c r="K64" s="190" t="s">
        <v>348</v>
      </c>
      <c r="L64" s="190" t="s">
        <v>358</v>
      </c>
      <c r="M64" s="191" t="s">
        <v>0</v>
      </c>
      <c r="N64" s="135"/>
    </row>
    <row r="65" spans="1:14" ht="16.95" customHeight="1" x14ac:dyDescent="0.3">
      <c r="A65" s="186" t="s">
        <v>360</v>
      </c>
      <c r="B65" s="151">
        <f>B58/I58</f>
        <v>3.4482758620689655E-2</v>
      </c>
      <c r="C65" s="151">
        <f>C58/I58</f>
        <v>0</v>
      </c>
      <c r="D65" s="151">
        <f>D58/I58</f>
        <v>0</v>
      </c>
      <c r="E65" s="151">
        <f>E58/I58</f>
        <v>0.34482758620689657</v>
      </c>
      <c r="F65" s="151">
        <f>F58/I58</f>
        <v>0.37931034482758619</v>
      </c>
      <c r="G65" s="151">
        <f>G58/I58</f>
        <v>0.13793103448275862</v>
      </c>
      <c r="H65" s="151">
        <f>H58/I58</f>
        <v>0.10344827586206896</v>
      </c>
      <c r="I65" s="143">
        <f t="shared" ref="I65:J68" si="15">I58</f>
        <v>29</v>
      </c>
      <c r="J65" s="224">
        <f t="shared" si="15"/>
        <v>26.206896551724139</v>
      </c>
      <c r="K65" s="3" t="str">
        <f>IF(I65=0,"N/A",IF(J65&gt;=60,"✓ Within KPI","✗ Out of KPI"))</f>
        <v>✗ Out of KPI</v>
      </c>
      <c r="L65" s="144">
        <f>L58</f>
        <v>4.8620689655172411</v>
      </c>
      <c r="M65" s="188" t="str">
        <f>IF(OR(L65="N/A",ISNA(L65)),"N/A",IF(ISBLANK(L65),"",IF(L65="","",IF(L65&lt;=1.4999,"A-EXCELLENT",IF(L65&lt;=1.9999,"B-VERY GOOD",IF(L65&lt;=2.9999,"C-GOOD",IF(L65&lt;=3.9999,"D-AVERAGE",IF(L65&lt;=4.9999,"E-SATISFACTORY",IF(L65&lt;=5.4999,"S-SUBSIDIARY",IF(L65&lt;=6,"F-FAIL",""))))))))))</f>
        <v>E-SATISFACTORY</v>
      </c>
      <c r="N65" s="152"/>
    </row>
    <row r="66" spans="1:14" ht="16.95" customHeight="1" x14ac:dyDescent="0.3">
      <c r="A66" s="187" t="s">
        <v>383</v>
      </c>
      <c r="B66" s="151">
        <f>B59/I59</f>
        <v>3.4482758620689655E-2</v>
      </c>
      <c r="C66" s="151">
        <f>C59/I59</f>
        <v>3.4482758620689655E-2</v>
      </c>
      <c r="D66" s="151">
        <f>D59/I59</f>
        <v>0.48275862068965519</v>
      </c>
      <c r="E66" s="151">
        <f>E59/I59</f>
        <v>0.41379310344827586</v>
      </c>
      <c r="F66" s="151">
        <f>F59/I59</f>
        <v>3.4482758620689655E-2</v>
      </c>
      <c r="G66" s="151">
        <f>G59/I59</f>
        <v>0</v>
      </c>
      <c r="H66" s="151">
        <f>H59/I59</f>
        <v>0</v>
      </c>
      <c r="I66" s="143">
        <f t="shared" si="15"/>
        <v>29</v>
      </c>
      <c r="J66" s="224">
        <f t="shared" si="15"/>
        <v>52.413793103448278</v>
      </c>
      <c r="K66" s="3" t="str">
        <f>IF(I66=0,"N/A",IF(J66&gt;=60,"✓ Within KPI","✗ Out of KPI"))</f>
        <v>✗ Out of KPI</v>
      </c>
      <c r="L66" s="144">
        <f>L59</f>
        <v>3.3793103448275863</v>
      </c>
      <c r="M66" s="188" t="str">
        <f>IF(OR(L66="N/A",ISNA(L66)),"N/A",IF(ISBLANK(L66),"",IF(L66="","",IF(L66&lt;=1.4999,"A-EXCELLENT",IF(L66&lt;=1.9999,"B-VERY GOOD",IF(L66&lt;=2.9999,"C-GOOD",IF(L66&lt;=3.9999,"D-AVERAGE",IF(L66&lt;=4.9999,"E-SATISFACTORY",IF(L66&lt;=5.4999,"S-SUBSIDIARY",IF(L66&lt;=6,"F-FAIL",""))))))))))</f>
        <v>D-AVERAGE</v>
      </c>
      <c r="N66" s="153"/>
    </row>
    <row r="67" spans="1:14" ht="16.95" customHeight="1" x14ac:dyDescent="0.3">
      <c r="A67" s="186" t="s">
        <v>380</v>
      </c>
      <c r="B67" s="151">
        <f>B60/I60</f>
        <v>3.4482758620689655E-2</v>
      </c>
      <c r="C67" s="151">
        <f>C60/I60</f>
        <v>0.17241379310344829</v>
      </c>
      <c r="D67" s="151">
        <f>D60/I60</f>
        <v>0.62068965517241381</v>
      </c>
      <c r="E67" s="151">
        <f>E60/I60</f>
        <v>0.17241379310344829</v>
      </c>
      <c r="F67" s="151">
        <f>F60/I60</f>
        <v>0</v>
      </c>
      <c r="G67" s="151">
        <f>G60/I60</f>
        <v>0</v>
      </c>
      <c r="H67" s="151">
        <f>H60/I60</f>
        <v>0</v>
      </c>
      <c r="I67" s="143">
        <f t="shared" si="15"/>
        <v>29</v>
      </c>
      <c r="J67" s="224">
        <f t="shared" si="15"/>
        <v>61.379310344827587</v>
      </c>
      <c r="K67" s="3" t="str">
        <f>IF(I67=0,"N/A",IF(J67&gt;=60,"✓ Within KPI","✗ Out of KPI"))</f>
        <v>✓ Within KPI</v>
      </c>
      <c r="L67" s="144">
        <f>L60</f>
        <v>2.9310344827586206</v>
      </c>
      <c r="M67" s="188" t="str">
        <f>IF(OR(L67="N/A",ISNA(L67)),"N/A",IF(ISBLANK(L67),"",IF(L67="","",IF(L67&lt;=1.4999,"A-EXCELLENT",IF(L67&lt;=1.9999,"B-VERY GOOD",IF(L67&lt;=2.9999,"C-GOOD",IF(L67&lt;=3.9999,"D-AVERAGE",IF(L67&lt;=4.9999,"E-SATISFACTORY",IF(L67&lt;=5.4999,"S-SUBSIDIARY",IF(L67&lt;=6,"F-FAIL",""))))))))))</f>
        <v>C-GOOD</v>
      </c>
      <c r="N67" s="152"/>
    </row>
    <row r="68" spans="1:14" ht="16.95" customHeight="1" x14ac:dyDescent="0.3">
      <c r="A68" s="187" t="s">
        <v>384</v>
      </c>
      <c r="B68" s="151">
        <f>B61/I61</f>
        <v>1</v>
      </c>
      <c r="C68" s="151">
        <f>C61/I61</f>
        <v>0</v>
      </c>
      <c r="D68" s="151">
        <f>D61/I61</f>
        <v>0</v>
      </c>
      <c r="E68" s="151">
        <f>E61/I61</f>
        <v>0</v>
      </c>
      <c r="F68" s="151">
        <f>F61/I61</f>
        <v>0</v>
      </c>
      <c r="G68" s="151">
        <f>G61/I61</f>
        <v>0</v>
      </c>
      <c r="H68" s="151">
        <f>H61/I61</f>
        <v>0</v>
      </c>
      <c r="I68" s="143">
        <f t="shared" si="15"/>
        <v>28</v>
      </c>
      <c r="J68" s="224">
        <f t="shared" si="15"/>
        <v>100</v>
      </c>
      <c r="K68" s="3" t="str">
        <f>IF(I68=0,"N/A",IF(J68&gt;=60,"✓ Within KPI","✗ Out of KPI"))</f>
        <v>✓ Within KPI</v>
      </c>
      <c r="L68" s="144">
        <f>L61</f>
        <v>1</v>
      </c>
      <c r="M68" s="188" t="str">
        <f>IF(OR(L68="N/A",ISNA(L68)),"N/A",IF(ISBLANK(L68),"",IF(L68="","",IF(L68&lt;=1.4999,"A-EXCELLENT",IF(L68&lt;=1.9999,"B-VERY GOOD",IF(L68&lt;=2.9999,"C-GOOD",IF(L68&lt;=3.9999,"D-AVERAGE",IF(L68&lt;=4.9999,"E-SATISFACTORY",IF(L68&lt;=5.4999,"S-SUBSIDIARY",IF(L68&lt;=6,"F-FAIL",""))))))))))</f>
        <v>A-EXCELLENT</v>
      </c>
      <c r="N68" s="153"/>
    </row>
    <row r="69" spans="1:14" ht="16.95" customHeight="1" x14ac:dyDescent="0.3">
      <c r="A69" s="198" t="s">
        <v>781</v>
      </c>
      <c r="B69" s="199">
        <f t="shared" ref="B69:J69" si="16">AVERAGE(B65:B68)</f>
        <v>0.27586206896551724</v>
      </c>
      <c r="C69" s="199">
        <f t="shared" si="16"/>
        <v>5.1724137931034489E-2</v>
      </c>
      <c r="D69" s="199">
        <f t="shared" si="16"/>
        <v>0.27586206896551724</v>
      </c>
      <c r="E69" s="199">
        <f t="shared" si="16"/>
        <v>0.23275862068965517</v>
      </c>
      <c r="F69" s="199">
        <f t="shared" si="16"/>
        <v>0.10344827586206896</v>
      </c>
      <c r="G69" s="199">
        <f t="shared" si="16"/>
        <v>3.4482758620689655E-2</v>
      </c>
      <c r="H69" s="199">
        <f t="shared" si="16"/>
        <v>2.5862068965517241E-2</v>
      </c>
      <c r="I69" s="194">
        <f t="shared" si="16"/>
        <v>28.75</v>
      </c>
      <c r="J69" s="200">
        <f t="shared" si="16"/>
        <v>60</v>
      </c>
      <c r="K69" s="195" t="str">
        <f>IF(I69=0,"N/A",IF(J69&gt;=60,"✓ Within KPI","✗ Out of KPI"))</f>
        <v>✓ Within KPI</v>
      </c>
      <c r="L69" s="200">
        <f>AVERAGE(L65:L68)</f>
        <v>3.0431034482758621</v>
      </c>
      <c r="M69" s="197" t="str">
        <f>IF(OR(L69="N/A",ISNA(L69)),"N/A",IF(ISBLANK(L69),"",IF(L69="","",IF(L69&lt;=1.4999,"A-EXCELLENT",IF(L69&lt;=1.9999,"B-VERY GOOD",IF(L69&lt;=2.9999,"C-GOOD",IF(L69&lt;=3.9999,"D-AVERAGE",IF(L69&lt;=4.9999,"E-SATISFACTORY",IF(L69&lt;=5.4999,"S-SUBSIDIARY",IF(L69&lt;=6,"F-FAIL",""))))))))))</f>
        <v>D-AVERAGE</v>
      </c>
      <c r="N69" s="148"/>
    </row>
    <row r="71" spans="1:14" ht="22.05" customHeight="1" x14ac:dyDescent="0.3">
      <c r="A71" s="417" t="s">
        <v>385</v>
      </c>
      <c r="B71" s="415"/>
      <c r="C71" s="415"/>
      <c r="D71" s="415"/>
      <c r="E71" s="415"/>
      <c r="F71" s="415"/>
      <c r="G71" s="415"/>
      <c r="H71" s="415"/>
      <c r="I71" s="415"/>
      <c r="J71" s="415"/>
      <c r="K71" s="415"/>
      <c r="L71" s="415"/>
      <c r="M71" s="415"/>
      <c r="N71" s="415"/>
    </row>
    <row r="72" spans="1:14" x14ac:dyDescent="0.3">
      <c r="A72" s="416" t="s">
        <v>356</v>
      </c>
      <c r="B72" s="415"/>
      <c r="C72" s="415"/>
      <c r="D72" s="415"/>
      <c r="E72" s="415"/>
      <c r="F72" s="415"/>
      <c r="G72" s="415"/>
      <c r="H72" s="415"/>
      <c r="I72" s="415"/>
      <c r="J72" s="415"/>
      <c r="K72" s="415"/>
      <c r="L72" s="415"/>
      <c r="M72" s="415"/>
      <c r="N72" s="415"/>
    </row>
    <row r="73" spans="1:14" ht="18" customHeight="1" x14ac:dyDescent="0.3">
      <c r="A73" s="203" t="s">
        <v>357</v>
      </c>
      <c r="B73" s="204" t="s">
        <v>2</v>
      </c>
      <c r="C73" s="204" t="s">
        <v>3</v>
      </c>
      <c r="D73" s="204" t="s">
        <v>4</v>
      </c>
      <c r="E73" s="204" t="s">
        <v>5</v>
      </c>
      <c r="F73" s="204" t="s">
        <v>6</v>
      </c>
      <c r="G73" s="204" t="s">
        <v>7</v>
      </c>
      <c r="H73" s="204" t="s">
        <v>8</v>
      </c>
      <c r="I73" s="204" t="s">
        <v>344</v>
      </c>
      <c r="J73" s="204" t="s">
        <v>347</v>
      </c>
      <c r="K73" s="204" t="s">
        <v>348</v>
      </c>
      <c r="L73" s="204" t="s">
        <v>358</v>
      </c>
      <c r="M73" s="204" t="s">
        <v>0</v>
      </c>
      <c r="N73" s="135"/>
    </row>
    <row r="74" spans="1:14" ht="16.95" customHeight="1" thickBot="1" x14ac:dyDescent="0.35">
      <c r="A74" s="201" t="s">
        <v>360</v>
      </c>
      <c r="B74" s="137">
        <f>COUNTIFS(F6Results_2026[[Comb]:[Comb]],"HGL",F6Results_2026[[Gs]:[Gs]],"A")</f>
        <v>0</v>
      </c>
      <c r="C74" s="137">
        <f>COUNTIFS(F6Results_2026[[Comb]:[Comb]],"HGL",F6Results_2026[[Gs]:[Gs]],"B")</f>
        <v>0</v>
      </c>
      <c r="D74" s="137">
        <f>COUNTIFS(F6Results_2026[[Comb]:[Comb]],"HGL",F6Results_2026[[Gs]:[Gs]],"C")</f>
        <v>0</v>
      </c>
      <c r="E74" s="137">
        <f>COUNTIFS(F6Results_2026[[Comb]:[Comb]],"HGL",F6Results_2026[[Gs]:[Gs]],"D")</f>
        <v>4</v>
      </c>
      <c r="F74" s="137">
        <f>COUNTIFS(F6Results_2026[[Comb]:[Comb]],"HGL",F6Results_2026[[Gs]:[Gs]],"E")</f>
        <v>11</v>
      </c>
      <c r="G74" s="137">
        <f>COUNTIFS(F6Results_2026[[Comb]:[Comb]],"HGL",F6Results_2026[[Gs]:[Gs]],"S")</f>
        <v>1</v>
      </c>
      <c r="H74" s="137">
        <f>COUNTIFS(F6Results_2026[[Comb]:[Comb]],"HGL",F6Results_2026[[Gs]:[Gs]],"F")</f>
        <v>7</v>
      </c>
      <c r="I74" s="138">
        <f>SUM(B74:H74)</f>
        <v>23</v>
      </c>
      <c r="J74" s="223">
        <f>(((B74*5)+(C74*4)+(D74*3)+(E74*2)+(F74*1)+(G74*0.5)+(H74*0))/(I74*5))*100</f>
        <v>16.956521739130434</v>
      </c>
      <c r="K74" s="26" t="str">
        <f>IF(I74=0,"N/A",IF(J74&gt;=60,"✓ Within KPI","✗ Out of KPI"))</f>
        <v>✗ Out of KPI</v>
      </c>
      <c r="L74" s="139">
        <f t="array" ref="L74">IFERROR(((B74*1)+(C74*2)+(D74*3)+(E74*4)+(F74*5)+(G74:G74*6)+(H74*7))/(I74),"N/A")</f>
        <v>5.4782608695652177</v>
      </c>
      <c r="M74" s="140" t="str">
        <f>IF(OR(L74="N/A",ISNA(L74)),"N/A",IF(ISBLANK(L74),"",IF(L74="","",IF(L74&lt;=1.4999,"A-EXCELLENT",IF(L74&lt;=1.9999,"B-VERY GOOD",IF(L74&lt;=2.9999,"C-GOOD",IF(L74&lt;=3.9999,"D-AVERAGE",IF(L74&lt;=4.9999,"E-SATISFACTORY",IF(L74&lt;=5.4999,"S-SUBSIDIARY",IF(L74&lt;=6,"F-FAIL",""))))))))))</f>
        <v>S-SUBSIDIARY</v>
      </c>
      <c r="N74" s="152"/>
    </row>
    <row r="75" spans="1:14" ht="16.95" customHeight="1" thickBot="1" x14ac:dyDescent="0.35">
      <c r="A75" s="202" t="s">
        <v>383</v>
      </c>
      <c r="B75" s="137">
        <f>COUNTIFS(F6Results_2026[[Comb]:[Comb]],"HGL",F6Results_2026[[Hist]:[Hist]],"A")</f>
        <v>0</v>
      </c>
      <c r="C75" s="137">
        <f>COUNTIFS(F6Results_2026[[Comb]:[Comb]],"HGL",F6Results_2026[[Hist]:[Hist]],"B")</f>
        <v>0</v>
      </c>
      <c r="D75" s="137">
        <f>COUNTIFS(F6Results_2026[[Comb]:[Comb]],"HGL",F6Results_2026[[Hist]:[Hist]],"C")</f>
        <v>7</v>
      </c>
      <c r="E75" s="137">
        <f>COUNTIFS(F6Results_2026[[Comb]:[Comb]],"HGL",F6Results_2026[[Hist]:[Hist]],"D")</f>
        <v>15</v>
      </c>
      <c r="F75" s="137">
        <f>COUNTIFS(F6Results_2026[[Comb]:[Comb]],"HGL",F6Results_2026[[Hist]:[Hist]],"E")</f>
        <v>1</v>
      </c>
      <c r="G75" s="137">
        <f>COUNTIFS(F6Results_2026[[Comb]:[Comb]],"HGL",F6Results_2026[[Hist]:[Hist]],"S")</f>
        <v>0</v>
      </c>
      <c r="H75" s="137">
        <f>COUNTIFS(F6Results_2026[[Comb]:[Comb]],"HGL",F6Results_2026[[Hist]:[Hist]],"F")</f>
        <v>0</v>
      </c>
      <c r="I75" s="138">
        <f>SUM(B75:H75)</f>
        <v>23</v>
      </c>
      <c r="J75" s="223">
        <f>(((B75*5)+(C75*4)+(D75*3)+(E75*2)+(F75*1)+(G75*0.5)+(H75*0))/(I75*5))*100</f>
        <v>45.217391304347828</v>
      </c>
      <c r="K75" s="26" t="str">
        <f>IF(I75=0,"N/A",IF(J75&gt;=60,"✓ Within KPI","✗ Out of KPI"))</f>
        <v>✗ Out of KPI</v>
      </c>
      <c r="L75" s="139">
        <f t="array" ref="L75">IFERROR(((B75*1)+(C75*2)+(D75*3)+(E75*4)+(F75*5)+(G75:G75*6)+(H75*7))/(I75),"N/A")</f>
        <v>3.7391304347826089</v>
      </c>
      <c r="M75" s="140" t="str">
        <f>IF(OR(L75="N/A",ISNA(L75)),"N/A",IF(ISBLANK(L75),"",IF(L75="","",IF(L75&lt;=1.4999,"A-EXCELLENT",IF(L75&lt;=1.9999,"B-VERY GOOD",IF(L75&lt;=2.9999,"C-GOOD",IF(L75&lt;=3.9999,"D-AVERAGE",IF(L75&lt;=4.9999,"E-SATISFACTORY",IF(L75&lt;=5.4999,"S-SUBSIDIARY",IF(L75&lt;=6,"F-FAIL",""))))))))))</f>
        <v>D-AVERAGE</v>
      </c>
      <c r="N75" s="153"/>
    </row>
    <row r="76" spans="1:14" ht="16.95" customHeight="1" thickBot="1" x14ac:dyDescent="0.35">
      <c r="A76" s="201" t="s">
        <v>380</v>
      </c>
      <c r="B76" s="137">
        <f>COUNTIFS(F6Results_2026[[Comb]:[Comb]],"HGL",F6Results_2026[[Geo]:[Geo]],"A")</f>
        <v>0</v>
      </c>
      <c r="C76" s="137">
        <f>COUNTIFS(F6Results_2026[[Comb]:[Comb]],"HGL",F6Results_2026[[Geo]:[Geo]],"B")</f>
        <v>0</v>
      </c>
      <c r="D76" s="137">
        <f>COUNTIFS(F6Results_2026[[Comb]:[Comb]],"HGL",F6Results_2026[[Geo]:[Geo]],"C")</f>
        <v>10</v>
      </c>
      <c r="E76" s="137">
        <f>COUNTIFS(F6Results_2026[[Comb]:[Comb]],"HGL",F6Results_2026[[Geo]:[Geo]],"D")</f>
        <v>10</v>
      </c>
      <c r="F76" s="137">
        <f>COUNTIFS(F6Results_2026[[Comb]:[Comb]],"HGL",F6Results_2026[[Geo]:[Geo]],"E")</f>
        <v>3</v>
      </c>
      <c r="G76" s="137">
        <f>COUNTIFS(F6Results_2026[[Comb]:[Comb]],"HGL",F6Results_2026[[Geo]:[Geo]],"S")</f>
        <v>0</v>
      </c>
      <c r="H76" s="137">
        <f>COUNTIFS(F6Results_2026[[Comb]:[Comb]],"HGL",F6Results_2026[[Geo]:[Geo]],"F")</f>
        <v>0</v>
      </c>
      <c r="I76" s="138">
        <f>SUM(B76:H76)</f>
        <v>23</v>
      </c>
      <c r="J76" s="223">
        <f>(((B76*5)+(C76*4)+(D76*3)+(E76*2)+(F76*1)+(G76*0.5)+(H76*0))/(I76*5))*100</f>
        <v>46.086956521739133</v>
      </c>
      <c r="K76" s="26" t="str">
        <f>IF(I76=0,"N/A",IF(J76&gt;=60,"✓ Within KPI","✗ Out of KPI"))</f>
        <v>✗ Out of KPI</v>
      </c>
      <c r="L76" s="139">
        <f t="array" ref="L76">IFERROR(((B76*1)+(C76*2)+(D76*3)+(E76*4)+(F76*5)+(G76:G76*6)+(H76*7))/(I76),"N/A")</f>
        <v>3.6956521739130435</v>
      </c>
      <c r="M76" s="140" t="str">
        <f>IF(OR(L76="N/A",ISNA(L76)),"N/A",IF(ISBLANK(L76),"",IF(L76="","",IF(L76&lt;=1.4999,"A-EXCELLENT",IF(L76&lt;=1.9999,"B-VERY GOOD",IF(L76&lt;=2.9999,"C-GOOD",IF(L76&lt;=3.9999,"D-AVERAGE",IF(L76&lt;=4.9999,"E-SATISFACTORY",IF(L76&lt;=5.4999,"S-SUBSIDIARY",IF(L76&lt;=6,"F-FAIL",""))))))))))</f>
        <v>D-AVERAGE</v>
      </c>
      <c r="N76" s="152"/>
    </row>
    <row r="77" spans="1:14" ht="16.95" customHeight="1" thickBot="1" x14ac:dyDescent="0.35">
      <c r="A77" s="202" t="s">
        <v>386</v>
      </c>
      <c r="B77" s="137">
        <f>COUNTIFS(F6Results_2026[[Comb]:[Comb]],"HGL",F6Results_2026[[Engl]:[Engl]],"A")</f>
        <v>0</v>
      </c>
      <c r="C77" s="137">
        <f>COUNTIFS(F6Results_2026[[Comb]:[Comb]],"HGL",F6Results_2026[[Engl]:[Engl]],"B")</f>
        <v>4</v>
      </c>
      <c r="D77" s="137">
        <f>COUNTIFS(F6Results_2026[[Comb]:[Comb]],"HGL",F6Results_2026[[Engl]:[Engl]],"C")</f>
        <v>7</v>
      </c>
      <c r="E77" s="137">
        <f>COUNTIFS(F6Results_2026[[Comb]:[Comb]],"HGL",F6Results_2026[[Engl]:[Engl]],"D")</f>
        <v>12</v>
      </c>
      <c r="F77" s="137">
        <f>COUNTIFS(F6Results_2026[[Comb]:[Comb]],"HGL",F6Results_2026[[Engl]:[Engl]],"E")</f>
        <v>0</v>
      </c>
      <c r="G77" s="137">
        <f>COUNTIFS(F6Results_2026[[Comb]:[Comb]],"HGL",F6Results_2026[[Engl]:[Engl]],"S")</f>
        <v>0</v>
      </c>
      <c r="H77" s="137">
        <f>COUNTIFS(F6Results_2026[[Comb]:[Comb]],"HGL",F6Results_2026[[Engl]:[Engl]],"F")</f>
        <v>0</v>
      </c>
      <c r="I77" s="138">
        <f>SUM(B77:H77)</f>
        <v>23</v>
      </c>
      <c r="J77" s="223">
        <f>(((B77*5)+(C77*4)+(D77*3)+(E77*2)+(F77*1)+(G77*0.5)+(H77*0))/(I77*5))*100</f>
        <v>53.04347826086957</v>
      </c>
      <c r="K77" s="26" t="str">
        <f>IF(I77=0,"N/A",IF(J77&gt;=60,"✓ Within KPI","✗ Out of KPI"))</f>
        <v>✗ Out of KPI</v>
      </c>
      <c r="L77" s="139">
        <f t="array" ref="L77">IFERROR(((B77*1)+(C77*2)+(D77*3)+(E77*4)+(F77*5)+(G77:G77*6)+(H77*7))/(I77),"N/A")</f>
        <v>3.347826086956522</v>
      </c>
      <c r="M77" s="140" t="str">
        <f>IF(OR(L77="N/A",ISNA(L77)),"N/A",IF(ISBLANK(L77),"",IF(L77="","",IF(L77&lt;=1.4999,"A-EXCELLENT",IF(L77&lt;=1.9999,"B-VERY GOOD",IF(L77&lt;=2.9999,"C-GOOD",IF(L77&lt;=3.9999,"D-AVERAGE",IF(L77&lt;=4.9999,"E-SATISFACTORY",IF(L77&lt;=5.4999,"S-SUBSIDIARY",IF(L77&lt;=6,"F-FAIL",""))))))))))</f>
        <v>D-AVERAGE</v>
      </c>
      <c r="N77" s="153"/>
    </row>
    <row r="78" spans="1:14" x14ac:dyDescent="0.3">
      <c r="B78" s="215"/>
      <c r="C78" s="215"/>
      <c r="D78" s="215"/>
      <c r="E78" s="215"/>
      <c r="F78" s="215"/>
      <c r="G78" s="215"/>
      <c r="H78" s="215"/>
      <c r="I78" s="216">
        <f>SUM(B78:H78)</f>
        <v>0</v>
      </c>
      <c r="J78" s="225"/>
      <c r="K78" s="217" t="str">
        <f>IF(I78=0,"N/A",IF(J78&gt;=60,"✓ Within KPI","✗ Out of KPI"))</f>
        <v>N/A</v>
      </c>
      <c r="L78" s="218" t="str">
        <f t="array" ref="L78">IFERROR(((B78*1)+(C78*2)+(D78*3)+(E78*4)+(F78*5)+(G78:G78*6)+(H78*7))/(I78),"N/A")</f>
        <v>N/A</v>
      </c>
      <c r="M78" s="140" t="str">
        <f>IF(OR(L78="N/A",ISNA(L78)),"N/A",IF(ISBLANK(L78),"",IF(L78="","",IF(L78&lt;=1.4999,"A-EXCELLENT",IF(L78&lt;=1.9999,"B-VERY GOOD",IF(L78&lt;=2.9999,"C-GOOD",IF(L78&lt;=3.9999,"D-AVERAGE",IF(L78&lt;=4.9999,"E-SATISFACTORY",IF(L78&lt;=5.4999,"S-SUBSIDIARY",IF(L78&lt;=6,"F-FAIL",""))))))))))</f>
        <v>N/A</v>
      </c>
    </row>
    <row r="79" spans="1:14" x14ac:dyDescent="0.3">
      <c r="A79" s="414" t="s">
        <v>365</v>
      </c>
      <c r="B79" s="415"/>
      <c r="C79" s="415"/>
      <c r="D79" s="415"/>
      <c r="E79" s="415"/>
      <c r="F79" s="415"/>
      <c r="G79" s="415"/>
      <c r="H79" s="415"/>
      <c r="I79" s="415"/>
      <c r="J79" s="415"/>
      <c r="K79" s="415"/>
      <c r="L79" s="415"/>
      <c r="M79" s="415"/>
      <c r="N79" s="415"/>
    </row>
    <row r="80" spans="1:14" ht="18" customHeight="1" x14ac:dyDescent="0.3">
      <c r="A80" s="189" t="s">
        <v>357</v>
      </c>
      <c r="B80" s="190" t="s">
        <v>366</v>
      </c>
      <c r="C80" s="190" t="s">
        <v>367</v>
      </c>
      <c r="D80" s="190" t="s">
        <v>368</v>
      </c>
      <c r="E80" s="190" t="s">
        <v>369</v>
      </c>
      <c r="F80" s="190" t="s">
        <v>370</v>
      </c>
      <c r="G80" s="190" t="s">
        <v>371</v>
      </c>
      <c r="H80" s="190" t="s">
        <v>372</v>
      </c>
      <c r="I80" s="190" t="s">
        <v>373</v>
      </c>
      <c r="J80" s="190" t="s">
        <v>347</v>
      </c>
      <c r="K80" s="190" t="s">
        <v>348</v>
      </c>
      <c r="L80" s="190" t="s">
        <v>358</v>
      </c>
      <c r="M80" s="191" t="s">
        <v>0</v>
      </c>
      <c r="N80" s="135"/>
    </row>
    <row r="81" spans="1:14" ht="16.95" customHeight="1" thickBot="1" x14ac:dyDescent="0.35">
      <c r="A81" s="186" t="s">
        <v>360</v>
      </c>
      <c r="B81" s="151">
        <f>B74/I74</f>
        <v>0</v>
      </c>
      <c r="C81" s="151">
        <f>C74/I74</f>
        <v>0</v>
      </c>
      <c r="D81" s="151">
        <f>D74/I74</f>
        <v>0</v>
      </c>
      <c r="E81" s="151">
        <f>E74/I74</f>
        <v>0.17391304347826086</v>
      </c>
      <c r="F81" s="151">
        <f>F74/I74</f>
        <v>0.47826086956521741</v>
      </c>
      <c r="G81" s="151">
        <f>G74/I74</f>
        <v>4.3478260869565216E-2</v>
      </c>
      <c r="H81" s="151">
        <f>H74/I74</f>
        <v>0.30434782608695654</v>
      </c>
      <c r="I81" s="143">
        <f>I74</f>
        <v>23</v>
      </c>
      <c r="J81" s="223">
        <f>(((B81*5)+(C81*4)+(D81*3)+(E81*2)+(F81*1)+(G81*0.5)+(H81*0))/(I81*5))*100</f>
        <v>0.73724007561436666</v>
      </c>
      <c r="K81" s="3" t="str">
        <f>IF(I81=0,"N/A",IF(J81&gt;=60,"✓ Within KPI","✗ Out of KPI"))</f>
        <v>✗ Out of KPI</v>
      </c>
      <c r="L81" s="144">
        <f>L74</f>
        <v>5.4782608695652177</v>
      </c>
      <c r="M81" s="188" t="str">
        <f>IF(OR(L81="N/A",ISNA(L81)),"N/A",IF(ISBLANK(L81),"",IF(L81="","",IF(L81&lt;=1.4999,"A-EXCELLENT",IF(L81&lt;=1.9999,"B-VERY GOOD",IF(L81&lt;=2.9999,"C-GOOD",IF(L81&lt;=3.9999,"D-AVERAGE",IF(L81&lt;=4.9999,"E-SATISFACTORY",IF(L81&lt;=5.4999,"S-SUBSIDIARY",IF(L81&lt;=6,"F-FAIL",""))))))))))</f>
        <v>S-SUBSIDIARY</v>
      </c>
      <c r="N81" s="152"/>
    </row>
    <row r="82" spans="1:14" ht="16.95" customHeight="1" thickBot="1" x14ac:dyDescent="0.35">
      <c r="A82" s="187" t="s">
        <v>383</v>
      </c>
      <c r="B82" s="151">
        <f>B75/I75</f>
        <v>0</v>
      </c>
      <c r="C82" s="151">
        <f>C75/I75</f>
        <v>0</v>
      </c>
      <c r="D82" s="151">
        <f>D75/I75</f>
        <v>0.30434782608695654</v>
      </c>
      <c r="E82" s="151">
        <f>E75/I75</f>
        <v>0.65217391304347827</v>
      </c>
      <c r="F82" s="151">
        <f>F75/I75</f>
        <v>4.3478260869565216E-2</v>
      </c>
      <c r="G82" s="151">
        <f>G75/I75</f>
        <v>0</v>
      </c>
      <c r="H82" s="151">
        <f>H75/I75</f>
        <v>0</v>
      </c>
      <c r="I82" s="143">
        <f>I75</f>
        <v>23</v>
      </c>
      <c r="J82" s="223">
        <f>(((B82*5)+(C82*4)+(D82*3)+(E82*2)+(F82*1)+(G82*0.5)+(H82*0))/(I82*5))*100</f>
        <v>1.9659735349716447</v>
      </c>
      <c r="K82" s="3" t="str">
        <f>IF(I82=0,"N/A",IF(J82&gt;=60,"✓ Within KPI","✗ Out of KPI"))</f>
        <v>✗ Out of KPI</v>
      </c>
      <c r="L82" s="144">
        <f>L75</f>
        <v>3.7391304347826089</v>
      </c>
      <c r="M82" s="188" t="str">
        <f>IF(OR(L82="N/A",ISNA(L82)),"N/A",IF(ISBLANK(L82),"",IF(L82="","",IF(L82&lt;=1.4999,"A-EXCELLENT",IF(L82&lt;=1.9999,"B-VERY GOOD",IF(L82&lt;=2.9999,"C-GOOD",IF(L82&lt;=3.9999,"D-AVERAGE",IF(L82&lt;=4.9999,"E-SATISFACTORY",IF(L82&lt;=5.4999,"S-SUBSIDIARY",IF(L82&lt;=6,"F-FAIL",""))))))))))</f>
        <v>D-AVERAGE</v>
      </c>
      <c r="N82" s="153"/>
    </row>
    <row r="83" spans="1:14" ht="16.95" customHeight="1" thickBot="1" x14ac:dyDescent="0.35">
      <c r="A83" s="186" t="s">
        <v>380</v>
      </c>
      <c r="B83" s="151">
        <f>B76/I76</f>
        <v>0</v>
      </c>
      <c r="C83" s="151">
        <f>C76/I76</f>
        <v>0</v>
      </c>
      <c r="D83" s="151">
        <f>D76/I76</f>
        <v>0.43478260869565216</v>
      </c>
      <c r="E83" s="151">
        <f>E76/I76</f>
        <v>0.43478260869565216</v>
      </c>
      <c r="F83" s="151">
        <f>F76/I76</f>
        <v>0.13043478260869565</v>
      </c>
      <c r="G83" s="151">
        <f>G76/I76</f>
        <v>0</v>
      </c>
      <c r="H83" s="151">
        <f>H76/I76</f>
        <v>0</v>
      </c>
      <c r="I83" s="143">
        <f>I76</f>
        <v>23</v>
      </c>
      <c r="J83" s="223">
        <f>(((B83*5)+(C83*4)+(D83*3)+(E83*2)+(F83*1)+(G83*0.5)+(H83*0))/(I83*5))*100</f>
        <v>2.003780718336484</v>
      </c>
      <c r="K83" s="3" t="str">
        <f>IF(I83=0,"N/A",IF(J83&gt;=60,"✓ Within KPI","✗ Out of KPI"))</f>
        <v>✗ Out of KPI</v>
      </c>
      <c r="L83" s="144">
        <f>L76</f>
        <v>3.6956521739130435</v>
      </c>
      <c r="M83" s="188" t="str">
        <f>IF(OR(L83="N/A",ISNA(L83)),"N/A",IF(ISBLANK(L83),"",IF(L83="","",IF(L83&lt;=1.4999,"A-EXCELLENT",IF(L83&lt;=1.9999,"B-VERY GOOD",IF(L83&lt;=2.9999,"C-GOOD",IF(L83&lt;=3.9999,"D-AVERAGE",IF(L83&lt;=4.9999,"E-SATISFACTORY",IF(L83&lt;=5.4999,"S-SUBSIDIARY",IF(L83&lt;=6,"F-FAIL",""))))))))))</f>
        <v>D-AVERAGE</v>
      </c>
      <c r="N83" s="152"/>
    </row>
    <row r="84" spans="1:14" ht="16.95" customHeight="1" thickBot="1" x14ac:dyDescent="0.35">
      <c r="A84" s="187" t="s">
        <v>386</v>
      </c>
      <c r="B84" s="151">
        <f>B77/I77</f>
        <v>0</v>
      </c>
      <c r="C84" s="151">
        <f>C77/I77</f>
        <v>0.17391304347826086</v>
      </c>
      <c r="D84" s="151">
        <f>D77/I77</f>
        <v>0.30434782608695654</v>
      </c>
      <c r="E84" s="151">
        <f>E77/I77</f>
        <v>0.52173913043478259</v>
      </c>
      <c r="F84" s="151">
        <f>F77/I77</f>
        <v>0</v>
      </c>
      <c r="G84" s="151">
        <f>G77/I77</f>
        <v>0</v>
      </c>
      <c r="H84" s="151">
        <f>H77/I77</f>
        <v>0</v>
      </c>
      <c r="I84" s="143">
        <f>I77</f>
        <v>23</v>
      </c>
      <c r="J84" s="223">
        <f>(((B84*5)+(C84*4)+(D84*3)+(E84*2)+(F84*1)+(G84*0.5)+(H84*0))/(I84*5))*100</f>
        <v>2.3062381852551987</v>
      </c>
      <c r="K84" s="3" t="str">
        <f>IF(I84=0,"N/A",IF(J84&gt;=60,"✓ Within KPI","✗ Out of KPI"))</f>
        <v>✗ Out of KPI</v>
      </c>
      <c r="L84" s="144">
        <f>L77</f>
        <v>3.347826086956522</v>
      </c>
      <c r="M84" s="188" t="str">
        <f>IF(OR(L84="N/A",ISNA(L84)),"N/A",IF(ISBLANK(L84),"",IF(L84="","",IF(L84&lt;=1.4999,"A-EXCELLENT",IF(L84&lt;=1.9999,"B-VERY GOOD",IF(L84&lt;=2.9999,"C-GOOD",IF(L84&lt;=3.9999,"D-AVERAGE",IF(L84&lt;=4.9999,"E-SATISFACTORY",IF(L84&lt;=5.4999,"S-SUBSIDIARY",IF(L84&lt;=6,"F-FAIL",""))))))))))</f>
        <v>D-AVERAGE</v>
      </c>
      <c r="N84" s="153"/>
    </row>
    <row r="85" spans="1:14" ht="16.95" customHeight="1" thickBot="1" x14ac:dyDescent="0.35">
      <c r="A85" s="198" t="s">
        <v>781</v>
      </c>
      <c r="B85" s="199">
        <f t="shared" ref="B85:I85" si="17">AVERAGE(B81:B84)</f>
        <v>0</v>
      </c>
      <c r="C85" s="199">
        <f t="shared" si="17"/>
        <v>4.3478260869565216E-2</v>
      </c>
      <c r="D85" s="199">
        <f t="shared" si="17"/>
        <v>0.2608695652173913</v>
      </c>
      <c r="E85" s="199">
        <f t="shared" si="17"/>
        <v>0.44565217391304346</v>
      </c>
      <c r="F85" s="199">
        <f t="shared" si="17"/>
        <v>0.16304347826086957</v>
      </c>
      <c r="G85" s="199">
        <f t="shared" si="17"/>
        <v>1.0869565217391304E-2</v>
      </c>
      <c r="H85" s="199">
        <f t="shared" si="17"/>
        <v>7.6086956521739135E-2</v>
      </c>
      <c r="I85" s="194">
        <f t="shared" si="17"/>
        <v>23</v>
      </c>
      <c r="J85" s="223">
        <f>(((B85*5)+(C85*4)+(D85*3)+(E85*2)+(F85*1)+(G85*0.5)+(H85*0))/(I85*5))*100</f>
        <v>1.7533081285444234</v>
      </c>
      <c r="K85" s="195" t="str">
        <f>IF(I85=0,"N/A",IF(J85&gt;=60,"✓ Within KPI","✗ Out of KPI"))</f>
        <v>✗ Out of KPI</v>
      </c>
      <c r="L85" s="200">
        <f>AVERAGE(L81:L84)</f>
        <v>4.0652173913043477</v>
      </c>
      <c r="M85" s="197" t="str">
        <f>IF(OR(L85="N/A",ISNA(L85)),"N/A",IF(ISBLANK(L85),"",IF(L85="","",IF(L85&lt;=1.4999,"A-EXCELLENT",IF(L85&lt;=1.9999,"B-VERY GOOD",IF(L85&lt;=2.9999,"C-GOOD",IF(L85&lt;=3.9999,"D-AVERAGE",IF(L85&lt;=4.9999,"E-SATISFACTORY",IF(L85&lt;=5.4999,"S-SUBSIDIARY",IF(L85&lt;=6,"F-FAIL",""))))))))))</f>
        <v>E-SATISFACTORY</v>
      </c>
      <c r="N85" s="148"/>
    </row>
    <row r="87" spans="1:14" ht="22.05" customHeight="1" x14ac:dyDescent="0.3">
      <c r="A87" s="417" t="s">
        <v>387</v>
      </c>
      <c r="B87" s="415"/>
      <c r="C87" s="415"/>
      <c r="D87" s="415"/>
      <c r="E87" s="415"/>
      <c r="F87" s="415"/>
      <c r="G87" s="415"/>
      <c r="H87" s="415"/>
      <c r="I87" s="415"/>
      <c r="J87" s="415"/>
      <c r="K87" s="415"/>
      <c r="L87" s="415"/>
      <c r="M87" s="415"/>
      <c r="N87" s="415"/>
    </row>
    <row r="88" spans="1:14" x14ac:dyDescent="0.3">
      <c r="A88" s="416" t="s">
        <v>356</v>
      </c>
      <c r="B88" s="415"/>
      <c r="C88" s="415"/>
      <c r="D88" s="415"/>
      <c r="E88" s="415"/>
      <c r="F88" s="415"/>
      <c r="G88" s="415"/>
      <c r="H88" s="415"/>
      <c r="I88" s="415"/>
      <c r="J88" s="415"/>
      <c r="K88" s="415"/>
      <c r="L88" s="415"/>
      <c r="M88" s="415"/>
      <c r="N88" s="415"/>
    </row>
    <row r="89" spans="1:14" ht="18" customHeight="1" x14ac:dyDescent="0.3">
      <c r="A89" s="189" t="s">
        <v>357</v>
      </c>
      <c r="B89" s="190" t="s">
        <v>2</v>
      </c>
      <c r="C89" s="190" t="s">
        <v>3</v>
      </c>
      <c r="D89" s="190" t="s">
        <v>4</v>
      </c>
      <c r="E89" s="190" t="s">
        <v>5</v>
      </c>
      <c r="F89" s="190" t="s">
        <v>6</v>
      </c>
      <c r="G89" s="190" t="s">
        <v>7</v>
      </c>
      <c r="H89" s="190" t="s">
        <v>8</v>
      </c>
      <c r="I89" s="190" t="s">
        <v>344</v>
      </c>
      <c r="J89" s="190" t="s">
        <v>347</v>
      </c>
      <c r="K89" s="190" t="s">
        <v>348</v>
      </c>
      <c r="L89" s="190" t="s">
        <v>358</v>
      </c>
      <c r="M89" s="191" t="s">
        <v>0</v>
      </c>
      <c r="N89" s="135"/>
    </row>
    <row r="90" spans="1:14" ht="16.95" customHeight="1" thickBot="1" x14ac:dyDescent="0.35">
      <c r="A90" s="186" t="s">
        <v>360</v>
      </c>
      <c r="B90" s="128">
        <f>COUNTIFS(F6Results_2026[[Comb]:[Comb]],"PCB",F6Results_2026[[Gs]:[Gs]],"A")</f>
        <v>0</v>
      </c>
      <c r="C90" s="128">
        <f>COUNTIFS(F6Results_2026[[Comb]:[Comb]],"PCB",F6Results_2026[[Gs]:[Gs]],"B")</f>
        <v>0</v>
      </c>
      <c r="D90" s="128">
        <f>COUNTIFS(F6Results_2026[[Comb]:[Comb]],"PCB",F6Results_2026[[Gs]:[Gs]],"C")</f>
        <v>0</v>
      </c>
      <c r="E90" s="128">
        <f>COUNTIFS(F6Results_2026[[Comb]:[Comb]],"PCB",F6Results_2026[[Gs]:[Gs]],"D")</f>
        <v>7</v>
      </c>
      <c r="F90" s="128">
        <f>COUNTIFS(F6Results_2026[[Comb]:[Comb]],"PCB",F6Results_2026[[Gs]:[Gs]],"E")</f>
        <v>23</v>
      </c>
      <c r="G90" s="128">
        <f>COUNTIFS(F6Results_2026[[Comb]:[Comb]],"PCB",F6Results_2026[[Gs]:[Gs]],"S")</f>
        <v>8</v>
      </c>
      <c r="H90" s="128">
        <f>COUNTIFS(F6Results_2026[[Comb]:[Comb]],"PCB",F6Results_2026[[Gs]:[Gs]],"F")</f>
        <v>7</v>
      </c>
      <c r="I90" s="143">
        <f>SUM(B90:H90)</f>
        <v>45</v>
      </c>
      <c r="J90" s="223">
        <f>(((B90*5)+(C90*4)+(D90*3)+(E90*2)+(F90*1)+(G90*0.5)+(H90*0))/(I90*5))*100</f>
        <v>18.222222222222221</v>
      </c>
      <c r="K90" s="3" t="str">
        <f>IF(I90=0,"N/A",IF(J90&gt;=60,"✓ Within KPI","✗ Out of KPI"))</f>
        <v>✗ Out of KPI</v>
      </c>
      <c r="L90" s="144">
        <f t="array" ref="L90">IFERROR(((B90*1)+(C90*2)+(D90*3)+(E90*4)+(F90*5)+(G90:G90*6)+(H90*7))/(I90),"N/A")</f>
        <v>5.333333333333333</v>
      </c>
      <c r="M90" s="188" t="str">
        <f>IF(OR(L90="N/A",ISNA(L90)),"N/A",IF(ISBLANK(L90),"",IF(L90="","",IF(L90&lt;=1.4999,"A-EXCELLENT",IF(L90&lt;=1.9999,"B-VERY GOOD",IF(L90&lt;=2.9999,"C-GOOD",IF(L90&lt;=3.9999,"D-AVERAGE",IF(L90&lt;=4.9999,"E-SATISFACTORY",IF(L90&lt;=5.4999,"S-SUBSIDIARY",IF(L90&lt;=6,"F-FAIL",""))))))))))</f>
        <v>S-SUBSIDIARY</v>
      </c>
      <c r="N90" s="152"/>
    </row>
    <row r="91" spans="1:14" ht="16.95" customHeight="1" thickBot="1" x14ac:dyDescent="0.35">
      <c r="A91" s="187" t="s">
        <v>388</v>
      </c>
      <c r="B91" s="128">
        <f>COUNTIFS(F6Results_2026[[Comb]:[Comb]],"PCB",F6Results_2026[[Phy]:[Phy]],"A")</f>
        <v>0</v>
      </c>
      <c r="C91" s="128">
        <f>COUNTIFS(F6Results_2026[[Comb]:[Comb]],"PCB",F6Results_2026[[Phy]:[Phy]],"B")</f>
        <v>0</v>
      </c>
      <c r="D91" s="128">
        <f>COUNTIFS(F6Results_2026[[Comb]:[Comb]],"PCB",F6Results_2026[[Phy]:[Phy]],"C")</f>
        <v>8</v>
      </c>
      <c r="E91" s="128">
        <f>COUNTIFS(F6Results_2026[[Comb]:[Comb]],"PCB",F6Results_2026[[Phy]:[Phy]],"D")</f>
        <v>14</v>
      </c>
      <c r="F91" s="128">
        <f>COUNTIFS(F6Results_2026[[Comb]:[Comb]],"PCB",F6Results_2026[[Phy]:[Phy]],"E")</f>
        <v>12</v>
      </c>
      <c r="G91" s="128">
        <f>COUNTIFS(F6Results_2026[[Comb]:[Comb]],"PCB",F6Results_2026[[Phy]:[Phy]],"S")</f>
        <v>2</v>
      </c>
      <c r="H91" s="128">
        <f>COUNTIFS(F6Results_2026[[Comb]:[Comb]],"PCB",F6Results_2026[[Phy]:[Phy]],"F")</f>
        <v>9</v>
      </c>
      <c r="I91" s="143">
        <f>SUM(B91:H91)</f>
        <v>45</v>
      </c>
      <c r="J91" s="223">
        <f>(((B91*5)+(C91*4)+(D91*3)+(E91*2)+(F91*1)+(G91*0.5)+(H91*0))/(I91*5))*100</f>
        <v>28.888888888888886</v>
      </c>
      <c r="K91" s="3" t="str">
        <f>IF(I91=0,"N/A",IF(J91&gt;=60,"✓ Within KPI","✗ Out of KPI"))</f>
        <v>✗ Out of KPI</v>
      </c>
      <c r="L91" s="144">
        <f t="array" ref="L91">IFERROR(((B91*1)+(C91*2)+(D91*3)+(E91*4)+(F91*5)+(G91:G91*6)+(H91*7))/(I91),"N/A")</f>
        <v>4.7777777777777777</v>
      </c>
      <c r="M91" s="188" t="str">
        <f>IF(OR(L91="N/A",ISNA(L91)),"N/A",IF(ISBLANK(L91),"",IF(L91="","",IF(L91&lt;=1.4999,"A-EXCELLENT",IF(L91&lt;=1.9999,"B-VERY GOOD",IF(L91&lt;=2.9999,"C-GOOD",IF(L91&lt;=3.9999,"D-AVERAGE",IF(L91&lt;=4.9999,"E-SATISFACTORY",IF(L91&lt;=5.4999,"S-SUBSIDIARY",IF(L91&lt;=6,"F-FAIL",""))))))))))</f>
        <v>E-SATISFACTORY</v>
      </c>
      <c r="N91" s="153"/>
    </row>
    <row r="92" spans="1:14" ht="16.95" customHeight="1" thickBot="1" x14ac:dyDescent="0.35">
      <c r="A92" s="186" t="s">
        <v>361</v>
      </c>
      <c r="B92" s="128">
        <f>COUNTIFS(F6Results_2026[[Comb]:[Comb]],"PCB",F6Results_2026[[Chem]:[Chem]],"A")</f>
        <v>0</v>
      </c>
      <c r="C92" s="128">
        <f>COUNTIFS(F6Results_2026[[Comb]:[Comb]],"PCB",F6Results_2026[[Chem]:[Chem]],"B")</f>
        <v>0</v>
      </c>
      <c r="D92" s="128">
        <f>COUNTIFS(F6Results_2026[[Comb]:[Comb]],"PCB",F6Results_2026[[Chem]:[Chem]],"C")</f>
        <v>21</v>
      </c>
      <c r="E92" s="128">
        <f>COUNTIFS(F6Results_2026[[Comb]:[Comb]],"PCB",F6Results_2026[[Chem]:[Chem]],"D")</f>
        <v>12</v>
      </c>
      <c r="F92" s="128">
        <f>COUNTIFS(F6Results_2026[[Comb]:[Comb]],"PCB",F6Results_2026[[Chem]:[Chem]],"E")</f>
        <v>5</v>
      </c>
      <c r="G92" s="128">
        <f>COUNTIFS(F6Results_2026[[Comb]:[Comb]],"PCB",F6Results_2026[[Chem]:[Chem]],"S")</f>
        <v>0</v>
      </c>
      <c r="H92" s="128">
        <f>COUNTIFS(F6Results_2026[[Comb]:[Comb]],"PCB",F6Results_2026[[Chem]:[Chem]],"F")</f>
        <v>7</v>
      </c>
      <c r="I92" s="143">
        <f>SUM(B92:H92)</f>
        <v>45</v>
      </c>
      <c r="J92" s="223">
        <f>(((B92*5)+(C92*4)+(D92*3)+(E92*2)+(F92*1)+(G92*0.5)+(H92*0))/(I92*5))*100</f>
        <v>40.888888888888893</v>
      </c>
      <c r="K92" s="3" t="str">
        <f>IF(I92=0,"N/A",IF(J92&gt;=60,"✓ Within KPI","✗ Out of KPI"))</f>
        <v>✗ Out of KPI</v>
      </c>
      <c r="L92" s="144">
        <f t="array" ref="L92">IFERROR(((B92*1)+(C92*2)+(D92*3)+(E92*4)+(F92*5)+(G92:G92*6)+(H92*7))/(I92),"N/A")</f>
        <v>4.1111111111111107</v>
      </c>
      <c r="M92" s="188" t="str">
        <f>IF(OR(L92="N/A",ISNA(L92)),"N/A",IF(ISBLANK(L92),"",IF(L92="","",IF(L92&lt;=1.4999,"A-EXCELLENT",IF(L92&lt;=1.9999,"B-VERY GOOD",IF(L92&lt;=2.9999,"C-GOOD",IF(L92&lt;=3.9999,"D-AVERAGE",IF(L92&lt;=4.9999,"E-SATISFACTORY",IF(L92&lt;=5.4999,"S-SUBSIDIARY",IF(L92&lt;=6,"F-FAIL",""))))))))))</f>
        <v>E-SATISFACTORY</v>
      </c>
      <c r="N92" s="152"/>
    </row>
    <row r="93" spans="1:14" ht="16.95" customHeight="1" thickBot="1" x14ac:dyDescent="0.35">
      <c r="A93" s="187" t="s">
        <v>362</v>
      </c>
      <c r="B93" s="128">
        <f>COUNTIFS(F6Results_2026[[Comb]:[Comb]],"PCB",F6Results_2026[[Biol]:[Biol]],"A")</f>
        <v>0</v>
      </c>
      <c r="C93" s="128">
        <f>COUNTIFS(F6Results_2026[[Comb]:[Comb]],"PCB",F6Results_2026[[Biol]:[Biol]],"B")</f>
        <v>0</v>
      </c>
      <c r="D93" s="128">
        <f>COUNTIFS(F6Results_2026[[Comb]:[Comb]],"PCB",F6Results_2026[[Biol]:[Biol]],"C")</f>
        <v>16</v>
      </c>
      <c r="E93" s="128">
        <f>COUNTIFS(F6Results_2026[[Comb]:[Comb]],"PCB",F6Results_2026[[Biol]:[Biol]],"D")</f>
        <v>7</v>
      </c>
      <c r="F93" s="128">
        <f>COUNTIFS(F6Results_2026[[Comb]:[Comb]],"PCB",F6Results_2026[[Biol]:[Biol]],"E")</f>
        <v>0</v>
      </c>
      <c r="G93" s="128">
        <f>COUNTIFS(F6Results_2026[[Comb]:[Comb]],"PCB",F6Results_2026[[Biol]:[Biol]],"S")</f>
        <v>0</v>
      </c>
      <c r="H93" s="128">
        <f>COUNTIFS(F6Results_2026[[Comb]:[Comb]],"PCB",F6Results_2026[[Biol]:[Biol]],"F")</f>
        <v>22</v>
      </c>
      <c r="I93" s="143">
        <f>SUM(B93:H93)</f>
        <v>45</v>
      </c>
      <c r="J93" s="223">
        <f>(((B93*5)+(C93*4)+(D93*3)+(E93*2)+(F93*1)+(G93*0.5)+(H93*0))/(I93*5))*100</f>
        <v>27.555555555555557</v>
      </c>
      <c r="K93" s="3" t="str">
        <f>IF(I93=0,"N/A",IF(J93&gt;=60,"✓ Within KPI","✗ Out of KPI"))</f>
        <v>✗ Out of KPI</v>
      </c>
      <c r="L93" s="144">
        <f t="array" ref="L93">IFERROR(((B93*1)+(C93*2)+(D93*3)+(E93*4)+(F93*5)+(G93:G93*6)+(H93*7))/(I93),"N/A")</f>
        <v>5.1111111111111107</v>
      </c>
      <c r="M93" s="188" t="str">
        <f>IF(OR(L93="N/A",ISNA(L93)),"N/A",IF(ISBLANK(L93),"",IF(L93="","",IF(L93&lt;=1.4999,"A-EXCELLENT",IF(L93&lt;=1.9999,"B-VERY GOOD",IF(L93&lt;=2.9999,"C-GOOD",IF(L93&lt;=3.9999,"D-AVERAGE",IF(L93&lt;=4.9999,"E-SATISFACTORY",IF(L93&lt;=5.4999,"S-SUBSIDIARY",IF(L93&lt;=6,"F-FAIL",""))))))))))</f>
        <v>S-SUBSIDIARY</v>
      </c>
      <c r="N93" s="152"/>
    </row>
    <row r="94" spans="1:14" ht="16.95" customHeight="1" thickBot="1" x14ac:dyDescent="0.35">
      <c r="A94" s="192" t="s">
        <v>364</v>
      </c>
      <c r="B94" s="193">
        <f>COUNTIFS(F6Results_2026[[Comb]:[Comb]],"PCB",F6Results_2026[[Bam]:[Bam]],"A")</f>
        <v>3</v>
      </c>
      <c r="C94" s="193">
        <f>COUNTIFS(F6Results_2026[[Comb]:[Comb]],"PCB",F6Results_2026[[Bam]:[Bam]],"B")</f>
        <v>3</v>
      </c>
      <c r="D94" s="193">
        <f>COUNTIFS(F6Results_2026[[Comb]:[Comb]],"PCB",F6Results_2026[[Bam]:[Bam]],"C")</f>
        <v>6</v>
      </c>
      <c r="E94" s="193">
        <f>COUNTIFS(F6Results_2026[[Comb]:[Comb]],"PCB",F6Results_2026[[Bam]:[Bam]],"D")</f>
        <v>7</v>
      </c>
      <c r="F94" s="193">
        <f>COUNTIFS(F6Results_2026[[Comb]:[Comb]],"PCB",F6Results_2026[[Bam]:[Bam]],"E")</f>
        <v>8</v>
      </c>
      <c r="G94" s="193">
        <f>COUNTIFS(F6Results_2026[[Comb]:[Comb]],"PCB",F6Results_2026[[Bam]:[Bam]],"S")</f>
        <v>4</v>
      </c>
      <c r="H94" s="193">
        <f>COUNTIFS(F6Results_2026[[Comb]:[Comb]],"PCB",F6Results_2026[[Bam]:[Bam]],"F")</f>
        <v>14</v>
      </c>
      <c r="I94" s="194">
        <f>SUM(B94:H94)</f>
        <v>45</v>
      </c>
      <c r="J94" s="223">
        <f>(((B94*5)+(C94*4)+(D94*3)+(E94*2)+(F94*1)+(G94*0.5)+(H94*0))/(I94*5))*100</f>
        <v>30.666666666666664</v>
      </c>
      <c r="K94" s="195" t="str">
        <f>IF(I94=0,"N/A",IF(J94&gt;=60,"✓ Within KPI","✗ Out of KPI"))</f>
        <v>✗ Out of KPI</v>
      </c>
      <c r="L94" s="196">
        <f t="array" ref="L94">IFERROR(((B94*1)+(C94*2)+(D94*3)+(E94*4)+(F94*5)+(G94:G94*6)+(H94*7))/(I94),"N/A")</f>
        <v>4.822222222222222</v>
      </c>
      <c r="M94" s="197" t="str">
        <f>IF(OR(L94="N/A",ISNA(L94)),"N/A",IF(ISBLANK(L94),"",IF(L94="","",IF(L94&lt;=1.4999,"A-EXCELLENT",IF(L94&lt;=1.9999,"B-VERY GOOD",IF(L94&lt;=2.9999,"C-GOOD",IF(L94&lt;=3.9999,"D-AVERAGE",IF(L94&lt;=4.9999,"E-SATISFACTORY",IF(L94&lt;=5.4999,"S-SUBSIDIARY",IF(L94&lt;=6,"F-FAIL",""))))))))))</f>
        <v>E-SATISFACTORY</v>
      </c>
      <c r="N94" s="152"/>
    </row>
    <row r="96" spans="1:14" x14ac:dyDescent="0.3">
      <c r="A96" s="414" t="s">
        <v>365</v>
      </c>
      <c r="B96" s="415"/>
      <c r="C96" s="415"/>
      <c r="D96" s="415"/>
      <c r="E96" s="415"/>
      <c r="F96" s="415"/>
      <c r="G96" s="415"/>
      <c r="H96" s="415"/>
      <c r="I96" s="415"/>
      <c r="J96" s="415"/>
      <c r="K96" s="415"/>
      <c r="L96" s="415"/>
      <c r="M96" s="415"/>
      <c r="N96" s="415"/>
    </row>
    <row r="97" spans="1:14" ht="18" customHeight="1" x14ac:dyDescent="0.3">
      <c r="A97" s="206" t="s">
        <v>357</v>
      </c>
      <c r="B97" s="206" t="s">
        <v>366</v>
      </c>
      <c r="C97" s="206" t="s">
        <v>367</v>
      </c>
      <c r="D97" s="206" t="s">
        <v>368</v>
      </c>
      <c r="E97" s="206" t="s">
        <v>369</v>
      </c>
      <c r="F97" s="206" t="s">
        <v>370</v>
      </c>
      <c r="G97" s="206" t="s">
        <v>371</v>
      </c>
      <c r="H97" s="206" t="s">
        <v>372</v>
      </c>
      <c r="I97" s="206" t="s">
        <v>373</v>
      </c>
      <c r="J97" s="206" t="s">
        <v>347</v>
      </c>
      <c r="K97" s="206" t="s">
        <v>348</v>
      </c>
      <c r="L97" s="206" t="s">
        <v>358</v>
      </c>
      <c r="M97" s="206" t="s">
        <v>0</v>
      </c>
      <c r="N97" s="10"/>
    </row>
    <row r="98" spans="1:14" ht="16.95" customHeight="1" x14ac:dyDescent="0.3">
      <c r="A98" s="142" t="s">
        <v>360</v>
      </c>
      <c r="B98" s="151">
        <f>B90/I90</f>
        <v>0</v>
      </c>
      <c r="C98" s="151">
        <f>C90/I90</f>
        <v>0</v>
      </c>
      <c r="D98" s="151">
        <f>D90/I90</f>
        <v>0</v>
      </c>
      <c r="E98" s="151">
        <f>E90/I90</f>
        <v>0.15555555555555556</v>
      </c>
      <c r="F98" s="151">
        <f>F90/I90</f>
        <v>0.51111111111111107</v>
      </c>
      <c r="G98" s="151">
        <f>G90/I90</f>
        <v>0.17777777777777778</v>
      </c>
      <c r="H98" s="151">
        <f>H90/I90</f>
        <v>0.15555555555555556</v>
      </c>
      <c r="I98" s="143">
        <f t="shared" ref="I98:J102" si="18">I90</f>
        <v>45</v>
      </c>
      <c r="J98" s="224">
        <f t="shared" si="18"/>
        <v>18.222222222222221</v>
      </c>
      <c r="K98" s="3" t="str">
        <f t="shared" ref="K98:K103" si="19">IF(I98=0,"N/A",IF(J98&gt;=60,"✓ Within KPI","✗ Out of KPI"))</f>
        <v>✗ Out of KPI</v>
      </c>
      <c r="L98" s="144">
        <f>L90</f>
        <v>5.333333333333333</v>
      </c>
      <c r="M98" s="145" t="str">
        <f t="shared" ref="M98:M103" si="20">IF(OR(L98="N/A",ISNA(L98)),"N/A",IF(ISBLANK(L98),"",IF(L98="","",IF(L98&lt;=1.4999,"A-EXCELLENT",IF(L98&lt;=1.9999,"B-VERY GOOD",IF(L98&lt;=2.9999,"C-GOOD",IF(L98&lt;=3.9999,"D-AVERAGE",IF(L98&lt;=4.9999,"E-SATISFACTORY",IF(L98&lt;=5.4999,"S-SUBSIDIARY",IF(L98&lt;=6,"F-FAIL",""))))))))))</f>
        <v>S-SUBSIDIARY</v>
      </c>
      <c r="N98" s="13"/>
    </row>
    <row r="99" spans="1:14" ht="16.95" customHeight="1" x14ac:dyDescent="0.3">
      <c r="A99" s="147" t="s">
        <v>388</v>
      </c>
      <c r="B99" s="151">
        <f>B91/I91</f>
        <v>0</v>
      </c>
      <c r="C99" s="151">
        <f>C91/I91</f>
        <v>0</v>
      </c>
      <c r="D99" s="151">
        <f>D91/I91</f>
        <v>0.17777777777777778</v>
      </c>
      <c r="E99" s="151">
        <f>E91/I91</f>
        <v>0.31111111111111112</v>
      </c>
      <c r="F99" s="151">
        <f>F91/I91</f>
        <v>0.26666666666666666</v>
      </c>
      <c r="G99" s="151">
        <f>G91/I91</f>
        <v>4.4444444444444446E-2</v>
      </c>
      <c r="H99" s="151">
        <f>H91/I91</f>
        <v>0.2</v>
      </c>
      <c r="I99" s="143">
        <f t="shared" si="18"/>
        <v>45</v>
      </c>
      <c r="J99" s="224">
        <f t="shared" si="18"/>
        <v>28.888888888888886</v>
      </c>
      <c r="K99" s="3" t="str">
        <f t="shared" si="19"/>
        <v>✗ Out of KPI</v>
      </c>
      <c r="L99" s="144">
        <f>L91</f>
        <v>4.7777777777777777</v>
      </c>
      <c r="M99" s="145" t="str">
        <f t="shared" si="20"/>
        <v>E-SATISFACTORY</v>
      </c>
      <c r="N99" s="15"/>
    </row>
    <row r="100" spans="1:14" ht="16.95" customHeight="1" x14ac:dyDescent="0.3">
      <c r="A100" s="142" t="s">
        <v>361</v>
      </c>
      <c r="B100" s="151">
        <f>B92/I92</f>
        <v>0</v>
      </c>
      <c r="C100" s="151">
        <f>C92/I92</f>
        <v>0</v>
      </c>
      <c r="D100" s="151">
        <f>D92/I92</f>
        <v>0.46666666666666667</v>
      </c>
      <c r="E100" s="151">
        <f>E92/I92</f>
        <v>0.26666666666666666</v>
      </c>
      <c r="F100" s="151">
        <f>F92/I92</f>
        <v>0.1111111111111111</v>
      </c>
      <c r="G100" s="151">
        <f>G92/I92</f>
        <v>0</v>
      </c>
      <c r="H100" s="151">
        <f>H92/I92</f>
        <v>0.15555555555555556</v>
      </c>
      <c r="I100" s="143">
        <f t="shared" si="18"/>
        <v>45</v>
      </c>
      <c r="J100" s="224">
        <f t="shared" si="18"/>
        <v>40.888888888888893</v>
      </c>
      <c r="K100" s="3" t="str">
        <f t="shared" si="19"/>
        <v>✗ Out of KPI</v>
      </c>
      <c r="L100" s="144">
        <f>L92</f>
        <v>4.1111111111111107</v>
      </c>
      <c r="M100" s="145" t="str">
        <f t="shared" si="20"/>
        <v>E-SATISFACTORY</v>
      </c>
      <c r="N100" s="13"/>
    </row>
    <row r="101" spans="1:14" ht="16.95" customHeight="1" x14ac:dyDescent="0.3">
      <c r="A101" s="147" t="s">
        <v>362</v>
      </c>
      <c r="B101" s="151">
        <f>B93/I93</f>
        <v>0</v>
      </c>
      <c r="C101" s="151">
        <f>C93/I93</f>
        <v>0</v>
      </c>
      <c r="D101" s="151">
        <f>D93/I93</f>
        <v>0.35555555555555557</v>
      </c>
      <c r="E101" s="151">
        <f>E93/I93</f>
        <v>0.15555555555555556</v>
      </c>
      <c r="F101" s="151">
        <f>F93/I93</f>
        <v>0</v>
      </c>
      <c r="G101" s="151">
        <f>G93/I93</f>
        <v>0</v>
      </c>
      <c r="H101" s="151">
        <f>H93/I93</f>
        <v>0.48888888888888887</v>
      </c>
      <c r="I101" s="143">
        <f t="shared" si="18"/>
        <v>45</v>
      </c>
      <c r="J101" s="224">
        <f t="shared" si="18"/>
        <v>27.555555555555557</v>
      </c>
      <c r="K101" s="3" t="str">
        <f t="shared" si="19"/>
        <v>✗ Out of KPI</v>
      </c>
      <c r="L101" s="144">
        <f>L93</f>
        <v>5.1111111111111107</v>
      </c>
      <c r="M101" s="145" t="str">
        <f t="shared" si="20"/>
        <v>S-SUBSIDIARY</v>
      </c>
      <c r="N101" s="15"/>
    </row>
    <row r="102" spans="1:14" ht="16.95" customHeight="1" x14ac:dyDescent="0.3">
      <c r="A102" s="142" t="s">
        <v>364</v>
      </c>
      <c r="B102" s="151">
        <f>B94/I94</f>
        <v>6.6666666666666666E-2</v>
      </c>
      <c r="C102" s="151">
        <f>C94/I94</f>
        <v>6.6666666666666666E-2</v>
      </c>
      <c r="D102" s="151">
        <f>D94/I94</f>
        <v>0.13333333333333333</v>
      </c>
      <c r="E102" s="151">
        <f>E94/I94</f>
        <v>0.15555555555555556</v>
      </c>
      <c r="F102" s="151">
        <f>F94/I94</f>
        <v>0.17777777777777778</v>
      </c>
      <c r="G102" s="151">
        <f>G94/I94</f>
        <v>8.8888888888888892E-2</v>
      </c>
      <c r="H102" s="151">
        <f>H94/I94</f>
        <v>0.31111111111111112</v>
      </c>
      <c r="I102" s="143">
        <f t="shared" si="18"/>
        <v>45</v>
      </c>
      <c r="J102" s="224">
        <f t="shared" si="18"/>
        <v>30.666666666666664</v>
      </c>
      <c r="K102" s="3" t="str">
        <f t="shared" si="19"/>
        <v>✗ Out of KPI</v>
      </c>
      <c r="L102" s="144">
        <f>L94</f>
        <v>4.822222222222222</v>
      </c>
      <c r="M102" s="145" t="str">
        <f t="shared" si="20"/>
        <v>E-SATISFACTORY</v>
      </c>
      <c r="N102" s="13"/>
    </row>
    <row r="103" spans="1:14" ht="16.95" customHeight="1" x14ac:dyDescent="0.3">
      <c r="A103" s="207" t="s">
        <v>781</v>
      </c>
      <c r="B103" s="199">
        <f t="shared" ref="B103:J103" si="21">AVERAGE(B99:B102)</f>
        <v>1.6666666666666666E-2</v>
      </c>
      <c r="C103" s="199">
        <f t="shared" si="21"/>
        <v>1.6666666666666666E-2</v>
      </c>
      <c r="D103" s="199">
        <f t="shared" si="21"/>
        <v>0.28333333333333333</v>
      </c>
      <c r="E103" s="199">
        <f t="shared" si="21"/>
        <v>0.22222222222222221</v>
      </c>
      <c r="F103" s="199">
        <f t="shared" si="21"/>
        <v>0.1388888888888889</v>
      </c>
      <c r="G103" s="199">
        <f t="shared" si="21"/>
        <v>3.3333333333333333E-2</v>
      </c>
      <c r="H103" s="199">
        <f t="shared" si="21"/>
        <v>0.28888888888888886</v>
      </c>
      <c r="I103" s="194">
        <f t="shared" si="21"/>
        <v>45</v>
      </c>
      <c r="J103" s="200">
        <f t="shared" si="21"/>
        <v>32</v>
      </c>
      <c r="K103" s="195" t="str">
        <f t="shared" si="19"/>
        <v>✗ Out of KPI</v>
      </c>
      <c r="L103" s="200">
        <f>AVERAGE(L99:L102)</f>
        <v>4.7055555555555557</v>
      </c>
      <c r="M103" s="185" t="str">
        <f t="shared" si="20"/>
        <v>E-SATISFACTORY</v>
      </c>
      <c r="N103" s="148"/>
    </row>
    <row r="105" spans="1:14" ht="22.05" customHeight="1" x14ac:dyDescent="0.3">
      <c r="A105" s="417" t="s">
        <v>389</v>
      </c>
      <c r="B105" s="415"/>
      <c r="C105" s="415"/>
      <c r="D105" s="415"/>
      <c r="E105" s="415"/>
      <c r="F105" s="415"/>
      <c r="G105" s="415"/>
      <c r="H105" s="415"/>
      <c r="I105" s="415"/>
      <c r="J105" s="415"/>
      <c r="K105" s="415"/>
      <c r="L105" s="415"/>
      <c r="M105" s="415"/>
      <c r="N105" s="415"/>
    </row>
    <row r="106" spans="1:14" x14ac:dyDescent="0.3">
      <c r="A106" s="420" t="s">
        <v>356</v>
      </c>
      <c r="B106" s="415"/>
      <c r="C106" s="415"/>
      <c r="D106" s="415"/>
      <c r="E106" s="415"/>
      <c r="F106" s="415"/>
      <c r="G106" s="415"/>
      <c r="H106" s="415"/>
      <c r="I106" s="415"/>
      <c r="J106" s="415"/>
      <c r="K106" s="415"/>
      <c r="L106" s="415"/>
      <c r="M106" s="415"/>
      <c r="N106" s="415"/>
    </row>
    <row r="107" spans="1:14" ht="18" customHeight="1" x14ac:dyDescent="0.3">
      <c r="A107" s="190" t="s">
        <v>357</v>
      </c>
      <c r="B107" s="190" t="s">
        <v>2</v>
      </c>
      <c r="C107" s="190" t="s">
        <v>3</v>
      </c>
      <c r="D107" s="190" t="s">
        <v>4</v>
      </c>
      <c r="E107" s="190" t="s">
        <v>5</v>
      </c>
      <c r="F107" s="190" t="s">
        <v>6</v>
      </c>
      <c r="G107" s="190" t="s">
        <v>7</v>
      </c>
      <c r="H107" s="190" t="s">
        <v>8</v>
      </c>
      <c r="I107" s="190" t="s">
        <v>344</v>
      </c>
      <c r="J107" s="190" t="s">
        <v>347</v>
      </c>
      <c r="K107" s="190" t="s">
        <v>348</v>
      </c>
      <c r="L107" s="190" t="s">
        <v>358</v>
      </c>
      <c r="M107" s="191" t="s">
        <v>0</v>
      </c>
      <c r="N107" s="135"/>
    </row>
    <row r="108" spans="1:14" ht="16.95" customHeight="1" thickBot="1" x14ac:dyDescent="0.35">
      <c r="A108" s="136" t="s">
        <v>360</v>
      </c>
      <c r="B108" s="137">
        <f>COUNTIFS(F6Results_2026[[Comb]:[Comb]],"PCM",F6Results_2026[[Gs]:[Gs]],"A")</f>
        <v>0</v>
      </c>
      <c r="C108" s="137">
        <f>COUNTIFS(F6Results_2026[[Comb]:[Comb]],"PCM",F6Results_2026[[Gs]:[Gs]],"B")</f>
        <v>0</v>
      </c>
      <c r="D108" s="137">
        <f>COUNTIFS(F6Results_2026[[Comb]:[Comb]],"PCM",F6Results_2026[[Gs]:[Gs]],"C")</f>
        <v>0</v>
      </c>
      <c r="E108" s="137">
        <f>COUNTIFS(F6Results_2026[[Comb]:[Comb]],"PCM",F6Results_2026[[Gs]:[Gs]],"D")</f>
        <v>3</v>
      </c>
      <c r="F108" s="137">
        <f>COUNTIFS(F6Results_2026[[Comb]:[Comb]],"PCM",F6Results_2026[[Gs]:[Gs]],"E")</f>
        <v>18</v>
      </c>
      <c r="G108" s="137">
        <f>COUNTIFS(F6Results_2026[[Comb]:[Comb]],"PCM",F6Results_2026[[Gs]:[Gs]],"S")</f>
        <v>4</v>
      </c>
      <c r="H108" s="137">
        <f>COUNTIFS(F6Results_2026[[Comb]:[Comb]],"PCM",F6Results_2026[[Gs]:[Gs]],"F")</f>
        <v>3</v>
      </c>
      <c r="I108" s="138">
        <f>SUM(B108:H108)</f>
        <v>28</v>
      </c>
      <c r="J108" s="223">
        <f>(((B108*5)+(C108*4)+(D108*3)+(E108*2)+(F108*1)+(G108*0.5)+(H108*0))/(I108*5))*100</f>
        <v>18.571428571428573</v>
      </c>
      <c r="K108" s="26" t="str">
        <f>IF(I108=0,"N/A",IF(J108&gt;=60,"✓ Within KPI","✗ Out of KPI"))</f>
        <v>✗ Out of KPI</v>
      </c>
      <c r="L108" s="139">
        <f t="array" ref="L108">IFERROR(((B108*1)+(C108*2)+(D108*3)+(E108*4)+(F108*5)+(G108:G108*6)+(H108*7))/(I108),"N/A")</f>
        <v>5.25</v>
      </c>
      <c r="M108" s="188" t="str">
        <f>IF(OR(L108="N/A",ISNA(L108)),"N/A",IF(ISBLANK(L108),"",IF(L108="","",IF(L108&lt;=1.4999,"A-EXCELLENT",IF(L108&lt;=1.9999,"B-VERY GOOD",IF(L108&lt;=2.9999,"C-GOOD",IF(L108&lt;=3.9999,"D-AVERAGE",IF(L108&lt;=4.9999,"E-SATISFACTORY",IF(L108&lt;=5.4999,"S-SUBSIDIARY",IF(L108&lt;=6,"F-FAIL",""))))))))))</f>
        <v>S-SUBSIDIARY</v>
      </c>
      <c r="N108" s="13"/>
    </row>
    <row r="109" spans="1:14" ht="16.95" customHeight="1" thickBot="1" x14ac:dyDescent="0.35">
      <c r="A109" s="14" t="s">
        <v>388</v>
      </c>
      <c r="B109" s="128">
        <f>COUNTIFS(F6Results_2026[[Comb]:[Comb]],"PCM",F6Results_2026[[Phy]:[Phy]],"A")</f>
        <v>0</v>
      </c>
      <c r="C109" s="128">
        <f>COUNTIFS(F6Results_2026[[Comb]:[Comb]],"PCM",F6Results_2026[[Phy]:[Phy]],"B")</f>
        <v>0</v>
      </c>
      <c r="D109" s="128">
        <f>COUNTIFS(F6Results_2026[[Comb]:[Comb]],"PCM",F6Results_2026[[Phy]:[Phy]],"C")</f>
        <v>7</v>
      </c>
      <c r="E109" s="128">
        <f>COUNTIFS(F6Results_2026[[Comb]:[Comb]],"PCM",F6Results_2026[[Phy]:[Phy]],"D")</f>
        <v>7</v>
      </c>
      <c r="F109" s="128">
        <f>COUNTIFS(F6Results_2026[[Comb]:[Comb]],"PCM",F6Results_2026[[Phy]:[Phy]],"E")</f>
        <v>7</v>
      </c>
      <c r="G109" s="128">
        <f>COUNTIFS(F6Results_2026[[Comb]:[Comb]],"PCM",F6Results_2026[[Phy]:[Phy]],"S")</f>
        <v>2</v>
      </c>
      <c r="H109" s="128">
        <f>COUNTIFS(F6Results_2026[[Comb]:[Comb]],"PCM",F6Results_2026[[Phy]:[Phy]],"F")</f>
        <v>5</v>
      </c>
      <c r="I109" s="12">
        <f>SUM(B109:H109)</f>
        <v>28</v>
      </c>
      <c r="J109" s="223">
        <f>(((B109*5)+(C109*4)+(D109*3)+(E109*2)+(F109*1)+(G109*0.5)+(H109*0))/(I109*5))*100</f>
        <v>30.714285714285715</v>
      </c>
      <c r="K109" s="3" t="str">
        <f>IF(I109=0,"N/A",IF(J109&gt;=60,"✓ Within KPI","✗ Out of KPI"))</f>
        <v>✗ Out of KPI</v>
      </c>
      <c r="L109" s="18">
        <f t="array" ref="L109">IFERROR(((B109*1)+(C109*2)+(D109*3)+(E109*4)+(F109*5)+(G109:G109*6)+(H109*7))/(I109),"N/A")</f>
        <v>4.6785714285714288</v>
      </c>
      <c r="M109" s="188" t="str">
        <f>IF(OR(L109="N/A",ISNA(L109)),"N/A",IF(ISBLANK(L109),"",IF(L109="","",IF(L109&lt;=1.4999,"A-EXCELLENT",IF(L109&lt;=1.9999,"B-VERY GOOD",IF(L109&lt;=2.9999,"C-GOOD",IF(L109&lt;=3.9999,"D-AVERAGE",IF(L109&lt;=4.9999,"E-SATISFACTORY",IF(L109&lt;=5.4999,"S-SUBSIDIARY",IF(L109&lt;=6,"F-FAIL",""))))))))))</f>
        <v>E-SATISFACTORY</v>
      </c>
      <c r="N109" s="15"/>
    </row>
    <row r="110" spans="1:14" ht="16.95" customHeight="1" thickBot="1" x14ac:dyDescent="0.35">
      <c r="A110" s="11" t="s">
        <v>361</v>
      </c>
      <c r="B110" s="128">
        <f>COUNTIFS(F6Results_2026[[Comb]:[Comb]],"PCM",F6Results_2026[[Chem]:[Chem]],"A")</f>
        <v>0</v>
      </c>
      <c r="C110" s="128">
        <f>COUNTIFS(F6Results_2026[[Comb]:[Comb]],"PCM",F6Results_2026[[Chem]:[Chem]],"B")</f>
        <v>0</v>
      </c>
      <c r="D110" s="128">
        <f>COUNTIFS(F6Results_2026[[Comb]:[Comb]],"PCM",F6Results_2026[[Chem]:[Chem]],"C")</f>
        <v>17</v>
      </c>
      <c r="E110" s="128">
        <f>COUNTIFS(F6Results_2026[[Comb]:[Comb]],"PCM",F6Results_2026[[Chem]:[Chem]],"D")</f>
        <v>5</v>
      </c>
      <c r="F110" s="128">
        <f>COUNTIFS(F6Results_2026[[Comb]:[Comb]],"PCM",F6Results_2026[[Chem]:[Chem]],"E")</f>
        <v>1</v>
      </c>
      <c r="G110" s="128">
        <f>COUNTIFS(F6Results_2026[[Comb]:[Comb]],"PCM",F6Results_2026[[Chem]:[Chem]],"S")</f>
        <v>0</v>
      </c>
      <c r="H110" s="128">
        <f>COUNTIFS(F6Results_2026[[Comb]:[Comb]],"PCM",F6Results_2026[[Chem]:[Chem]],"F")</f>
        <v>5</v>
      </c>
      <c r="I110" s="12">
        <f>SUM(B110:H110)</f>
        <v>28</v>
      </c>
      <c r="J110" s="223">
        <f>(((B110*5)+(C110*4)+(D110*3)+(E110*2)+(F110*1)+(G110*0.5)+(H110*0))/(I110*5))*100</f>
        <v>44.285714285714285</v>
      </c>
      <c r="K110" s="3" t="str">
        <f>IF(I110=0,"N/A",IF(J110&gt;=60,"✓ Within KPI","✗ Out of KPI"))</f>
        <v>✗ Out of KPI</v>
      </c>
      <c r="L110" s="18">
        <f t="array" ref="L110">IFERROR(((B110*1)+(C110*2)+(D110*3)+(E110*4)+(F110*5)+(G110:G110*6)+(H110*7))/(I110),"N/A")</f>
        <v>3.9642857142857144</v>
      </c>
      <c r="M110" s="188" t="str">
        <f>IF(OR(L110="N/A",ISNA(L110)),"N/A",IF(ISBLANK(L110),"",IF(L110="","",IF(L110&lt;=1.4999,"A-EXCELLENT",IF(L110&lt;=1.9999,"B-VERY GOOD",IF(L110&lt;=2.9999,"C-GOOD",IF(L110&lt;=3.9999,"D-AVERAGE",IF(L110&lt;=4.9999,"E-SATISFACTORY",IF(L110&lt;=5.4999,"S-SUBSIDIARY",IF(L110&lt;=6,"F-FAIL",""))))))))))</f>
        <v>D-AVERAGE</v>
      </c>
      <c r="N110" s="13"/>
    </row>
    <row r="111" spans="1:14" ht="16.95" customHeight="1" thickBot="1" x14ac:dyDescent="0.35">
      <c r="A111" s="14" t="s">
        <v>381</v>
      </c>
      <c r="B111" s="128">
        <f>COUNTIFS(F6Results_2026[[Comb]:[Comb]],"PCM",F6Results_2026[[Adv_Math]:[Adv_Math]],"A")</f>
        <v>0</v>
      </c>
      <c r="C111" s="128">
        <f>COUNTIFS(F6Results_2026[[Comb]:[Comb]],"PCM",F6Results_2026[[Adv_Math]:[Adv_Math]],"B")</f>
        <v>0</v>
      </c>
      <c r="D111" s="128">
        <f>COUNTIFS(F6Results_2026[[Comb]:[Comb]],"PCM",F6Results_2026[[Adv_Math]:[Adv_Math]],"C")</f>
        <v>5</v>
      </c>
      <c r="E111" s="128">
        <f>COUNTIFS(F6Results_2026[[Comb]:[Comb]],"PCM",F6Results_2026[[Adv_Math]:[Adv_Math]],"D")</f>
        <v>9</v>
      </c>
      <c r="F111" s="128">
        <f>COUNTIFS(F6Results_2026[[Comb]:[Comb]],"PCM",F6Results_2026[[Adv_Math]:[Adv_Math]],"E")</f>
        <v>7</v>
      </c>
      <c r="G111" s="128">
        <f>COUNTIFS(F6Results_2026[[Comb]:[Comb]],"PCM",F6Results_2026[[Adv_Math]:[Adv_Math]],"S")</f>
        <v>2</v>
      </c>
      <c r="H111" s="128">
        <f>COUNTIFS(F6Results_2026[[Comb]:[Comb]],"PCM",F6Results_2026[[Adv_Math]:[Adv_Math]],"F")</f>
        <v>5</v>
      </c>
      <c r="I111" s="12">
        <f>SUM(B111:H111)</f>
        <v>28</v>
      </c>
      <c r="J111" s="223">
        <f>(((B111*5)+(C111*4)+(D111*3)+(E111*2)+(F111*1)+(G111*0.5)+(H111*0))/(I111*5))*100</f>
        <v>29.285714285714288</v>
      </c>
      <c r="K111" s="3" t="str">
        <f>IF(I111=0,"N/A",IF(J111&gt;=60,"✓ Within KPI","✗ Out of KPI"))</f>
        <v>✗ Out of KPI</v>
      </c>
      <c r="L111" s="18">
        <f t="array" ref="L111">IFERROR(((B111*1)+(C111*2)+(D111*3)+(E111*4)+(F111*5)+(G111:G111*6)+(H111*7))/(I111),"N/A")</f>
        <v>4.75</v>
      </c>
      <c r="M111" s="188" t="str">
        <f>IF(OR(L111="N/A",ISNA(L111)),"N/A",IF(ISBLANK(L111),"",IF(L111="","",IF(L111&lt;=1.4999,"A-EXCELLENT",IF(L111&lt;=1.9999,"B-VERY GOOD",IF(L111&lt;=2.9999,"C-GOOD",IF(L111&lt;=3.9999,"D-AVERAGE",IF(L111&lt;=4.9999,"E-SATISFACTORY",IF(L111&lt;=5.4999,"S-SUBSIDIARY",IF(L111&lt;=6,"F-FAIL",""))))))))))</f>
        <v>E-SATISFACTORY</v>
      </c>
      <c r="N111" s="15"/>
    </row>
    <row r="112" spans="1:14" x14ac:dyDescent="0.3">
      <c r="M112" s="149" t="str">
        <f>IF(OR(L112="N/A",ISNA(L112)),"N/A",IF(ISBLANK(L112),"",IF(L112="","",IF(L112&lt;=1.4999,"A-EXCELLENT",IF(L112&lt;=1.9999,"B-VERY GOOD",IF(L112&lt;=2.9999,"C-GOOD",IF(L112&lt;=3.9999,"D-AVERAGE",IF(L112&lt;=4.9999,"E-SATISFACTORY",IF(L112&lt;=5.4999,"S-SUBSIDIARY",IF(L112&lt;=6,"F-FAIL",""))))))))))</f>
        <v/>
      </c>
    </row>
    <row r="113" spans="1:14" x14ac:dyDescent="0.3">
      <c r="A113" s="414" t="s">
        <v>365</v>
      </c>
      <c r="B113" s="415"/>
      <c r="C113" s="415"/>
      <c r="D113" s="415"/>
      <c r="E113" s="415"/>
      <c r="F113" s="415"/>
      <c r="G113" s="415"/>
      <c r="H113" s="415"/>
      <c r="I113" s="415"/>
      <c r="J113" s="415"/>
      <c r="K113" s="415"/>
      <c r="L113" s="415"/>
      <c r="M113" s="415"/>
      <c r="N113" s="415"/>
    </row>
    <row r="114" spans="1:14" ht="18" customHeight="1" x14ac:dyDescent="0.3">
      <c r="A114" s="206" t="s">
        <v>357</v>
      </c>
      <c r="B114" s="206" t="s">
        <v>366</v>
      </c>
      <c r="C114" s="206" t="s">
        <v>367</v>
      </c>
      <c r="D114" s="206" t="s">
        <v>368</v>
      </c>
      <c r="E114" s="206" t="s">
        <v>369</v>
      </c>
      <c r="F114" s="206" t="s">
        <v>370</v>
      </c>
      <c r="G114" s="206" t="s">
        <v>371</v>
      </c>
      <c r="H114" s="206" t="s">
        <v>372</v>
      </c>
      <c r="I114" s="206" t="s">
        <v>373</v>
      </c>
      <c r="J114" s="206" t="s">
        <v>347</v>
      </c>
      <c r="K114" s="206" t="s">
        <v>348</v>
      </c>
      <c r="L114" s="206" t="s">
        <v>358</v>
      </c>
      <c r="M114" s="206" t="s">
        <v>0</v>
      </c>
      <c r="N114" s="10"/>
    </row>
    <row r="115" spans="1:14" ht="16.95" customHeight="1" x14ac:dyDescent="0.3">
      <c r="A115" s="142" t="s">
        <v>360</v>
      </c>
      <c r="B115" s="151">
        <f>B108/I108</f>
        <v>0</v>
      </c>
      <c r="C115" s="151">
        <f>C108/I108</f>
        <v>0</v>
      </c>
      <c r="D115" s="151">
        <f>D108/I108</f>
        <v>0</v>
      </c>
      <c r="E115" s="151">
        <f>E108/I108</f>
        <v>0.10714285714285714</v>
      </c>
      <c r="F115" s="151">
        <f>F108/I108</f>
        <v>0.6428571428571429</v>
      </c>
      <c r="G115" s="151">
        <f>G108/I108</f>
        <v>0.14285714285714285</v>
      </c>
      <c r="H115" s="151">
        <f>H108/I108</f>
        <v>0.10714285714285714</v>
      </c>
      <c r="I115" s="143">
        <f t="shared" ref="I115:J118" si="22">I108</f>
        <v>28</v>
      </c>
      <c r="J115" s="224">
        <f t="shared" si="22"/>
        <v>18.571428571428573</v>
      </c>
      <c r="K115" s="3" t="str">
        <f>IF(I115=0,"N/A",IF(J115&gt;=60,"✓ Within KPI","✗ Out of KPI"))</f>
        <v>✗ Out of KPI</v>
      </c>
      <c r="L115" s="144">
        <f t="shared" ref="L115:M118" si="23">L108</f>
        <v>5.25</v>
      </c>
      <c r="M115" s="145" t="str">
        <f t="shared" si="23"/>
        <v>S-SUBSIDIARY</v>
      </c>
      <c r="N115" s="152"/>
    </row>
    <row r="116" spans="1:14" ht="16.95" customHeight="1" x14ac:dyDescent="0.3">
      <c r="A116" s="147" t="s">
        <v>388</v>
      </c>
      <c r="B116" s="151">
        <f>B109/I109</f>
        <v>0</v>
      </c>
      <c r="C116" s="151">
        <f>C109/I109</f>
        <v>0</v>
      </c>
      <c r="D116" s="151">
        <f>D109/I109</f>
        <v>0.25</v>
      </c>
      <c r="E116" s="151">
        <f>E109/I109</f>
        <v>0.25</v>
      </c>
      <c r="F116" s="151">
        <f>F109/I109</f>
        <v>0.25</v>
      </c>
      <c r="G116" s="151">
        <f>G109/I109</f>
        <v>7.1428571428571425E-2</v>
      </c>
      <c r="H116" s="151">
        <f>H109/I109</f>
        <v>0.17857142857142858</v>
      </c>
      <c r="I116" s="143">
        <f t="shared" si="22"/>
        <v>28</v>
      </c>
      <c r="J116" s="224">
        <f t="shared" si="22"/>
        <v>30.714285714285715</v>
      </c>
      <c r="K116" s="3" t="str">
        <f>IF(I116=0,"N/A",IF(J116&gt;=60,"✓ Within KPI","✗ Out of KPI"))</f>
        <v>✗ Out of KPI</v>
      </c>
      <c r="L116" s="144">
        <f t="shared" si="23"/>
        <v>4.6785714285714288</v>
      </c>
      <c r="M116" s="145" t="str">
        <f t="shared" si="23"/>
        <v>E-SATISFACTORY</v>
      </c>
      <c r="N116" s="153"/>
    </row>
    <row r="117" spans="1:14" ht="16.95" customHeight="1" x14ac:dyDescent="0.3">
      <c r="A117" s="142" t="s">
        <v>361</v>
      </c>
      <c r="B117" s="151">
        <f>B110/I110</f>
        <v>0</v>
      </c>
      <c r="C117" s="151">
        <f>C110/I110</f>
        <v>0</v>
      </c>
      <c r="D117" s="151">
        <f>D110/I110</f>
        <v>0.6071428571428571</v>
      </c>
      <c r="E117" s="151">
        <f>E110/I110</f>
        <v>0.17857142857142858</v>
      </c>
      <c r="F117" s="151">
        <f>F110/I110</f>
        <v>3.5714285714285712E-2</v>
      </c>
      <c r="G117" s="151">
        <f>G110/I110</f>
        <v>0</v>
      </c>
      <c r="H117" s="151">
        <f>H110/I110</f>
        <v>0.17857142857142858</v>
      </c>
      <c r="I117" s="143">
        <f t="shared" si="22"/>
        <v>28</v>
      </c>
      <c r="J117" s="224">
        <f t="shared" si="22"/>
        <v>44.285714285714285</v>
      </c>
      <c r="K117" s="3" t="str">
        <f>IF(I117=0,"N/A",IF(J117&gt;=60,"✓ Within KPI","✗ Out of KPI"))</f>
        <v>✗ Out of KPI</v>
      </c>
      <c r="L117" s="144">
        <f t="shared" si="23"/>
        <v>3.9642857142857144</v>
      </c>
      <c r="M117" s="145" t="str">
        <f t="shared" si="23"/>
        <v>D-AVERAGE</v>
      </c>
      <c r="N117" s="152"/>
    </row>
    <row r="118" spans="1:14" ht="16.95" customHeight="1" x14ac:dyDescent="0.3">
      <c r="A118" s="147" t="s">
        <v>381</v>
      </c>
      <c r="B118" s="151">
        <f>B111/I111</f>
        <v>0</v>
      </c>
      <c r="C118" s="151">
        <f>C111/I111</f>
        <v>0</v>
      </c>
      <c r="D118" s="151">
        <f>D111/I111</f>
        <v>0.17857142857142858</v>
      </c>
      <c r="E118" s="151">
        <f>E111/I111</f>
        <v>0.32142857142857145</v>
      </c>
      <c r="F118" s="151">
        <f>F111/I111</f>
        <v>0.25</v>
      </c>
      <c r="G118" s="151">
        <f>G111/I111</f>
        <v>7.1428571428571425E-2</v>
      </c>
      <c r="H118" s="151">
        <f>H111/I111</f>
        <v>0.17857142857142858</v>
      </c>
      <c r="I118" s="143">
        <f t="shared" si="22"/>
        <v>28</v>
      </c>
      <c r="J118" s="224">
        <f t="shared" si="22"/>
        <v>29.285714285714288</v>
      </c>
      <c r="K118" s="3" t="str">
        <f>IF(I118=0,"N/A",IF(J118&gt;=60,"✓ Within KPI","✗ Out of KPI"))</f>
        <v>✗ Out of KPI</v>
      </c>
      <c r="L118" s="144">
        <f t="shared" si="23"/>
        <v>4.75</v>
      </c>
      <c r="M118" s="145" t="str">
        <f t="shared" si="23"/>
        <v>E-SATISFACTORY</v>
      </c>
      <c r="N118" s="153"/>
    </row>
    <row r="119" spans="1:14" ht="16.95" customHeight="1" x14ac:dyDescent="0.3">
      <c r="A119" s="207" t="s">
        <v>781</v>
      </c>
      <c r="B119" s="199">
        <f t="shared" ref="B119:J119" si="24">AVERAGE(B115:B118)</f>
        <v>0</v>
      </c>
      <c r="C119" s="199">
        <f t="shared" si="24"/>
        <v>0</v>
      </c>
      <c r="D119" s="199">
        <f t="shared" si="24"/>
        <v>0.2589285714285714</v>
      </c>
      <c r="E119" s="199">
        <f t="shared" si="24"/>
        <v>0.2142857142857143</v>
      </c>
      <c r="F119" s="199">
        <f t="shared" si="24"/>
        <v>0.29464285714285715</v>
      </c>
      <c r="G119" s="199">
        <f t="shared" si="24"/>
        <v>7.1428571428571425E-2</v>
      </c>
      <c r="H119" s="199">
        <f t="shared" si="24"/>
        <v>0.16071428571428573</v>
      </c>
      <c r="I119" s="194">
        <f t="shared" si="24"/>
        <v>28</v>
      </c>
      <c r="J119" s="200">
        <f t="shared" si="24"/>
        <v>30.714285714285719</v>
      </c>
      <c r="K119" s="195" t="str">
        <f>IF(I119=0,"N/A",IF(J119&gt;=60,"✓ Within KPI","✗ Out of KPI"))</f>
        <v>✗ Out of KPI</v>
      </c>
      <c r="L119" s="200">
        <f>AVERAGE(L115:L118)</f>
        <v>4.6607142857142856</v>
      </c>
      <c r="M119" s="185" t="str">
        <f>IF(OR(L119="N/A",ISNA(L119)),"N/A",IF(ISBLANK(L119),"",IF(L119="","",IF(L119&lt;=1.4999,"A-EXCELLENT",IF(L119&lt;=1.9999,"B-VERY GOOD",IF(L119&lt;=2.9999,"C-GOOD",IF(L119&lt;=3.9999,"D-AVERAGE",IF(L119&lt;=4.9999,"E-SATISFACTORY",IF(L119&lt;=5.4999,"S-SUBSIDIARY",IF(L119&lt;=6,"F-FAIL",""))))))))))</f>
        <v>E-SATISFACTORY</v>
      </c>
      <c r="N119" s="148"/>
    </row>
    <row r="121" spans="1:14" ht="22.05" customHeight="1" x14ac:dyDescent="0.3">
      <c r="A121" s="417" t="s">
        <v>390</v>
      </c>
      <c r="B121" s="415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415"/>
      <c r="N121" s="415"/>
    </row>
    <row r="122" spans="1:14" x14ac:dyDescent="0.3">
      <c r="A122" s="416" t="s">
        <v>356</v>
      </c>
      <c r="B122" s="415"/>
      <c r="C122" s="415"/>
      <c r="D122" s="415"/>
      <c r="E122" s="415"/>
      <c r="F122" s="415"/>
      <c r="G122" s="415"/>
      <c r="H122" s="415"/>
      <c r="I122" s="415"/>
      <c r="J122" s="415"/>
      <c r="K122" s="415"/>
      <c r="L122" s="415"/>
      <c r="M122" s="415"/>
      <c r="N122" s="415"/>
    </row>
    <row r="123" spans="1:14" ht="18" customHeight="1" x14ac:dyDescent="0.3">
      <c r="A123" s="206" t="s">
        <v>357</v>
      </c>
      <c r="B123" s="206" t="s">
        <v>2</v>
      </c>
      <c r="C123" s="206" t="s">
        <v>3</v>
      </c>
      <c r="D123" s="206" t="s">
        <v>4</v>
      </c>
      <c r="E123" s="206" t="s">
        <v>5</v>
      </c>
      <c r="F123" s="206" t="s">
        <v>6</v>
      </c>
      <c r="G123" s="206" t="s">
        <v>7</v>
      </c>
      <c r="H123" s="206" t="s">
        <v>8</v>
      </c>
      <c r="I123" s="206" t="s">
        <v>344</v>
      </c>
      <c r="J123" s="206" t="s">
        <v>347</v>
      </c>
      <c r="K123" s="206" t="s">
        <v>348</v>
      </c>
      <c r="L123" s="206" t="s">
        <v>358</v>
      </c>
      <c r="M123" s="206" t="s">
        <v>0</v>
      </c>
      <c r="N123" s="135"/>
    </row>
    <row r="124" spans="1:14" ht="16.95" customHeight="1" x14ac:dyDescent="0.3">
      <c r="A124" s="142" t="s">
        <v>360</v>
      </c>
      <c r="B124" s="128">
        <f>COUNTIFS(F6Results_2026[[Comb]:[Comb]],"PMCs",F6Results_2026[[Gs]:[Gs]],"A")</f>
        <v>0</v>
      </c>
      <c r="C124" s="128">
        <f>COUNTIFS(F6Results_2026[[Comb]:[Comb]],"PMCs",F6Results_2026[[Gs]:[Gs]],"B")</f>
        <v>0</v>
      </c>
      <c r="D124" s="128">
        <f>COUNTIFS(F6Results_2026[[Comb]:[Comb]],"PMCs",F6Results_2026[[Gs]:[Gs]],"C")</f>
        <v>0</v>
      </c>
      <c r="E124" s="128">
        <f>COUNTIFS(F6Results_2026[[Comb]:[Comb]],"PMCs",F6Results_2026[[Gs]:[Gs]],"D")</f>
        <v>1</v>
      </c>
      <c r="F124" s="128">
        <f>COUNTIFS(F6Results_2026[[Comb]:[Comb]],"PMCs",F6Results_2026[[Gs]:[Gs]],"E")</f>
        <v>5</v>
      </c>
      <c r="G124" s="128">
        <f>COUNTIFS(F6Results_2026[[Comb]:[Comb]],"PMCs",F6Results_2026[[Gs]:[Gs]],"S")</f>
        <v>0</v>
      </c>
      <c r="H124" s="128">
        <f>COUNTIFS(F6Results_2026[[Comb]:[Comb]],"PMCs",F6Results_2026[[Gs]:[Gs]],"F")</f>
        <v>1</v>
      </c>
      <c r="I124" s="143">
        <f>SUM(B124:H124)</f>
        <v>7</v>
      </c>
      <c r="J124" s="224">
        <f>(((B124*5)+(C124*4)+(D124*3)+(E124*2)+(F124*1)+(H124*0.5)+(G124*0))/(I124*5))*100</f>
        <v>21.428571428571427</v>
      </c>
      <c r="K124" s="3" t="str">
        <f>IF(I124=0,"N/A",IF(J124&gt;=60,"✓ Within KPI","✗ Out of KPI"))</f>
        <v>✗ Out of KPI</v>
      </c>
      <c r="L124" s="144">
        <f t="array" ref="L124">IFERROR(((B124*1)+(C124*2)+(D124*3)+(E124*4)+(F124*5)+(G124:G124*6)+(H124*7))/(I124),"N/A")</f>
        <v>5.1428571428571432</v>
      </c>
      <c r="M124" s="145" t="str">
        <f>IF(OR(L124="N/A",ISNA(L124)),"N/A",IF(ISBLANK(L124),"",IF(L124="","",IF(L124&lt;=1.4999,"A-EXCELLENT",IF(L124&lt;=1.9999,"B-VERY GOOD",IF(L124&lt;=2.9999,"C-GOOD",IF(L124&lt;=3.9999,"D-AVERAGE",IF(L124&lt;=4.9999,"E-SATISFACTORY",IF(L124&lt;=5.4999,"S-SUBSIDIARY",IF(L124&lt;=6,"F-FAIL",""))))))))))</f>
        <v>S-SUBSIDIARY</v>
      </c>
      <c r="N124" s="152"/>
    </row>
    <row r="125" spans="1:14" ht="16.95" customHeight="1" x14ac:dyDescent="0.3">
      <c r="A125" s="147" t="s">
        <v>388</v>
      </c>
      <c r="B125" s="128">
        <f>COUNTIFS(F6Results_2026[[Comb]:[Comb]],"PMCs",F6Results_2026[[Phy]:[Phy]],"A")</f>
        <v>0</v>
      </c>
      <c r="C125" s="128">
        <f>COUNTIFS(F6Results_2026[[Comb]:[Comb]],"PMCs",F6Results_2026[[Phy]:[Phy]],"B")</f>
        <v>0</v>
      </c>
      <c r="D125" s="128">
        <f>COUNTIFS(F6Results_2026[[Comb]:[Comb]],"PMCs",F6Results_2026[[Phy]:[Phy]],"C")</f>
        <v>0</v>
      </c>
      <c r="E125" s="128">
        <f>COUNTIFS(F6Results_2026[[Comb]:[Comb]],"PMCs",F6Results_2026[[Phy]:[Phy]],"D")</f>
        <v>1</v>
      </c>
      <c r="F125" s="128">
        <f>COUNTIFS(F6Results_2026[[Comb]:[Comb]],"PMCs",F6Results_2026[[Phy]:[Phy]],"E")</f>
        <v>3</v>
      </c>
      <c r="G125" s="128">
        <f>COUNTIFS(F6Results_2026[[Comb]:[Comb]],"PMCs",F6Results_2026[[Phy]:[Phy]],"S")</f>
        <v>1</v>
      </c>
      <c r="H125" s="128">
        <f>COUNTIFS(F6Results_2026[[Comb]:[Comb]],"PMCs",F6Results_2026[[Phy]:[Phy]],"F")</f>
        <v>2</v>
      </c>
      <c r="I125" s="143">
        <f>SUM(B125:H125)</f>
        <v>7</v>
      </c>
      <c r="J125" s="224">
        <f>(((B125*5)+(C125*4)+(D125*3)+(E125*2)+(F125*1)+(H125*0.5)+(G125*0))/(I125*5))*100</f>
        <v>17.142857142857142</v>
      </c>
      <c r="K125" s="3" t="str">
        <f>IF(I125=0,"N/A",IF(J125&gt;=60,"✓ Within KPI","✗ Out of KPI"))</f>
        <v>✗ Out of KPI</v>
      </c>
      <c r="L125" s="144">
        <f t="array" ref="L125">IFERROR(((B125*1)+(C125*2)+(D125*3)+(E125*4)+(F125*5)+(G125:G125*6)+(H125*7))/(I125),"N/A")</f>
        <v>5.5714285714285712</v>
      </c>
      <c r="M125" s="145" t="str">
        <f>IF(OR(L125="N/A",ISNA(L125)),"N/A",IF(ISBLANK(L125),"",IF(L125="","",IF(L125&lt;=1.4999,"A-EXCELLENT",IF(L125&lt;=1.9999,"B-VERY GOOD",IF(L125&lt;=2.9999,"C-GOOD",IF(L125&lt;=3.9999,"D-AVERAGE",IF(L125&lt;=4.9999,"E-SATISFACTORY",IF(L125&lt;=5.4999,"S-SUBSIDIARY",IF(L125&lt;=6,"F-FAIL",""))))))))))</f>
        <v>F-FAIL</v>
      </c>
      <c r="N125" s="153"/>
    </row>
    <row r="126" spans="1:14" ht="16.95" customHeight="1" x14ac:dyDescent="0.3">
      <c r="A126" s="142" t="s">
        <v>381</v>
      </c>
      <c r="B126" s="128">
        <f>COUNTIFS(F6Results_2026[[Comb]:[Comb]],"PMCs",F6Results_2026[[Adv_Math]:[Adv_Math]],"A")</f>
        <v>0</v>
      </c>
      <c r="C126" s="128">
        <f>COUNTIFS(F6Results_2026[[Comb]:[Comb]],"PMCs",F6Results_2026[[Adv_Math]:[Adv_Math]],"B")</f>
        <v>0</v>
      </c>
      <c r="D126" s="128">
        <f>COUNTIFS(F6Results_2026[[Comb]:[Comb]],"PMCs",F6Results_2026[[Adv_Math]:[Adv_Math]],"C")</f>
        <v>2</v>
      </c>
      <c r="E126" s="128">
        <f>COUNTIFS(F6Results_2026[[Comb]:[Comb]],"PMCs",F6Results_2026[[Adv_Math]:[Adv_Math]],"D")</f>
        <v>1</v>
      </c>
      <c r="F126" s="128">
        <f>COUNTIFS(F6Results_2026[[Comb]:[Comb]],"PMCs",F6Results_2026[[Adv_Math]:[Adv_Math]],"E")</f>
        <v>2</v>
      </c>
      <c r="G126" s="128">
        <f>COUNTIFS(F6Results_2026[[Comb]:[Comb]],"PMCs",F6Results_2026[[Adv_Math]:[Adv_Math]],"S")</f>
        <v>1</v>
      </c>
      <c r="H126" s="128">
        <f>COUNTIFS(F6Results_2026[[Comb]:[Comb]],"PMCs",F6Results_2026[[Adv_Math]:[Adv_Math]],"F")</f>
        <v>1</v>
      </c>
      <c r="I126" s="143">
        <f>SUM(B126:H126)</f>
        <v>7</v>
      </c>
      <c r="J126" s="224">
        <f>(((B126*5)+(C126*4)+(D126*3)+(E126*2)+(F126*1)+(H126*0.5)+(G126*0))/(I126*5))*100</f>
        <v>30</v>
      </c>
      <c r="K126" s="3" t="str">
        <f>IF(I126=0,"N/A",IF(J126&gt;=60,"✓ Within KPI","✗ Out of KPI"))</f>
        <v>✗ Out of KPI</v>
      </c>
      <c r="L126" s="144">
        <f t="array" ref="L126">IFERROR(((B126*1)+(C126*2)+(D126*3)+(E126*4)+(F126*5)+(G126:G126*6)+(H126*7))/(I126),"N/A")</f>
        <v>4.7142857142857144</v>
      </c>
      <c r="M126" s="145" t="str">
        <f>IF(OR(L126="N/A",ISNA(L126)),"N/A",IF(ISBLANK(L126),"",IF(L126="","",IF(L126&lt;=1.4999,"A-EXCELLENT",IF(L126&lt;=1.9999,"B-VERY GOOD",IF(L126&lt;=2.9999,"C-GOOD",IF(L126&lt;=3.9999,"D-AVERAGE",IF(L126&lt;=4.9999,"E-SATISFACTORY",IF(L126&lt;=5.4999,"S-SUBSIDIARY",IF(L126&lt;=6,"F-FAIL",""))))))))))</f>
        <v>E-SATISFACTORY</v>
      </c>
      <c r="N126" s="153"/>
    </row>
    <row r="127" spans="1:14" ht="16.95" customHeight="1" x14ac:dyDescent="0.3">
      <c r="A127" s="208" t="s">
        <v>391</v>
      </c>
      <c r="B127" s="193">
        <f>COUNTIFS(F6Results_2026[[Comb]:[Comb]],"PMCs",F6Results_2026[[Comp_Sci]:[Comp_Sci]],"A")</f>
        <v>0</v>
      </c>
      <c r="C127" s="193">
        <f>COUNTIFS(F6Results_2026[[Comb]:[Comb]],"PMCs",F6Results_2026[[Comp_Sci]:[Comp_Sci]],"B")</f>
        <v>0</v>
      </c>
      <c r="D127" s="193">
        <f>COUNTIFS(F6Results_2026[[Comb]:[Comb]],"PMCs",F6Results_2026[[Comp_Sci]:[Comp_Sci]],"C")</f>
        <v>3</v>
      </c>
      <c r="E127" s="193">
        <f>COUNTIFS(F6Results_2026[[Comb]:[Comb]],"PMCs",F6Results_2026[[Comp_Sci]:[Comp_Sci]],"D")</f>
        <v>3</v>
      </c>
      <c r="F127" s="193">
        <f>COUNTIFS(F6Results_2026[[Comb]:[Comb]],"PMCs",F6Results_2026[[Comp_Sci]:[Comp_Sci]],"E")</f>
        <v>0</v>
      </c>
      <c r="G127" s="193">
        <f>COUNTIFS(F6Results_2026[[Comb]:[Comb]],"PMCs",F6Results_2026[[Comp_Sci]:[Comp_Sci]],"S")</f>
        <v>0</v>
      </c>
      <c r="H127" s="193">
        <f>COUNTIFS(F6Results_2026[[Comb]:[Comb]],"PMCs",F6Results_2026[[Comp_Sci]:[Comp_Sci]],"F")</f>
        <v>1</v>
      </c>
      <c r="I127" s="194">
        <f>SUM(B127:H127)</f>
        <v>7</v>
      </c>
      <c r="J127" s="226">
        <f>(((B127*5)+(C127*4)+(D127*3)+(E127*2)+(F127*1)+(H127*0.5)+(G127*0))/(I127*5))*100</f>
        <v>44.285714285714285</v>
      </c>
      <c r="K127" s="195" t="str">
        <f>IF(I127=0,"N/A",IF(J127&gt;=60,"✓ Within KPI","✗ Out of KPI"))</f>
        <v>✗ Out of KPI</v>
      </c>
      <c r="L127" s="196">
        <f t="array" ref="L127">IFERROR(((B127*1)+(C127*2)+(D127*3)+(E127*4)+(F127*5)+(G127:G127*6)+(H127*7))/(I127),"N/A")</f>
        <v>4</v>
      </c>
      <c r="M127" s="185" t="str">
        <f>IF(OR(L127="N/A",ISNA(L127)),"N/A",IF(ISBLANK(L127),"",IF(L127="","",IF(L127&lt;=1.4999,"A-EXCELLENT",IF(L127&lt;=1.9999,"B-VERY GOOD",IF(L127&lt;=2.9999,"C-GOOD",IF(L127&lt;=3.9999,"D-AVERAGE",IF(L127&lt;=4.9999,"E-SATISFACTORY",IF(L127&lt;=5.4999,"S-SUBSIDIARY",IF(L127&lt;=6,"F-FAIL",""))))))))))</f>
        <v>E-SATISFACTORY</v>
      </c>
      <c r="N127" s="153"/>
    </row>
    <row r="129" spans="1:14" x14ac:dyDescent="0.3">
      <c r="A129" s="414" t="s">
        <v>365</v>
      </c>
      <c r="B129" s="415"/>
      <c r="C129" s="415"/>
      <c r="D129" s="415"/>
      <c r="E129" s="415"/>
      <c r="F129" s="415"/>
      <c r="G129" s="415"/>
      <c r="H129" s="415"/>
      <c r="I129" s="415"/>
      <c r="J129" s="415"/>
      <c r="K129" s="415"/>
      <c r="L129" s="415"/>
      <c r="M129" s="415"/>
      <c r="N129" s="415"/>
    </row>
    <row r="130" spans="1:14" ht="18" customHeight="1" x14ac:dyDescent="0.3">
      <c r="A130" s="206" t="s">
        <v>357</v>
      </c>
      <c r="B130" s="206" t="s">
        <v>366</v>
      </c>
      <c r="C130" s="206" t="s">
        <v>367</v>
      </c>
      <c r="D130" s="206" t="s">
        <v>368</v>
      </c>
      <c r="E130" s="206" t="s">
        <v>369</v>
      </c>
      <c r="F130" s="206" t="s">
        <v>370</v>
      </c>
      <c r="G130" s="206" t="s">
        <v>371</v>
      </c>
      <c r="H130" s="206" t="s">
        <v>372</v>
      </c>
      <c r="I130" s="206" t="s">
        <v>373</v>
      </c>
      <c r="J130" s="206" t="s">
        <v>347</v>
      </c>
      <c r="K130" s="206" t="s">
        <v>348</v>
      </c>
      <c r="L130" s="206" t="s">
        <v>358</v>
      </c>
      <c r="M130" s="204" t="s">
        <v>0</v>
      </c>
      <c r="N130" s="10"/>
    </row>
    <row r="131" spans="1:14" ht="16.95" customHeight="1" x14ac:dyDescent="0.3">
      <c r="A131" s="142" t="s">
        <v>360</v>
      </c>
      <c r="B131" s="151">
        <f>B124/I124</f>
        <v>0</v>
      </c>
      <c r="C131" s="151">
        <f>C124/I124</f>
        <v>0</v>
      </c>
      <c r="D131" s="151">
        <f>D124/I124</f>
        <v>0</v>
      </c>
      <c r="E131" s="151">
        <f>E124/I124</f>
        <v>0.14285714285714285</v>
      </c>
      <c r="F131" s="151">
        <f>F124/I124</f>
        <v>0.7142857142857143</v>
      </c>
      <c r="G131" s="151">
        <f>G124/I124</f>
        <v>0</v>
      </c>
      <c r="H131" s="151">
        <f>H124/I124</f>
        <v>0.14285714285714285</v>
      </c>
      <c r="I131" s="143">
        <f t="shared" ref="I131:J134" si="25">I124</f>
        <v>7</v>
      </c>
      <c r="J131" s="224">
        <f t="shared" si="25"/>
        <v>21.428571428571427</v>
      </c>
      <c r="K131" s="3" t="str">
        <f>IF(I131=0,"N/A",IF(J131&gt;=60,"✓ Within KPI","✗ Out of KPI"))</f>
        <v>✗ Out of KPI</v>
      </c>
      <c r="L131" s="144">
        <f>L124</f>
        <v>5.1428571428571432</v>
      </c>
      <c r="M131" s="145" t="str">
        <f>IF(OR(L131="N/A",ISNA(L131)),"N/A",IF(ISBLANK(L131),"",IF(L131="","",IF(L131&lt;=1.4999,"A-EXCELLENT",IF(L131&lt;=1.9999,"B-VERY GOOD",IF(L131&lt;=2.9999,"C-GOOD",IF(L131&lt;=3.9999,"D-AVERAGE",IF(L131&lt;=4.9999,"E-SATISFACTORY",IF(L131&lt;=5.4999,"S-SUBSIDIARY",IF(L131&lt;=6,"F-FAIL",""))))))))))</f>
        <v>S-SUBSIDIARY</v>
      </c>
      <c r="N131" s="13"/>
    </row>
    <row r="132" spans="1:14" ht="16.95" customHeight="1" x14ac:dyDescent="0.3">
      <c r="A132" s="147" t="s">
        <v>388</v>
      </c>
      <c r="B132" s="151">
        <f>B125/I125</f>
        <v>0</v>
      </c>
      <c r="C132" s="151">
        <f>C125/I125</f>
        <v>0</v>
      </c>
      <c r="D132" s="151">
        <f>D125/I125</f>
        <v>0</v>
      </c>
      <c r="E132" s="151">
        <f>E125/I125</f>
        <v>0.14285714285714285</v>
      </c>
      <c r="F132" s="151">
        <f>F125/I125</f>
        <v>0.42857142857142855</v>
      </c>
      <c r="G132" s="151">
        <f>G125/I125</f>
        <v>0.14285714285714285</v>
      </c>
      <c r="H132" s="151">
        <f>H125/I125</f>
        <v>0.2857142857142857</v>
      </c>
      <c r="I132" s="143">
        <f t="shared" si="25"/>
        <v>7</v>
      </c>
      <c r="J132" s="224">
        <f t="shared" si="25"/>
        <v>17.142857142857142</v>
      </c>
      <c r="K132" s="3" t="str">
        <f>IF(I132=0,"N/A",IF(J132&gt;=60,"✓ Within KPI","✗ Out of KPI"))</f>
        <v>✗ Out of KPI</v>
      </c>
      <c r="L132" s="144">
        <f>L125</f>
        <v>5.5714285714285712</v>
      </c>
      <c r="M132" s="145" t="str">
        <f>IF(OR(L132="N/A",ISNA(L132)),"N/A",IF(ISBLANK(L132),"",IF(L132="","",IF(L132&lt;=1.4999,"A-EXCELLENT",IF(L132&lt;=1.9999,"B-VERY GOOD",IF(L132&lt;=2.9999,"C-GOOD",IF(L132&lt;=3.9999,"D-AVERAGE",IF(L132&lt;=4.9999,"E-SATISFACTORY",IF(L132&lt;=5.4999,"S-SUBSIDIARY",IF(L132&lt;=6,"F-FAIL",""))))))))))</f>
        <v>F-FAIL</v>
      </c>
      <c r="N132" s="15"/>
    </row>
    <row r="133" spans="1:14" ht="16.95" customHeight="1" x14ac:dyDescent="0.3">
      <c r="A133" s="142" t="s">
        <v>381</v>
      </c>
      <c r="B133" s="151">
        <f>B126/I126</f>
        <v>0</v>
      </c>
      <c r="C133" s="151">
        <f>C126/I126</f>
        <v>0</v>
      </c>
      <c r="D133" s="151">
        <f>D126/I126</f>
        <v>0.2857142857142857</v>
      </c>
      <c r="E133" s="151">
        <f>E126/I126</f>
        <v>0.14285714285714285</v>
      </c>
      <c r="F133" s="151">
        <f>F126/I126</f>
        <v>0.2857142857142857</v>
      </c>
      <c r="G133" s="151">
        <f>G126/I126</f>
        <v>0.14285714285714285</v>
      </c>
      <c r="H133" s="151">
        <f>H126/I126</f>
        <v>0.14285714285714285</v>
      </c>
      <c r="I133" s="143">
        <f t="shared" si="25"/>
        <v>7</v>
      </c>
      <c r="J133" s="224">
        <f t="shared" si="25"/>
        <v>30</v>
      </c>
      <c r="K133" s="3" t="str">
        <f>IF(I133=0,"N/A",IF(J133&gt;=60,"✓ Within KPI","✗ Out of KPI"))</f>
        <v>✗ Out of KPI</v>
      </c>
      <c r="L133" s="144">
        <f>L126</f>
        <v>4.7142857142857144</v>
      </c>
      <c r="M133" s="145" t="str">
        <f>IF(OR(L133="N/A",ISNA(L133)),"N/A",IF(ISBLANK(L133),"",IF(L133="","",IF(L133&lt;=1.4999,"A-EXCELLENT",IF(L133&lt;=1.9999,"B-VERY GOOD",IF(L133&lt;=2.9999,"C-GOOD",IF(L133&lt;=3.9999,"D-AVERAGE",IF(L133&lt;=4.9999,"E-SATISFACTORY",IF(L133&lt;=5.4999,"S-SUBSIDIARY",IF(L133&lt;=6,"F-FAIL",""))))))))))</f>
        <v>E-SATISFACTORY</v>
      </c>
      <c r="N133" s="13"/>
    </row>
    <row r="134" spans="1:14" ht="16.95" customHeight="1" x14ac:dyDescent="0.3">
      <c r="A134" s="147" t="s">
        <v>391</v>
      </c>
      <c r="B134" s="151">
        <f>B127/I127</f>
        <v>0</v>
      </c>
      <c r="C134" s="151">
        <f>C127/I127</f>
        <v>0</v>
      </c>
      <c r="D134" s="151">
        <f>D127/I127</f>
        <v>0.42857142857142855</v>
      </c>
      <c r="E134" s="151">
        <f>E127/I127</f>
        <v>0.42857142857142855</v>
      </c>
      <c r="F134" s="151">
        <f>F127/I127</f>
        <v>0</v>
      </c>
      <c r="G134" s="151">
        <f>G127/I127</f>
        <v>0</v>
      </c>
      <c r="H134" s="151">
        <f>H127/I127</f>
        <v>0.14285714285714285</v>
      </c>
      <c r="I134" s="143">
        <f t="shared" si="25"/>
        <v>7</v>
      </c>
      <c r="J134" s="224">
        <f t="shared" si="25"/>
        <v>44.285714285714285</v>
      </c>
      <c r="K134" s="3" t="str">
        <f>IF(I134=0,"N/A",IF(J134&gt;=60,"✓ Within KPI","✗ Out of KPI"))</f>
        <v>✗ Out of KPI</v>
      </c>
      <c r="L134" s="144">
        <f>L127</f>
        <v>4</v>
      </c>
      <c r="M134" s="145" t="str">
        <f>IF(OR(L134="N/A",ISNA(L134)),"N/A",IF(ISBLANK(L134),"",IF(L134="","",IF(L134&lt;=1.4999,"A-EXCELLENT",IF(L134&lt;=1.9999,"B-VERY GOOD",IF(L134&lt;=2.9999,"C-GOOD",IF(L134&lt;=3.9999,"D-AVERAGE",IF(L134&lt;=4.9999,"E-SATISFACTORY",IF(L134&lt;=5.4999,"S-SUBSIDIARY",IF(L134&lt;=6,"F-FAIL",""))))))))))</f>
        <v>E-SATISFACTORY</v>
      </c>
      <c r="N134" s="15"/>
    </row>
    <row r="135" spans="1:14" ht="16.95" customHeight="1" x14ac:dyDescent="0.3">
      <c r="A135" s="207" t="s">
        <v>781</v>
      </c>
      <c r="B135" s="199">
        <f t="shared" ref="B135:J135" si="26">AVERAGE(B131:B134)</f>
        <v>0</v>
      </c>
      <c r="C135" s="199">
        <f t="shared" si="26"/>
        <v>0</v>
      </c>
      <c r="D135" s="199">
        <f t="shared" si="26"/>
        <v>0.17857142857142855</v>
      </c>
      <c r="E135" s="199">
        <f t="shared" si="26"/>
        <v>0.21428571428571427</v>
      </c>
      <c r="F135" s="199">
        <f t="shared" si="26"/>
        <v>0.3571428571428571</v>
      </c>
      <c r="G135" s="199">
        <f t="shared" si="26"/>
        <v>7.1428571428571425E-2</v>
      </c>
      <c r="H135" s="199">
        <f t="shared" si="26"/>
        <v>0.17857142857142855</v>
      </c>
      <c r="I135" s="194">
        <f t="shared" si="26"/>
        <v>7</v>
      </c>
      <c r="J135" s="200">
        <f t="shared" si="26"/>
        <v>28.214285714285715</v>
      </c>
      <c r="K135" s="195" t="str">
        <f>IF(I135=0,"N/A",IF(J135&gt;=60,"✓ Within KPI","✗ Out of KPI"))</f>
        <v>✗ Out of KPI</v>
      </c>
      <c r="L135" s="200">
        <f>AVERAGE(L131:L134)</f>
        <v>4.8571428571428577</v>
      </c>
      <c r="M135" s="185" t="str">
        <f>IF(OR(L135="N/A",ISNA(L135)),"N/A",IF(ISBLANK(L135),"",IF(L135="","",IF(L135&lt;=1.4999,"A-EXCELLENT",IF(L135&lt;=1.9999,"B-VERY GOOD",IF(L135&lt;=2.9999,"C-GOOD",IF(L135&lt;=3.9999,"D-AVERAGE",IF(L135&lt;=4.9999,"E-SATISFACTORY",IF(L135&lt;=5.4999,"S-SUBSIDIARY",IF(L135&lt;=6,"F-FAIL",""))))))))))</f>
        <v>E-SATISFACTORY</v>
      </c>
      <c r="N135" s="148"/>
    </row>
    <row r="137" spans="1:14" ht="25.95" customHeight="1" x14ac:dyDescent="0.3">
      <c r="A137" s="419" t="s">
        <v>392</v>
      </c>
      <c r="B137" s="415"/>
      <c r="C137" s="415"/>
      <c r="D137" s="415"/>
      <c r="E137" s="415"/>
      <c r="F137" s="415"/>
      <c r="G137" s="415"/>
      <c r="H137" s="415"/>
      <c r="I137" s="415"/>
      <c r="J137" s="415"/>
      <c r="K137" s="415"/>
      <c r="L137" s="415"/>
      <c r="M137" s="415"/>
      <c r="N137" s="415"/>
    </row>
    <row r="138" spans="1:14" ht="18" customHeight="1" x14ac:dyDescent="0.3">
      <c r="A138" s="150" t="s">
        <v>393</v>
      </c>
      <c r="B138" s="150" t="s">
        <v>374</v>
      </c>
      <c r="C138" s="154" t="s">
        <v>345</v>
      </c>
      <c r="D138" s="154" t="s">
        <v>346</v>
      </c>
      <c r="E138" s="150" t="s">
        <v>347</v>
      </c>
      <c r="F138" s="150"/>
      <c r="G138" s="154"/>
      <c r="H138" s="150"/>
      <c r="I138" s="150"/>
      <c r="J138" s="150"/>
      <c r="K138" s="150"/>
      <c r="L138" s="150"/>
      <c r="N138" s="10"/>
    </row>
    <row r="139" spans="1:14" ht="18" customHeight="1" x14ac:dyDescent="0.3">
      <c r="A139" s="142" t="s">
        <v>395</v>
      </c>
      <c r="B139" s="4">
        <f>COUNTIF(F6Results_2026[Comb],"CBA")</f>
        <v>17</v>
      </c>
      <c r="C139" s="227" t="e">
        <f>#REF!</f>
        <v>#REF!</v>
      </c>
      <c r="D139" s="145" t="e">
        <f t="shared" ref="D139:D146" si="27">IF(OR(C139="N/A",ISNA(C139)),"N/A",IF(ISBLANK(C139),"",IF(C139="","",IF(C139&lt;=1.4999,"A-EXCELLENT",IF(C139&lt;=2.4999,"B-VERY GOOD",IF(C139&lt;=3.4999,"C-GOOD",IF(C139&lt;=4.4999,"D-AVERAGE",IF(C139&lt;=5.4999,"E-SATISFACTORY",IF(C139&lt;=6.4999,"S-SUBSIDIARY",IF(C139&gt;6.4999,"F-FAIL",""))))))))))</f>
        <v>#REF!</v>
      </c>
      <c r="E139" s="224" t="e">
        <f>#REF!</f>
        <v>#REF!</v>
      </c>
      <c r="F139" s="155"/>
      <c r="G139" s="227"/>
      <c r="H139" s="156"/>
      <c r="I139" s="146"/>
      <c r="J139" s="146"/>
      <c r="K139" s="146"/>
      <c r="L139" s="146"/>
      <c r="N139" s="13"/>
    </row>
    <row r="140" spans="1:14" ht="18" customHeight="1" x14ac:dyDescent="0.3">
      <c r="A140" s="147" t="s">
        <v>396</v>
      </c>
      <c r="B140" s="7">
        <f>COUNTIFS(F6Results_2026[Comb],"ECA")</f>
        <v>13</v>
      </c>
      <c r="C140" s="227" t="e">
        <f>#REF!</f>
        <v>#REF!</v>
      </c>
      <c r="D140" s="145" t="e">
        <f t="shared" si="27"/>
        <v>#REF!</v>
      </c>
      <c r="E140" s="224" t="e">
        <f>#REF!</f>
        <v>#REF!</v>
      </c>
      <c r="F140" s="156"/>
      <c r="G140" s="227"/>
      <c r="H140" s="157"/>
      <c r="I140" s="158"/>
      <c r="J140" s="158"/>
      <c r="K140" s="158"/>
      <c r="L140" s="158"/>
      <c r="N140" s="15"/>
    </row>
    <row r="141" spans="1:14" ht="18" customHeight="1" x14ac:dyDescent="0.3">
      <c r="A141" s="142" t="s">
        <v>397</v>
      </c>
      <c r="B141" s="4">
        <f>COUNTIFS(F6Results_2026[Comb],"EGM")</f>
        <v>27</v>
      </c>
      <c r="C141" s="227" t="e">
        <f>#REF!</f>
        <v>#REF!</v>
      </c>
      <c r="D141" s="145" t="e">
        <f t="shared" si="27"/>
        <v>#REF!</v>
      </c>
      <c r="E141" s="224" t="e">
        <f>#REF!</f>
        <v>#REF!</v>
      </c>
      <c r="F141" s="155"/>
      <c r="G141" s="227"/>
      <c r="H141" s="156"/>
      <c r="I141" s="146"/>
      <c r="J141" s="146"/>
      <c r="K141" s="146"/>
      <c r="L141" s="146"/>
      <c r="N141" s="13"/>
    </row>
    <row r="142" spans="1:14" ht="18" customHeight="1" x14ac:dyDescent="0.3">
      <c r="A142" s="147" t="s">
        <v>398</v>
      </c>
      <c r="B142" s="7">
        <f>COUNTIFS(F6Results_2026[Comb],"HGK")</f>
        <v>29</v>
      </c>
      <c r="C142" s="227" t="e">
        <f>#REF!</f>
        <v>#REF!</v>
      </c>
      <c r="D142" s="145" t="e">
        <f t="shared" si="27"/>
        <v>#REF!</v>
      </c>
      <c r="E142" s="224" t="e">
        <f>#REF!</f>
        <v>#REF!</v>
      </c>
      <c r="F142" s="155"/>
      <c r="G142" s="227"/>
      <c r="H142" s="159"/>
      <c r="I142" s="158"/>
      <c r="J142" s="158"/>
      <c r="K142" s="158"/>
      <c r="L142" s="158"/>
      <c r="N142" s="15"/>
    </row>
    <row r="143" spans="1:14" ht="18" customHeight="1" x14ac:dyDescent="0.3">
      <c r="A143" s="142" t="s">
        <v>399</v>
      </c>
      <c r="B143" s="4">
        <f>COUNTIFS(F6Results_2026[Comb],"HGL")</f>
        <v>24</v>
      </c>
      <c r="C143" s="227" t="e">
        <f>#REF!</f>
        <v>#REF!</v>
      </c>
      <c r="D143" s="145" t="e">
        <f t="shared" si="27"/>
        <v>#REF!</v>
      </c>
      <c r="E143" s="224" t="e">
        <f>#REF!</f>
        <v>#REF!</v>
      </c>
      <c r="F143" s="155"/>
      <c r="G143" s="227"/>
      <c r="H143" s="159"/>
      <c r="I143" s="146"/>
      <c r="J143" s="146"/>
      <c r="K143" s="146"/>
      <c r="L143" s="146"/>
      <c r="N143" s="13"/>
    </row>
    <row r="144" spans="1:14" ht="18" customHeight="1" x14ac:dyDescent="0.3">
      <c r="A144" s="147" t="s">
        <v>400</v>
      </c>
      <c r="B144" s="7">
        <f>COUNTIFS(F6Results_2026[Comb],"PCB")</f>
        <v>45</v>
      </c>
      <c r="C144" s="227" t="e">
        <f>#REF!</f>
        <v>#REF!</v>
      </c>
      <c r="D144" s="145" t="e">
        <f t="shared" si="27"/>
        <v>#REF!</v>
      </c>
      <c r="E144" s="224" t="e">
        <f>#REF!</f>
        <v>#REF!</v>
      </c>
      <c r="F144" s="159"/>
      <c r="G144" s="227"/>
      <c r="H144" s="157"/>
      <c r="I144" s="158"/>
      <c r="J144" s="158"/>
      <c r="K144" s="158"/>
      <c r="L144" s="158"/>
      <c r="N144" s="15"/>
    </row>
    <row r="145" spans="1:14" ht="18" customHeight="1" x14ac:dyDescent="0.3">
      <c r="A145" s="142" t="s">
        <v>401</v>
      </c>
      <c r="B145" s="4">
        <f>COUNTIFS(F6Results_2026[Comb],"PCM")</f>
        <v>28</v>
      </c>
      <c r="C145" s="227" t="e">
        <f>#REF!</f>
        <v>#REF!</v>
      </c>
      <c r="D145" s="145" t="e">
        <f t="shared" si="27"/>
        <v>#REF!</v>
      </c>
      <c r="E145" s="224" t="e">
        <f>#REF!</f>
        <v>#REF!</v>
      </c>
      <c r="F145" s="155"/>
      <c r="G145" s="227"/>
      <c r="H145" s="156"/>
      <c r="I145" s="146"/>
      <c r="J145" s="146"/>
      <c r="K145" s="146"/>
      <c r="L145" s="146"/>
      <c r="N145" s="13"/>
    </row>
    <row r="146" spans="1:14" ht="18" customHeight="1" x14ac:dyDescent="0.3">
      <c r="A146" s="147" t="s">
        <v>402</v>
      </c>
      <c r="B146" s="7">
        <f>COUNTIFS(F6Results_2026[Comb],"PMCs")</f>
        <v>7</v>
      </c>
      <c r="C146" s="227" t="e">
        <f>#REF!</f>
        <v>#REF!</v>
      </c>
      <c r="D146" s="145" t="e">
        <f t="shared" si="27"/>
        <v>#REF!</v>
      </c>
      <c r="E146" s="224" t="e">
        <f>#REF!</f>
        <v>#REF!</v>
      </c>
      <c r="F146" s="159"/>
      <c r="G146" s="227"/>
      <c r="H146" s="157"/>
      <c r="I146" s="158"/>
      <c r="J146" s="158"/>
      <c r="K146" s="158"/>
      <c r="L146" s="158"/>
      <c r="N146" s="15"/>
    </row>
  </sheetData>
  <mergeCells count="26">
    <mergeCell ref="A121:N121"/>
    <mergeCell ref="A137:N137"/>
    <mergeCell ref="A56:N56"/>
    <mergeCell ref="A3:N3"/>
    <mergeCell ref="A105:N105"/>
    <mergeCell ref="A55:N55"/>
    <mergeCell ref="A12:N12"/>
    <mergeCell ref="A21:N21"/>
    <mergeCell ref="A113:N113"/>
    <mergeCell ref="A71:N71"/>
    <mergeCell ref="A129:N129"/>
    <mergeCell ref="A47:N47"/>
    <mergeCell ref="A106:N106"/>
    <mergeCell ref="A122:N122"/>
    <mergeCell ref="A22:N22"/>
    <mergeCell ref="A4:N4"/>
    <mergeCell ref="A96:N96"/>
    <mergeCell ref="A40:N40"/>
    <mergeCell ref="A39:N39"/>
    <mergeCell ref="A30:N30"/>
    <mergeCell ref="A1:N1"/>
    <mergeCell ref="A88:N88"/>
    <mergeCell ref="A79:N79"/>
    <mergeCell ref="A87:N87"/>
    <mergeCell ref="A72:N72"/>
    <mergeCell ref="A63:N63"/>
  </mergeCells>
  <conditionalFormatting sqref="C2:C5 C11:C13 C20:C23 M20:M23 C29:C31 C38:C41 M38:M41 C46:C48 M47:M48 C54:C57 M54:M57 C62:C64 M62:M64 C70:C73 M70:M73 C78:C80 M78:M80 C86:C89 M86:M89 C95:C97 C104:C107 M104:M107 C112:C114 C120:C123 M120:M123 C128:C130 M136:M137 C136:C146 E138">
    <cfRule type="cellIs" dxfId="230" priority="887" operator="equal">
      <formula>"A"</formula>
    </cfRule>
    <cfRule type="cellIs" dxfId="229" priority="888" operator="equal">
      <formula>"B"</formula>
    </cfRule>
    <cfRule type="cellIs" dxfId="228" priority="889" operator="equal">
      <formula>"C"</formula>
    </cfRule>
    <cfRule type="cellIs" dxfId="227" priority="890" operator="equal">
      <formula>"D"</formula>
    </cfRule>
    <cfRule type="cellIs" dxfId="226" priority="891" operator="equal">
      <formula>"E"</formula>
    </cfRule>
    <cfRule type="cellIs" dxfId="225" priority="892" operator="equal">
      <formula>"S"</formula>
    </cfRule>
    <cfRule type="cellIs" dxfId="224" priority="893" operator="equal">
      <formula>"F"</formula>
    </cfRule>
  </conditionalFormatting>
  <conditionalFormatting sqref="D139:D146">
    <cfRule type="cellIs" dxfId="223" priority="17" operator="equal">
      <formula>"E-SATISFACTORY"</formula>
    </cfRule>
    <cfRule type="cellIs" dxfId="222" priority="18" operator="equal">
      <formula>"S-SUBSIDIARY"</formula>
    </cfRule>
    <cfRule type="cellIs" dxfId="221" priority="19" operator="equal">
      <formula>"F-FAIL"</formula>
    </cfRule>
    <cfRule type="cellIs" dxfId="220" priority="20" operator="equal">
      <formula>"D-AVERAGE"</formula>
    </cfRule>
    <cfRule type="cellIs" dxfId="219" priority="21" operator="equal">
      <formula>"C-GOOD"</formula>
    </cfRule>
    <cfRule type="cellIs" dxfId="218" priority="22" operator="equal">
      <formula>"A-EXCELLENT"</formula>
    </cfRule>
    <cfRule type="cellIs" dxfId="217" priority="23" operator="equal">
      <formula>"B-VERY GOOD"</formula>
    </cfRule>
  </conditionalFormatting>
  <conditionalFormatting sqref="E139:E146">
    <cfRule type="expression" dxfId="216" priority="15">
      <formula>AND(E139&gt;=60,D139&gt;0)</formula>
    </cfRule>
    <cfRule type="expression" dxfId="215" priority="16">
      <formula>AND(E139&lt;60,D139&gt;0)</formula>
    </cfRule>
  </conditionalFormatting>
  <conditionalFormatting sqref="J6:J10">
    <cfRule type="expression" dxfId="214" priority="1">
      <formula>AND(J6&gt;=60,I6&gt;0)</formula>
    </cfRule>
    <cfRule type="expression" dxfId="213" priority="2">
      <formula>AND(J6&lt;60,I6&gt;0)</formula>
    </cfRule>
  </conditionalFormatting>
  <conditionalFormatting sqref="J14:J18">
    <cfRule type="expression" dxfId="212" priority="647">
      <formula>AND(J14&gt;=60,I14&gt;0)</formula>
    </cfRule>
    <cfRule type="expression" dxfId="211" priority="648">
      <formula>AND(J14&lt;60,I14&gt;0)</formula>
    </cfRule>
  </conditionalFormatting>
  <conditionalFormatting sqref="J24:J28">
    <cfRule type="expression" dxfId="210" priority="3">
      <formula>AND(J24&gt;=60,I24&gt;0)</formula>
    </cfRule>
    <cfRule type="expression" dxfId="209" priority="4">
      <formula>AND(J24&lt;60,I24&gt;0)</formula>
    </cfRule>
  </conditionalFormatting>
  <conditionalFormatting sqref="J32:J36">
    <cfRule type="expression" dxfId="208" priority="636">
      <formula>AND(J32&gt;=60,I32&gt;0)</formula>
    </cfRule>
    <cfRule type="expression" dxfId="207" priority="637">
      <formula>AND(J32&lt;60,I32&gt;0)</formula>
    </cfRule>
  </conditionalFormatting>
  <conditionalFormatting sqref="J42:J45">
    <cfRule type="expression" dxfId="206" priority="5">
      <formula>AND(J42&gt;=60,I42&gt;0)</formula>
    </cfRule>
    <cfRule type="expression" dxfId="205" priority="6">
      <formula>AND(J42&lt;60,I42&gt;0)</formula>
    </cfRule>
  </conditionalFormatting>
  <conditionalFormatting sqref="J49:J52">
    <cfRule type="expression" dxfId="204" priority="548">
      <formula>AND(J49&gt;=60,I49&gt;0)</formula>
    </cfRule>
    <cfRule type="expression" dxfId="203" priority="549">
      <formula>AND(J49&lt;60,I49&gt;0)</formula>
    </cfRule>
  </conditionalFormatting>
  <conditionalFormatting sqref="J58:J61">
    <cfRule type="expression" dxfId="202" priority="7">
      <formula>AND(J58&gt;=60,I58&gt;0)</formula>
    </cfRule>
    <cfRule type="expression" dxfId="201" priority="8">
      <formula>AND(J58&lt;60,I58&gt;0)</formula>
    </cfRule>
  </conditionalFormatting>
  <conditionalFormatting sqref="J65:J68">
    <cfRule type="expression" dxfId="200" priority="581">
      <formula>AND(J65&gt;=60,I65&gt;0)</formula>
    </cfRule>
    <cfRule type="expression" dxfId="199" priority="582">
      <formula>AND(J65&lt;60,I65&gt;0)</formula>
    </cfRule>
  </conditionalFormatting>
  <conditionalFormatting sqref="J74:J78">
    <cfRule type="expression" dxfId="198" priority="9">
      <formula>AND(J74&gt;=60,I74&gt;0)</formula>
    </cfRule>
    <cfRule type="expression" dxfId="197" priority="10">
      <formula>AND(J74&lt;60,I74&gt;0)</formula>
    </cfRule>
  </conditionalFormatting>
  <conditionalFormatting sqref="J81:J85">
    <cfRule type="expression" dxfId="196" priority="11">
      <formula>AND(J81&gt;=60,I81&gt;0)</formula>
    </cfRule>
    <cfRule type="expression" dxfId="195" priority="12">
      <formula>AND(J81&lt;60,I81&gt;0)</formula>
    </cfRule>
  </conditionalFormatting>
  <conditionalFormatting sqref="J90:J94">
    <cfRule type="expression" dxfId="194" priority="13">
      <formula>AND(J90&gt;=60,I90&gt;0)</formula>
    </cfRule>
    <cfRule type="expression" dxfId="193" priority="14">
      <formula>AND(J90&lt;60,I90&gt;0)</formula>
    </cfRule>
  </conditionalFormatting>
  <conditionalFormatting sqref="J98:J102">
    <cfRule type="expression" dxfId="192" priority="603">
      <formula>AND(J98&gt;=60,I98&gt;0)</formula>
    </cfRule>
    <cfRule type="expression" dxfId="191" priority="604">
      <formula>AND(J98&lt;60,I98&gt;0)</formula>
    </cfRule>
  </conditionalFormatting>
  <conditionalFormatting sqref="J108:J111">
    <cfRule type="expression" dxfId="190" priority="878">
      <formula>AND(J108&gt;=60,I108&gt;0)</formula>
    </cfRule>
    <cfRule type="expression" dxfId="189" priority="879">
      <formula>AND(J108&lt;60,I108&gt;0)</formula>
    </cfRule>
  </conditionalFormatting>
  <conditionalFormatting sqref="J115:J118">
    <cfRule type="expression" dxfId="188" priority="537">
      <formula>AND(J115&gt;=60,I115&gt;0)</formula>
    </cfRule>
    <cfRule type="expression" dxfId="187" priority="538">
      <formula>AND(J115&lt;60,I115&gt;0)</formula>
    </cfRule>
  </conditionalFormatting>
  <conditionalFormatting sqref="J124:J127">
    <cfRule type="expression" dxfId="186" priority="724">
      <formula>AND(J124&gt;=60,I124&gt;0)</formula>
    </cfRule>
    <cfRule type="expression" dxfId="185" priority="725">
      <formula>AND(J124&lt;60,I124&gt;0)</formula>
    </cfRule>
  </conditionalFormatting>
  <conditionalFormatting sqref="J131:J134">
    <cfRule type="expression" dxfId="184" priority="493">
      <formula>AND(J131&gt;=60,I131&gt;0)</formula>
    </cfRule>
    <cfRule type="expression" dxfId="183" priority="494">
      <formula>AND(J131&lt;60,I131&gt;0)</formula>
    </cfRule>
  </conditionalFormatting>
  <conditionalFormatting sqref="K6:K10">
    <cfRule type="expression" dxfId="182" priority="700">
      <formula>J6&gt;=60</formula>
    </cfRule>
    <cfRule type="expression" dxfId="181" priority="701">
      <formula>AND(J6&lt;60,I6&gt;0)</formula>
    </cfRule>
  </conditionalFormatting>
  <conditionalFormatting sqref="K14:K19">
    <cfRule type="expression" dxfId="180" priority="52">
      <formula>J14&gt;=60</formula>
    </cfRule>
    <cfRule type="expression" dxfId="179" priority="53">
      <formula>AND(J14&lt;60,I14&gt;0)</formula>
    </cfRule>
  </conditionalFormatting>
  <conditionalFormatting sqref="K24:K28">
    <cfRule type="expression" dxfId="178" priority="821">
      <formula>J24&gt;=60</formula>
    </cfRule>
    <cfRule type="expression" dxfId="177" priority="822">
      <formula>AND(J24&lt;60,I24&gt;0)</formula>
    </cfRule>
  </conditionalFormatting>
  <conditionalFormatting sqref="K32:K37">
    <cfRule type="expression" dxfId="176" priority="61">
      <formula>J32&gt;=60</formula>
    </cfRule>
    <cfRule type="expression" dxfId="175" priority="62">
      <formula>AND(J32&lt;60,I32&gt;0)</formula>
    </cfRule>
  </conditionalFormatting>
  <conditionalFormatting sqref="K42:K45">
    <cfRule type="expression" dxfId="174" priority="689">
      <formula>J42&gt;=60</formula>
    </cfRule>
    <cfRule type="expression" dxfId="173" priority="690">
      <formula>AND(J42&lt;60,I42&gt;0)</formula>
    </cfRule>
  </conditionalFormatting>
  <conditionalFormatting sqref="K49:K53">
    <cfRule type="expression" dxfId="172" priority="70">
      <formula>J49&gt;=60</formula>
    </cfRule>
    <cfRule type="expression" dxfId="171" priority="71">
      <formula>AND(J49&lt;60,I49&gt;0)</formula>
    </cfRule>
  </conditionalFormatting>
  <conditionalFormatting sqref="K58:K61">
    <cfRule type="expression" dxfId="170" priority="843">
      <formula>J58&gt;=60</formula>
    </cfRule>
    <cfRule type="expression" dxfId="169" priority="844">
      <formula>AND(J58&lt;60,I58&gt;0)</formula>
    </cfRule>
  </conditionalFormatting>
  <conditionalFormatting sqref="K65:K69">
    <cfRule type="expression" dxfId="168" priority="79">
      <formula>J65&gt;=60</formula>
    </cfRule>
    <cfRule type="expression" dxfId="167" priority="80">
      <formula>AND(J65&lt;60,I65&gt;0)</formula>
    </cfRule>
  </conditionalFormatting>
  <conditionalFormatting sqref="K74:K78">
    <cfRule type="expression" dxfId="166" priority="854">
      <formula>J74&gt;=60</formula>
    </cfRule>
    <cfRule type="expression" dxfId="165" priority="855">
      <formula>AND(J74&lt;60,I74&gt;0)</formula>
    </cfRule>
  </conditionalFormatting>
  <conditionalFormatting sqref="K81:K85">
    <cfRule type="expression" dxfId="164" priority="88">
      <formula>J81&gt;=60</formula>
    </cfRule>
    <cfRule type="expression" dxfId="163" priority="89">
      <formula>AND(J81&lt;60,I81&gt;0)</formula>
    </cfRule>
  </conditionalFormatting>
  <conditionalFormatting sqref="K90:K94">
    <cfRule type="expression" dxfId="162" priority="766">
      <formula>J90&gt;=60</formula>
    </cfRule>
    <cfRule type="expression" dxfId="161" priority="767">
      <formula>AND(J90&lt;60,I90&gt;0)</formula>
    </cfRule>
  </conditionalFormatting>
  <conditionalFormatting sqref="K98:K103">
    <cfRule type="expression" dxfId="160" priority="97">
      <formula>J98&gt;=60</formula>
    </cfRule>
    <cfRule type="expression" dxfId="159" priority="98">
      <formula>AND(J98&lt;60,I98&gt;0)</formula>
    </cfRule>
  </conditionalFormatting>
  <conditionalFormatting sqref="K108:K111">
    <cfRule type="expression" dxfId="158" priority="876">
      <formula>J108&gt;=60</formula>
    </cfRule>
    <cfRule type="expression" dxfId="157" priority="877">
      <formula>AND(J108&lt;60,I108&gt;0)</formula>
    </cfRule>
  </conditionalFormatting>
  <conditionalFormatting sqref="K115:K119">
    <cfRule type="expression" dxfId="156" priority="106">
      <formula>J115&gt;=60</formula>
    </cfRule>
    <cfRule type="expression" dxfId="155" priority="107">
      <formula>AND(J115&lt;60,I115&gt;0)</formula>
    </cfRule>
  </conditionalFormatting>
  <conditionalFormatting sqref="K124:K127">
    <cfRule type="expression" dxfId="154" priority="416">
      <formula>J124&gt;=60</formula>
    </cfRule>
    <cfRule type="expression" dxfId="153" priority="417">
      <formula>AND(J124&lt;60,I124&gt;0)</formula>
    </cfRule>
  </conditionalFormatting>
  <conditionalFormatting sqref="K131:K135">
    <cfRule type="expression" dxfId="152" priority="476">
      <formula>J131&gt;=60</formula>
    </cfRule>
    <cfRule type="expression" dxfId="151" priority="477">
      <formula>AND(J131&lt;60,I131&gt;0)</formula>
    </cfRule>
  </conditionalFormatting>
  <conditionalFormatting sqref="M2:M5 M11:M13 M29:M31 M95:M97 M113:M114 M128:M130">
    <cfRule type="cellIs" dxfId="150" priority="880" operator="equal">
      <formula>"A"</formula>
    </cfRule>
    <cfRule type="cellIs" dxfId="149" priority="881" operator="equal">
      <formula>"B"</formula>
    </cfRule>
    <cfRule type="cellIs" dxfId="148" priority="882" operator="equal">
      <formula>"C"</formula>
    </cfRule>
    <cfRule type="cellIs" dxfId="147" priority="883" operator="equal">
      <formula>"D"</formula>
    </cfRule>
    <cfRule type="cellIs" dxfId="146" priority="884" operator="equal">
      <formula>"E"</formula>
    </cfRule>
    <cfRule type="cellIs" dxfId="145" priority="885" operator="equal">
      <formula>"S"</formula>
    </cfRule>
    <cfRule type="cellIs" dxfId="144" priority="886" operator="equal">
      <formula>"F"</formula>
    </cfRule>
  </conditionalFormatting>
  <conditionalFormatting sqref="M6:M10">
    <cfRule type="cellIs" dxfId="143" priority="693" operator="equal">
      <formula>"E-SATISFACTORY"</formula>
    </cfRule>
    <cfRule type="cellIs" dxfId="142" priority="694" operator="equal">
      <formula>"S-SUBSIDIARY"</formula>
    </cfRule>
    <cfRule type="cellIs" dxfId="141" priority="695" operator="equal">
      <formula>"F-FAIL"</formula>
    </cfRule>
    <cfRule type="cellIs" dxfId="140" priority="696" operator="equal">
      <formula>"D-AVERAGE"</formula>
    </cfRule>
    <cfRule type="cellIs" dxfId="139" priority="697" operator="equal">
      <formula>"C-GOOD"</formula>
    </cfRule>
    <cfRule type="cellIs" dxfId="138" priority="698" operator="equal">
      <formula>"A-EXCELLENT"</formula>
    </cfRule>
    <cfRule type="cellIs" dxfId="137" priority="699" operator="equal">
      <formula>"B-VERY GOOD"</formula>
    </cfRule>
  </conditionalFormatting>
  <conditionalFormatting sqref="M14:M19">
    <cfRule type="cellIs" dxfId="136" priority="45" operator="equal">
      <formula>"E-SATISFACTORY"</formula>
    </cfRule>
    <cfRule type="cellIs" dxfId="135" priority="46" operator="equal">
      <formula>"S-SUBSIDIARY"</formula>
    </cfRule>
    <cfRule type="cellIs" dxfId="134" priority="47" operator="equal">
      <formula>"F-FAIL"</formula>
    </cfRule>
    <cfRule type="cellIs" dxfId="133" priority="48" operator="equal">
      <formula>"D-AVERAGE"</formula>
    </cfRule>
    <cfRule type="cellIs" dxfId="132" priority="49" operator="equal">
      <formula>"C-GOOD"</formula>
    </cfRule>
    <cfRule type="cellIs" dxfId="131" priority="50" operator="equal">
      <formula>"A-EXCELLENT"</formula>
    </cfRule>
    <cfRule type="cellIs" dxfId="130" priority="51" operator="equal">
      <formula>"B-VERY GOOD"</formula>
    </cfRule>
  </conditionalFormatting>
  <conditionalFormatting sqref="M24:M28">
    <cfRule type="cellIs" dxfId="129" priority="814" operator="equal">
      <formula>"E-SATISFACTORY"</formula>
    </cfRule>
    <cfRule type="cellIs" dxfId="128" priority="815" operator="equal">
      <formula>"S-SUBSIDIARY"</formula>
    </cfRule>
    <cfRule type="cellIs" dxfId="127" priority="816" operator="equal">
      <formula>"F-FAIL"</formula>
    </cfRule>
    <cfRule type="cellIs" dxfId="126" priority="817" operator="equal">
      <formula>"D-AVERAGE"</formula>
    </cfRule>
    <cfRule type="cellIs" dxfId="125" priority="818" operator="equal">
      <formula>"C-GOOD"</formula>
    </cfRule>
    <cfRule type="cellIs" dxfId="124" priority="819" operator="equal">
      <formula>"A-EXCELLENT"</formula>
    </cfRule>
    <cfRule type="cellIs" dxfId="123" priority="820" operator="equal">
      <formula>"B-VERY GOOD"</formula>
    </cfRule>
  </conditionalFormatting>
  <conditionalFormatting sqref="M32:M37">
    <cfRule type="cellIs" dxfId="122" priority="54" operator="equal">
      <formula>"E-SATISFACTORY"</formula>
    </cfRule>
    <cfRule type="cellIs" dxfId="121" priority="55" operator="equal">
      <formula>"S-SUBSIDIARY"</formula>
    </cfRule>
    <cfRule type="cellIs" dxfId="120" priority="56" operator="equal">
      <formula>"F-FAIL"</formula>
    </cfRule>
    <cfRule type="cellIs" dxfId="119" priority="57" operator="equal">
      <formula>"D-AVERAGE"</formula>
    </cfRule>
    <cfRule type="cellIs" dxfId="118" priority="58" operator="equal">
      <formula>"C-GOOD"</formula>
    </cfRule>
    <cfRule type="cellIs" dxfId="117" priority="59" operator="equal">
      <formula>"A-EXCELLENT"</formula>
    </cfRule>
    <cfRule type="cellIs" dxfId="116" priority="60" operator="equal">
      <formula>"B-VERY GOOD"</formula>
    </cfRule>
  </conditionalFormatting>
  <conditionalFormatting sqref="M42:M46">
    <cfRule type="cellIs" dxfId="115" priority="332" operator="equal">
      <formula>"E-SATISFACTORY"</formula>
    </cfRule>
    <cfRule type="cellIs" dxfId="114" priority="333" operator="equal">
      <formula>"S-SUBSIDIARY"</formula>
    </cfRule>
    <cfRule type="cellIs" dxfId="113" priority="334" operator="equal">
      <formula>"F-FAIL"</formula>
    </cfRule>
    <cfRule type="cellIs" dxfId="112" priority="335" operator="equal">
      <formula>"D-AVERAGE"</formula>
    </cfRule>
    <cfRule type="cellIs" dxfId="111" priority="336" operator="equal">
      <formula>"C-GOOD"</formula>
    </cfRule>
    <cfRule type="cellIs" dxfId="110" priority="337" operator="equal">
      <formula>"A-EXCELLENT"</formula>
    </cfRule>
    <cfRule type="cellIs" dxfId="109" priority="338" operator="equal">
      <formula>"B-VERY GOOD"</formula>
    </cfRule>
  </conditionalFormatting>
  <conditionalFormatting sqref="M49:M53">
    <cfRule type="cellIs" dxfId="108" priority="63" operator="equal">
      <formula>"E-SATISFACTORY"</formula>
    </cfRule>
    <cfRule type="cellIs" dxfId="107" priority="64" operator="equal">
      <formula>"S-SUBSIDIARY"</formula>
    </cfRule>
    <cfRule type="cellIs" dxfId="106" priority="65" operator="equal">
      <formula>"F-FAIL"</formula>
    </cfRule>
    <cfRule type="cellIs" dxfId="105" priority="66" operator="equal">
      <formula>"D-AVERAGE"</formula>
    </cfRule>
    <cfRule type="cellIs" dxfId="104" priority="67" operator="equal">
      <formula>"C-GOOD"</formula>
    </cfRule>
    <cfRule type="cellIs" dxfId="103" priority="68" operator="equal">
      <formula>"A-EXCELLENT"</formula>
    </cfRule>
    <cfRule type="cellIs" dxfId="102" priority="69" operator="equal">
      <formula>"B-VERY GOOD"</formula>
    </cfRule>
  </conditionalFormatting>
  <conditionalFormatting sqref="M58:M61">
    <cfRule type="cellIs" dxfId="101" priority="276" operator="equal">
      <formula>"E-SATISFACTORY"</formula>
    </cfRule>
    <cfRule type="cellIs" dxfId="100" priority="277" operator="equal">
      <formula>"S-SUBSIDIARY"</formula>
    </cfRule>
    <cfRule type="cellIs" dxfId="99" priority="278" operator="equal">
      <formula>"F-FAIL"</formula>
    </cfRule>
    <cfRule type="cellIs" dxfId="98" priority="279" operator="equal">
      <formula>"D-AVERAGE"</formula>
    </cfRule>
    <cfRule type="cellIs" dxfId="97" priority="280" operator="equal">
      <formula>"C-GOOD"</formula>
    </cfRule>
    <cfRule type="cellIs" dxfId="96" priority="281" operator="equal">
      <formula>"A-EXCELLENT"</formula>
    </cfRule>
    <cfRule type="cellIs" dxfId="95" priority="282" operator="equal">
      <formula>"B-VERY GOOD"</formula>
    </cfRule>
  </conditionalFormatting>
  <conditionalFormatting sqref="M65:M69">
    <cfRule type="cellIs" dxfId="94" priority="72" operator="equal">
      <formula>"E-SATISFACTORY"</formula>
    </cfRule>
    <cfRule type="cellIs" dxfId="93" priority="73" operator="equal">
      <formula>"S-SUBSIDIARY"</formula>
    </cfRule>
    <cfRule type="cellIs" dxfId="92" priority="74" operator="equal">
      <formula>"F-FAIL"</formula>
    </cfRule>
    <cfRule type="cellIs" dxfId="91" priority="75" operator="equal">
      <formula>"D-AVERAGE"</formula>
    </cfRule>
    <cfRule type="cellIs" dxfId="90" priority="76" operator="equal">
      <formula>"C-GOOD"</formula>
    </cfRule>
    <cfRule type="cellIs" dxfId="89" priority="77" operator="equal">
      <formula>"A-EXCELLENT"</formula>
    </cfRule>
    <cfRule type="cellIs" dxfId="88" priority="78" operator="equal">
      <formula>"B-VERY GOOD"</formula>
    </cfRule>
  </conditionalFormatting>
  <conditionalFormatting sqref="M74:M78">
    <cfRule type="cellIs" dxfId="87" priority="847" operator="equal">
      <formula>"E-SATISFACTORY"</formula>
    </cfRule>
    <cfRule type="cellIs" dxfId="86" priority="848" operator="equal">
      <formula>"S-SUBSIDIARY"</formula>
    </cfRule>
    <cfRule type="cellIs" dxfId="85" priority="849" operator="equal">
      <formula>"F-FAIL"</formula>
    </cfRule>
    <cfRule type="cellIs" dxfId="84" priority="850" operator="equal">
      <formula>"D-AVERAGE"</formula>
    </cfRule>
    <cfRule type="cellIs" dxfId="83" priority="851" operator="equal">
      <formula>"C-GOOD"</formula>
    </cfRule>
    <cfRule type="cellIs" dxfId="82" priority="852" operator="equal">
      <formula>"A-EXCELLENT"</formula>
    </cfRule>
    <cfRule type="cellIs" dxfId="81" priority="853" operator="equal">
      <formula>"B-VERY GOOD"</formula>
    </cfRule>
  </conditionalFormatting>
  <conditionalFormatting sqref="M81:M85">
    <cfRule type="cellIs" dxfId="80" priority="81" operator="equal">
      <formula>"E-SATISFACTORY"</formula>
    </cfRule>
    <cfRule type="cellIs" dxfId="79" priority="82" operator="equal">
      <formula>"S-SUBSIDIARY"</formula>
    </cfRule>
    <cfRule type="cellIs" dxfId="78" priority="83" operator="equal">
      <formula>"F-FAIL"</formula>
    </cfRule>
    <cfRule type="cellIs" dxfId="77" priority="84" operator="equal">
      <formula>"D-AVERAGE"</formula>
    </cfRule>
    <cfRule type="cellIs" dxfId="76" priority="85" operator="equal">
      <formula>"C-GOOD"</formula>
    </cfRule>
    <cfRule type="cellIs" dxfId="75" priority="86" operator="equal">
      <formula>"A-EXCELLENT"</formula>
    </cfRule>
    <cfRule type="cellIs" dxfId="74" priority="87" operator="equal">
      <formula>"B-VERY GOOD"</formula>
    </cfRule>
  </conditionalFormatting>
  <conditionalFormatting sqref="M90:M94">
    <cfRule type="cellIs" dxfId="73" priority="759" operator="equal">
      <formula>"E-SATISFACTORY"</formula>
    </cfRule>
    <cfRule type="cellIs" dxfId="72" priority="760" operator="equal">
      <formula>"S-SUBSIDIARY"</formula>
    </cfRule>
    <cfRule type="cellIs" dxfId="71" priority="761" operator="equal">
      <formula>"F-FAIL"</formula>
    </cfRule>
    <cfRule type="cellIs" dxfId="70" priority="762" operator="equal">
      <formula>"D-AVERAGE"</formula>
    </cfRule>
    <cfRule type="cellIs" dxfId="69" priority="763" operator="equal">
      <formula>"C-GOOD"</formula>
    </cfRule>
    <cfRule type="cellIs" dxfId="68" priority="764" operator="equal">
      <formula>"A-EXCELLENT"</formula>
    </cfRule>
    <cfRule type="cellIs" dxfId="67" priority="765" operator="equal">
      <formula>"B-VERY GOOD"</formula>
    </cfRule>
  </conditionalFormatting>
  <conditionalFormatting sqref="M98:M103">
    <cfRule type="cellIs" dxfId="66" priority="90" operator="equal">
      <formula>"E-SATISFACTORY"</formula>
    </cfRule>
    <cfRule type="cellIs" dxfId="65" priority="91" operator="equal">
      <formula>"S-SUBSIDIARY"</formula>
    </cfRule>
    <cfRule type="cellIs" dxfId="64" priority="92" operator="equal">
      <formula>"F-FAIL"</formula>
    </cfRule>
    <cfRule type="cellIs" dxfId="63" priority="93" operator="equal">
      <formula>"D-AVERAGE"</formula>
    </cfRule>
    <cfRule type="cellIs" dxfId="62" priority="94" operator="equal">
      <formula>"C-GOOD"</formula>
    </cfRule>
    <cfRule type="cellIs" dxfId="61" priority="95" operator="equal">
      <formula>"A-EXCELLENT"</formula>
    </cfRule>
    <cfRule type="cellIs" dxfId="60" priority="96" operator="equal">
      <formula>"B-VERY GOOD"</formula>
    </cfRule>
  </conditionalFormatting>
  <conditionalFormatting sqref="M108:M112">
    <cfRule type="cellIs" dxfId="59" priority="164" operator="equal">
      <formula>"E-SATISFACTORY"</formula>
    </cfRule>
    <cfRule type="cellIs" dxfId="58" priority="165" operator="equal">
      <formula>"S-SUBSIDIARY"</formula>
    </cfRule>
    <cfRule type="cellIs" dxfId="57" priority="166" operator="equal">
      <formula>"F-FAIL"</formula>
    </cfRule>
    <cfRule type="cellIs" dxfId="56" priority="167" operator="equal">
      <formula>"D-AVERAGE"</formula>
    </cfRule>
    <cfRule type="cellIs" dxfId="55" priority="168" operator="equal">
      <formula>"C-GOOD"</formula>
    </cfRule>
    <cfRule type="cellIs" dxfId="54" priority="169" operator="equal">
      <formula>"A-EXCELLENT"</formula>
    </cfRule>
    <cfRule type="cellIs" dxfId="53" priority="170" operator="equal">
      <formula>"B-VERY GOOD"</formula>
    </cfRule>
  </conditionalFormatting>
  <conditionalFormatting sqref="M115:M119">
    <cfRule type="cellIs" dxfId="52" priority="99" operator="equal">
      <formula>"E-SATISFACTORY"</formula>
    </cfRule>
    <cfRule type="cellIs" dxfId="51" priority="100" operator="equal">
      <formula>"S-SUBSIDIARY"</formula>
    </cfRule>
    <cfRule type="cellIs" dxfId="50" priority="101" operator="equal">
      <formula>"F-FAIL"</formula>
    </cfRule>
    <cfRule type="cellIs" dxfId="49" priority="102" operator="equal">
      <formula>"D-AVERAGE"</formula>
    </cfRule>
    <cfRule type="cellIs" dxfId="48" priority="103" operator="equal">
      <formula>"C-GOOD"</formula>
    </cfRule>
    <cfRule type="cellIs" dxfId="47" priority="104" operator="equal">
      <formula>"A-EXCELLENT"</formula>
    </cfRule>
    <cfRule type="cellIs" dxfId="46" priority="105" operator="equal">
      <formula>"B-VERY GOOD"</formula>
    </cfRule>
  </conditionalFormatting>
  <conditionalFormatting sqref="M124:M127">
    <cfRule type="cellIs" dxfId="45" priority="136" operator="equal">
      <formula>"E-SATISFACTORY"</formula>
    </cfRule>
    <cfRule type="cellIs" dxfId="44" priority="137" operator="equal">
      <formula>"S-SUBSIDIARY"</formula>
    </cfRule>
    <cfRule type="cellIs" dxfId="43" priority="138" operator="equal">
      <formula>"F-FAIL"</formula>
    </cfRule>
    <cfRule type="cellIs" dxfId="42" priority="139" operator="equal">
      <formula>"D-AVERAGE"</formula>
    </cfRule>
    <cfRule type="cellIs" dxfId="41" priority="140" operator="equal">
      <formula>"C-GOOD"</formula>
    </cfRule>
    <cfRule type="cellIs" dxfId="40" priority="141" operator="equal">
      <formula>"A-EXCELLENT"</formula>
    </cfRule>
    <cfRule type="cellIs" dxfId="39" priority="142" operator="equal">
      <formula>"B-VERY GOOD"</formula>
    </cfRule>
  </conditionalFormatting>
  <conditionalFormatting sqref="M131:M135">
    <cfRule type="cellIs" dxfId="38" priority="108" operator="equal">
      <formula>"E-SATISFACTORY"</formula>
    </cfRule>
    <cfRule type="cellIs" dxfId="37" priority="109" operator="equal">
      <formula>"S-SUBSIDIARY"</formula>
    </cfRule>
    <cfRule type="cellIs" dxfId="36" priority="110" operator="equal">
      <formula>"F-FAIL"</formula>
    </cfRule>
    <cfRule type="cellIs" dxfId="35" priority="111" operator="equal">
      <formula>"D-AVERAGE"</formula>
    </cfRule>
    <cfRule type="cellIs" dxfId="34" priority="112" operator="equal">
      <formula>"C-GOOD"</formula>
    </cfRule>
    <cfRule type="cellIs" dxfId="33" priority="113" operator="equal">
      <formula>"A-EXCELLENT"</formula>
    </cfRule>
    <cfRule type="cellIs" dxfId="32" priority="114" operator="equal">
      <formula>"B-VERY GOOD"</formula>
    </cfRule>
  </conditionalFormatting>
  <pageMargins left="0.75" right="0.75" top="1" bottom="1" header="0.5" footer="0.5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R78"/>
  <sheetViews>
    <sheetView zoomScaleNormal="100" workbookViewId="0">
      <pane xSplit="2" ySplit="4" topLeftCell="C44" activePane="bottomRight" state="frozen"/>
      <selection pane="topRight" activeCell="C1" sqref="C1"/>
      <selection pane="bottomLeft" activeCell="A46" sqref="A46"/>
      <selection pane="bottomRight" activeCell="G81" sqref="G81"/>
    </sheetView>
  </sheetViews>
  <sheetFormatPr defaultColWidth="8.6640625" defaultRowHeight="14.4" x14ac:dyDescent="0.3"/>
  <cols>
    <col min="1" max="1" width="19" style="210" customWidth="1"/>
    <col min="2" max="2" width="17" style="210" customWidth="1"/>
    <col min="3" max="10" width="9" style="210" customWidth="1"/>
    <col min="11" max="11" width="11.109375" style="210" customWidth="1"/>
    <col min="12" max="12" width="11.21875" style="210" customWidth="1"/>
    <col min="13" max="15" width="9" style="210" customWidth="1"/>
    <col min="16" max="16" width="16" style="210" customWidth="1"/>
    <col min="17" max="18" width="9" style="210" customWidth="1"/>
  </cols>
  <sheetData>
    <row r="1" spans="1:17" ht="30" customHeight="1" x14ac:dyDescent="0.3">
      <c r="A1" s="389" t="s">
        <v>431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  <c r="N1" s="423"/>
      <c r="O1" s="423"/>
      <c r="P1" s="423"/>
      <c r="Q1" s="423"/>
    </row>
    <row r="3" spans="1:17" ht="18" customHeight="1" x14ac:dyDescent="0.3">
      <c r="A3" s="424" t="s">
        <v>403</v>
      </c>
      <c r="B3" s="423"/>
      <c r="C3" s="423"/>
      <c r="D3" s="423"/>
      <c r="E3" s="423"/>
      <c r="F3" s="423"/>
      <c r="G3" s="423"/>
      <c r="H3" s="423"/>
      <c r="I3" s="423"/>
      <c r="J3" s="423"/>
      <c r="K3" s="423"/>
      <c r="L3" s="423"/>
      <c r="M3" s="423"/>
      <c r="N3" s="423"/>
      <c r="O3" s="423"/>
      <c r="P3" s="423"/>
      <c r="Q3" s="423"/>
    </row>
    <row r="4" spans="1:17" ht="18" customHeight="1" x14ac:dyDescent="0.3">
      <c r="A4" s="1" t="s">
        <v>357</v>
      </c>
      <c r="B4" s="1" t="s">
        <v>343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404</v>
      </c>
      <c r="K4" s="1" t="s">
        <v>347</v>
      </c>
      <c r="L4" s="1" t="s">
        <v>348</v>
      </c>
      <c r="M4" s="16" t="s">
        <v>405</v>
      </c>
      <c r="N4" s="1" t="s">
        <v>406</v>
      </c>
      <c r="O4" s="1" t="s">
        <v>394</v>
      </c>
      <c r="P4" s="1" t="s">
        <v>0</v>
      </c>
    </row>
    <row r="5" spans="1:17" ht="15" customHeight="1" x14ac:dyDescent="0.3">
      <c r="A5" s="421" t="s">
        <v>407</v>
      </c>
      <c r="B5" s="2" t="s">
        <v>349</v>
      </c>
      <c r="C5" s="4">
        <f>COUNTIFS(F6Results_2026[Gs],"A",F6Results_2026[From],"ST.JUDE")</f>
        <v>1</v>
      </c>
      <c r="D5" s="4">
        <f>COUNTIFS(F6Results_2026[Gs],"B",F6Results_2026[From],"ST.JUDE")</f>
        <v>0</v>
      </c>
      <c r="E5" s="4">
        <f>COUNTIFS(F6Results_2026[Gs],"C",F6Results_2026[From],"ST.JUDE")</f>
        <v>0</v>
      </c>
      <c r="F5" s="4">
        <f>COUNTIFS(F6Results_2026[Gs],"D",F6Results_2026[From],"ST.JUDE")</f>
        <v>24</v>
      </c>
      <c r="G5" s="4">
        <f>COUNTIFS(F6Results_2026[Gs],"E",F6Results_2026[From],"ST.JUDE")</f>
        <v>64</v>
      </c>
      <c r="H5" s="4">
        <f>COUNTIFS(F6Results_2026[Gs],"S",F6Results_2026[From],"ST.JUDE")</f>
        <v>19</v>
      </c>
      <c r="I5" s="4">
        <f>COUNTIFS(F6Results_2026[Gs],"F",F6Results_2026[From],"ST.JUDE")</f>
        <v>17</v>
      </c>
      <c r="J5" s="5">
        <f>COUNTIFS(F6Results_2026[Gs],"&lt;&gt;",F6Results_2026[From],"ST.JUDE")</f>
        <v>126</v>
      </c>
      <c r="K5" s="222"/>
      <c r="L5" s="3" t="str">
        <f t="shared" ref="L5:L34" si="0">IF(J5=0,"N/A",IF(K5&gt;=60,"✓ Within KPI","✗ Out of KPI"))</f>
        <v>✗ Out of KPI</v>
      </c>
      <c r="M5" s="228">
        <f t="shared" ref="M5:M34" si="1">K5-60</f>
        <v>-60</v>
      </c>
      <c r="N5" s="17">
        <f t="shared" ref="N5:N34" si="2">SUM(F5:I5)</f>
        <v>124</v>
      </c>
      <c r="O5" s="18">
        <f t="shared" ref="O5:O34" si="3">IFERROR(((C5*1)+(D5*2)+(E5*3)+(F5*4)+(G5*5)+(I5*6)+(H5*7))/(J5),"N/A")</f>
        <v>5.1746031746031749</v>
      </c>
      <c r="P5" s="19" t="str">
        <f t="shared" ref="P5:P34" si="4">IF(OR(O5="N/A",ISNA(O5)),"N/A",IF(ISBLANK(O5),"",IF(O5="","",IF(O5&lt;1,"",IF(O5&lt;=1.4999,"A-EXCELLENT",IF(O5&lt;=2.4999,"B-VERY GOOD",IF(O5&lt;=3.4999,"C-GOOD",IF(O5&lt;=4.4999,"D-AVERAGE",IF(O5&lt;=5.4999,"E-SATISFACTORY",IF(O5&lt;=6.4999,"S-SUBSIDIARY",IF(O5&lt;=7,"F-FAIL","")))))))))))</f>
        <v>E-SATISFACTORY</v>
      </c>
    </row>
    <row r="6" spans="1:17" ht="15" customHeight="1" x14ac:dyDescent="0.3">
      <c r="A6" s="422"/>
      <c r="B6" s="20" t="s">
        <v>432</v>
      </c>
      <c r="C6" s="21">
        <f>COUNTIFS(F6Results_2026[Gs],"A",F6Results_2026[From],"GVT")</f>
        <v>0</v>
      </c>
      <c r="D6" s="21">
        <f>COUNTIFS(F6Results_2026[Gs],"B",F6Results_2026[From],"GVT")</f>
        <v>0</v>
      </c>
      <c r="E6" s="21">
        <f>COUNTIFS(F6Results_2026[Gs],"C",F6Results_2026[From],"GVT")</f>
        <v>0</v>
      </c>
      <c r="F6" s="21">
        <f>COUNTIFS(F6Results_2026[Gs],"D",F6Results_2026[From],"GVT")</f>
        <v>14</v>
      </c>
      <c r="G6" s="21">
        <f>COUNTIFS(F6Results_2026[Gs],"E",F6Results_2026[From],"GVT")</f>
        <v>34</v>
      </c>
      <c r="H6" s="21">
        <f>COUNTIFS(F6Results_2026[Gs],"S",F6Results_2026[From],"GVT")</f>
        <v>6</v>
      </c>
      <c r="I6" s="21">
        <f>COUNTIFS(F6Results_2026[Gs],"F",F6Results_2026[From],"GVT")</f>
        <v>10</v>
      </c>
      <c r="J6" s="22">
        <f>COUNTIFS(F6Results_2026[Gs],"&lt;&gt;",F6Results_2026[From],"GVT")</f>
        <v>64</v>
      </c>
      <c r="K6" s="229"/>
      <c r="L6" s="23" t="str">
        <f t="shared" si="0"/>
        <v>✗ Out of KPI</v>
      </c>
      <c r="M6" s="228">
        <f t="shared" si="1"/>
        <v>-60</v>
      </c>
      <c r="N6" s="17">
        <f t="shared" si="2"/>
        <v>64</v>
      </c>
      <c r="O6" s="18">
        <f t="shared" si="3"/>
        <v>5.125</v>
      </c>
      <c r="P6" s="19" t="str">
        <f t="shared" si="4"/>
        <v>E-SATISFACTORY</v>
      </c>
    </row>
    <row r="7" spans="1:17" ht="15" customHeight="1" x14ac:dyDescent="0.3">
      <c r="A7" s="421" t="s">
        <v>408</v>
      </c>
      <c r="B7" s="2" t="s">
        <v>349</v>
      </c>
      <c r="C7" s="4">
        <f>COUNTIFS(F6Results_2026[Hist],"A",F6Results_2026[From],"ST.JUDE")</f>
        <v>1</v>
      </c>
      <c r="D7" s="4">
        <f>COUNTIFS(F6Results_2026[Hist],"B",F6Results_2026[From],"ST.JUDE")</f>
        <v>0</v>
      </c>
      <c r="E7" s="4">
        <f>COUNTIFS(F6Results_2026[Hist],"C",F6Results_2026[From],"ST.JUDE")</f>
        <v>11</v>
      </c>
      <c r="F7" s="4">
        <f>COUNTIFS(F6Results_2026[Hist],"D",F6Results_2026[From],"ST.JUDE")</f>
        <v>25</v>
      </c>
      <c r="G7" s="4">
        <f>COUNTIFS(F6Results_2026[Hist],"E",F6Results_2026[From],"ST.JUDE")</f>
        <v>2</v>
      </c>
      <c r="H7" s="4">
        <f>COUNTIFS(F6Results_2026[Hist],"S",F6Results_2026[From],"ST.JUDE")</f>
        <v>0</v>
      </c>
      <c r="I7" s="4">
        <f>COUNTIFS(F6Results_2026[Hist],"F",F6Results_2026[From],"ST.JUDE")</f>
        <v>0</v>
      </c>
      <c r="J7" s="5">
        <f>COUNTIFS(F6Results_2026[Hist],"&lt;&gt;",F6Results_2026[From],"ST.JUDE")</f>
        <v>40</v>
      </c>
      <c r="K7" s="222"/>
      <c r="L7" s="3" t="str">
        <f t="shared" si="0"/>
        <v>✗ Out of KPI</v>
      </c>
      <c r="M7" s="228">
        <f t="shared" si="1"/>
        <v>-60</v>
      </c>
      <c r="N7" s="17">
        <f t="shared" si="2"/>
        <v>27</v>
      </c>
      <c r="O7" s="18">
        <f t="shared" si="3"/>
        <v>3.6</v>
      </c>
      <c r="P7" s="19" t="str">
        <f t="shared" si="4"/>
        <v>D-AVERAGE</v>
      </c>
    </row>
    <row r="8" spans="1:17" ht="15" customHeight="1" x14ac:dyDescent="0.3">
      <c r="A8" s="422"/>
      <c r="B8" s="20" t="s">
        <v>432</v>
      </c>
      <c r="C8" s="21">
        <f>COUNTIFS(F6Results_2026[Hist],"A",F6Results_2026[From],"GVT")</f>
        <v>0</v>
      </c>
      <c r="D8" s="21">
        <f>COUNTIFS(F6Results_2026[Hist],"B",F6Results_2026[From],"GVT")</f>
        <v>1</v>
      </c>
      <c r="E8" s="21">
        <f>COUNTIFS(F6Results_2026[Hist],"C",F6Results_2026[From],"GVT")</f>
        <v>10</v>
      </c>
      <c r="F8" s="21">
        <f>COUNTIFS(F6Results_2026[Hist],"D",F6Results_2026[From],"GVT")</f>
        <v>2</v>
      </c>
      <c r="G8" s="21">
        <f>COUNTIFS(F6Results_2026[Hist],"E",F6Results_2026[From],"GVT")</f>
        <v>0</v>
      </c>
      <c r="H8" s="21">
        <f>COUNTIFS(F6Results_2026[Hist],"S",F6Results_2026[From],"GVT")</f>
        <v>0</v>
      </c>
      <c r="I8" s="21">
        <f>COUNTIFS(F6Results_2026[Hist],"F",F6Results_2026[From],"GVT")</f>
        <v>0</v>
      </c>
      <c r="J8" s="22">
        <f>COUNTIFS(F6Results_2026[Hist],"&lt;&gt;",F6Results_2026[From],"GVT")</f>
        <v>13</v>
      </c>
      <c r="K8" s="229"/>
      <c r="L8" s="23" t="str">
        <f t="shared" si="0"/>
        <v>✗ Out of KPI</v>
      </c>
      <c r="M8" s="228">
        <f t="shared" si="1"/>
        <v>-60</v>
      </c>
      <c r="N8" s="17">
        <f t="shared" si="2"/>
        <v>2</v>
      </c>
      <c r="O8" s="18">
        <f t="shared" si="3"/>
        <v>3.0769230769230771</v>
      </c>
      <c r="P8" s="19" t="str">
        <f t="shared" si="4"/>
        <v>C-GOOD</v>
      </c>
    </row>
    <row r="9" spans="1:17" ht="15" customHeight="1" x14ac:dyDescent="0.3">
      <c r="A9" s="421" t="s">
        <v>409</v>
      </c>
      <c r="B9" s="2" t="s">
        <v>349</v>
      </c>
      <c r="C9" s="4">
        <f>COUNTIFS(F6Results_2026[Geo],"A",F6Results_2026[From],"ST.JUDE")</f>
        <v>3</v>
      </c>
      <c r="D9" s="4">
        <f>COUNTIFS(F6Results_2026[Geo],"B",F6Results_2026[From],"ST.JUDE")</f>
        <v>16</v>
      </c>
      <c r="E9" s="4">
        <f>COUNTIFS(F6Results_2026[Geo],"C",F6Results_2026[From],"ST.JUDE")</f>
        <v>29</v>
      </c>
      <c r="F9" s="4">
        <f>COUNTIFS(F6Results_2026[Geo],"D",F6Results_2026[From],"ST.JUDE")</f>
        <v>15</v>
      </c>
      <c r="G9" s="4">
        <f>COUNTIFS(F6Results_2026[Geo],"E",F6Results_2026[From],"ST.JUDE")</f>
        <v>3</v>
      </c>
      <c r="H9" s="4">
        <f>COUNTIFS(F6Results_2026[Geo],"S",F6Results_2026[From],"ST.JUDE")</f>
        <v>0</v>
      </c>
      <c r="I9" s="4">
        <f>COUNTIFS(F6Results_2026[Geo],"F",F6Results_2026[From],"ST.JUDE")</f>
        <v>0</v>
      </c>
      <c r="J9" s="5">
        <f>COUNTIFS(F6Results_2026[Geo],"&lt;&gt;",F6Results_2026[From],"ST.JUDE")</f>
        <v>67</v>
      </c>
      <c r="K9" s="222"/>
      <c r="L9" s="3" t="str">
        <f t="shared" si="0"/>
        <v>✗ Out of KPI</v>
      </c>
      <c r="M9" s="228">
        <f t="shared" si="1"/>
        <v>-60</v>
      </c>
      <c r="N9" s="17">
        <f t="shared" si="2"/>
        <v>18</v>
      </c>
      <c r="O9" s="18">
        <f t="shared" si="3"/>
        <v>2.9402985074626864</v>
      </c>
      <c r="P9" s="19" t="str">
        <f t="shared" si="4"/>
        <v>C-GOOD</v>
      </c>
    </row>
    <row r="10" spans="1:17" ht="15" customHeight="1" x14ac:dyDescent="0.3">
      <c r="A10" s="422"/>
      <c r="B10" s="20" t="s">
        <v>432</v>
      </c>
      <c r="C10" s="21">
        <f>COUNTIFS(F6Results_2026[Geo],"A",F6Results_2026[From],"GVT")</f>
        <v>0</v>
      </c>
      <c r="D10" s="21">
        <f>COUNTIFS(F6Results_2026[Geo],"B",F6Results_2026[From],"GVT")</f>
        <v>2</v>
      </c>
      <c r="E10" s="21">
        <f>COUNTIFS(F6Results_2026[Geo],"C",F6Results_2026[From],"GVT")</f>
        <v>10</v>
      </c>
      <c r="F10" s="21">
        <f>COUNTIFS(F6Results_2026[Geo],"D",F6Results_2026[From],"GVT")</f>
        <v>1</v>
      </c>
      <c r="G10" s="21">
        <f>COUNTIFS(F6Results_2026[Geo],"E",F6Results_2026[From],"GVT")</f>
        <v>0</v>
      </c>
      <c r="H10" s="21">
        <f>COUNTIFS(F6Results_2026[Geo],"S",F6Results_2026[From],"GVT")</f>
        <v>0</v>
      </c>
      <c r="I10" s="21">
        <f>COUNTIFS(F6Results_2026[Geo],"F",F6Results_2026[From],"GVT")</f>
        <v>0</v>
      </c>
      <c r="J10" s="22">
        <f>COUNTIFS(F6Results_2026[Geo],"&lt;&gt;",F6Results_2026[From],"GVT")</f>
        <v>13</v>
      </c>
      <c r="K10" s="229"/>
      <c r="L10" s="23" t="str">
        <f t="shared" si="0"/>
        <v>✗ Out of KPI</v>
      </c>
      <c r="M10" s="228">
        <f t="shared" si="1"/>
        <v>-60</v>
      </c>
      <c r="N10" s="17">
        <f t="shared" si="2"/>
        <v>1</v>
      </c>
      <c r="O10" s="18">
        <f t="shared" si="3"/>
        <v>2.9230769230769229</v>
      </c>
      <c r="P10" s="19" t="str">
        <f t="shared" si="4"/>
        <v>C-GOOD</v>
      </c>
    </row>
    <row r="11" spans="1:17" ht="15" customHeight="1" x14ac:dyDescent="0.3">
      <c r="A11" s="421" t="s">
        <v>410</v>
      </c>
      <c r="B11" s="2" t="s">
        <v>349</v>
      </c>
      <c r="C11" s="4">
        <f>COUNTIFS(F6Results_2026[Kisw],"A",F6Results_2026[From],"ST.JUDE")</f>
        <v>15</v>
      </c>
      <c r="D11" s="4">
        <f>COUNTIFS(F6Results_2026[Kisw],"B",F6Results_2026[From],"ST.JUDE")</f>
        <v>0</v>
      </c>
      <c r="E11" s="4">
        <f>COUNTIFS(F6Results_2026[Kisw],"C",F6Results_2026[From],"ST.JUDE")</f>
        <v>0</v>
      </c>
      <c r="F11" s="4">
        <f>COUNTIFS(F6Results_2026[Kisw],"D",F6Results_2026[From],"ST.JUDE")</f>
        <v>0</v>
      </c>
      <c r="G11" s="4">
        <f>COUNTIFS(F6Results_2026[Kisw],"E",F6Results_2026[From],"ST.JUDE")</f>
        <v>0</v>
      </c>
      <c r="H11" s="4">
        <f>COUNTIFS(F6Results_2026[Kisw],"S",F6Results_2026[From],"ST.JUDE")</f>
        <v>0</v>
      </c>
      <c r="I11" s="4">
        <f>COUNTIFS(F6Results_2026[Kisw],"F",F6Results_2026[From],"ST.JUDE")</f>
        <v>0</v>
      </c>
      <c r="J11" s="5">
        <f>COUNTIFS(F6Results_2026[Kisw],"&lt;&gt;",F6Results_2026[From],"ST.JUDE")</f>
        <v>15</v>
      </c>
      <c r="K11" s="222"/>
      <c r="L11" s="3" t="str">
        <f t="shared" si="0"/>
        <v>✗ Out of KPI</v>
      </c>
      <c r="M11" s="228">
        <f t="shared" si="1"/>
        <v>-60</v>
      </c>
      <c r="N11" s="17">
        <f t="shared" si="2"/>
        <v>0</v>
      </c>
      <c r="O11" s="18">
        <f t="shared" si="3"/>
        <v>1</v>
      </c>
      <c r="P11" s="19" t="str">
        <f t="shared" si="4"/>
        <v>A-EXCELLENT</v>
      </c>
    </row>
    <row r="12" spans="1:17" ht="15" customHeight="1" x14ac:dyDescent="0.3">
      <c r="A12" s="422"/>
      <c r="B12" s="20" t="s">
        <v>432</v>
      </c>
      <c r="C12" s="21">
        <f>COUNTIFS(F6Results_2026[Kisw],"A",F6Results_2026[From],"GVT")</f>
        <v>13</v>
      </c>
      <c r="D12" s="21">
        <f>COUNTIFS(F6Results_2026[Kisw],"B",F6Results_2026[From],"GVT")</f>
        <v>0</v>
      </c>
      <c r="E12" s="21">
        <f>COUNTIFS(F6Results_2026[Kisw],"C",F6Results_2026[From],"GVT")</f>
        <v>0</v>
      </c>
      <c r="F12" s="21">
        <f>COUNTIFS(F6Results_2026[Kisw],"D",F6Results_2026[From],"GVT")</f>
        <v>0</v>
      </c>
      <c r="G12" s="21">
        <f>COUNTIFS(F6Results_2026[Kisw],"E",F6Results_2026[From],"GVT")</f>
        <v>0</v>
      </c>
      <c r="H12" s="21">
        <f>COUNTIFS(F6Results_2026[Kisw],"S",F6Results_2026[From],"GVT")</f>
        <v>0</v>
      </c>
      <c r="I12" s="21">
        <f>COUNTIFS(F6Results_2026[Kisw],"F",F6Results_2026[From],"GVT")</f>
        <v>0</v>
      </c>
      <c r="J12" s="22">
        <f>COUNTIFS(F6Results_2026[Kisw],"&lt;&gt;",F6Results_2026[From],"GVT")</f>
        <v>13</v>
      </c>
      <c r="K12" s="229"/>
      <c r="L12" s="23" t="str">
        <f t="shared" si="0"/>
        <v>✗ Out of KPI</v>
      </c>
      <c r="M12" s="228">
        <f t="shared" si="1"/>
        <v>-60</v>
      </c>
      <c r="N12" s="17">
        <f t="shared" si="2"/>
        <v>0</v>
      </c>
      <c r="O12" s="18">
        <f t="shared" si="3"/>
        <v>1</v>
      </c>
      <c r="P12" s="19" t="str">
        <f t="shared" si="4"/>
        <v>A-EXCELLENT</v>
      </c>
    </row>
    <row r="13" spans="1:17" ht="15" customHeight="1" x14ac:dyDescent="0.3">
      <c r="A13" s="421" t="s">
        <v>411</v>
      </c>
      <c r="B13" s="2" t="s">
        <v>349</v>
      </c>
      <c r="C13" s="4">
        <f>COUNTIFS(F6Results_2026[Engl],"A",F6Results_2026[From],"ST.JUDE")</f>
        <v>0</v>
      </c>
      <c r="D13" s="4">
        <f>COUNTIFS(F6Results_2026[Engl],"B",F6Results_2026[From],"ST.JUDE")</f>
        <v>4</v>
      </c>
      <c r="E13" s="4">
        <f>COUNTIFS(F6Results_2026[Engl],"C",F6Results_2026[From],"ST.JUDE")</f>
        <v>7</v>
      </c>
      <c r="F13" s="4">
        <f>COUNTIFS(F6Results_2026[Engl],"D",F6Results_2026[From],"ST.JUDE")</f>
        <v>12</v>
      </c>
      <c r="G13" s="4">
        <f>COUNTIFS(F6Results_2026[Engl],"E",F6Results_2026[From],"ST.JUDE")</f>
        <v>1</v>
      </c>
      <c r="H13" s="4">
        <f>COUNTIFS(F6Results_2026[Engl],"S",F6Results_2026[From],"ST.JUDE")</f>
        <v>0</v>
      </c>
      <c r="I13" s="4">
        <f>COUNTIFS(F6Results_2026[Engl],"F",F6Results_2026[From],"ST.JUDE")</f>
        <v>0</v>
      </c>
      <c r="J13" s="5">
        <f>COUNTIFS(F6Results_2026[Engl],"&lt;&gt;",F6Results_2026[From],"ST.JUDE")</f>
        <v>25</v>
      </c>
      <c r="K13" s="222"/>
      <c r="L13" s="3" t="str">
        <f t="shared" si="0"/>
        <v>✗ Out of KPI</v>
      </c>
      <c r="M13" s="228">
        <f t="shared" si="1"/>
        <v>-60</v>
      </c>
      <c r="N13" s="17">
        <f t="shared" si="2"/>
        <v>13</v>
      </c>
      <c r="O13" s="18">
        <f t="shared" si="3"/>
        <v>3.28</v>
      </c>
      <c r="P13" s="19" t="str">
        <f t="shared" si="4"/>
        <v>C-GOOD</v>
      </c>
    </row>
    <row r="14" spans="1:17" ht="15" customHeight="1" x14ac:dyDescent="0.3">
      <c r="A14" s="422"/>
      <c r="B14" s="20" t="s">
        <v>432</v>
      </c>
      <c r="C14" s="21">
        <f>COUNTIFS(F6Results_2026[Engl],"A",F6Results_2026[From],"GVT")</f>
        <v>0</v>
      </c>
      <c r="D14" s="21">
        <f>COUNTIFS(F6Results_2026[Engl],"B",F6Results_2026[From],"GVT")</f>
        <v>0</v>
      </c>
      <c r="E14" s="21">
        <f>COUNTIFS(F6Results_2026[Engl],"C",F6Results_2026[From],"GVT")</f>
        <v>0</v>
      </c>
      <c r="F14" s="21">
        <f>COUNTIFS(F6Results_2026[Engl],"D",F6Results_2026[From],"GVT")</f>
        <v>0</v>
      </c>
      <c r="G14" s="21">
        <f>COUNTIFS(F6Results_2026[Engl],"E",F6Results_2026[From],"GVT")</f>
        <v>0</v>
      </c>
      <c r="H14" s="21">
        <f>COUNTIFS(F6Results_2026[Engl],"S",F6Results_2026[From],"GVT")</f>
        <v>0</v>
      </c>
      <c r="I14" s="21">
        <f>COUNTIFS(F6Results_2026[Engl],"F",F6Results_2026[From],"GVT")</f>
        <v>0</v>
      </c>
      <c r="J14" s="22">
        <f>COUNTIFS(F6Results_2026[Engl],"&lt;&gt;",F6Results_2026[From],"GVT")</f>
        <v>0</v>
      </c>
      <c r="K14" s="229"/>
      <c r="L14" s="23" t="str">
        <f t="shared" si="0"/>
        <v>N/A</v>
      </c>
      <c r="M14" s="228">
        <f t="shared" si="1"/>
        <v>-60</v>
      </c>
      <c r="N14" s="17">
        <f t="shared" si="2"/>
        <v>0</v>
      </c>
      <c r="O14" s="18" t="str">
        <f t="shared" si="3"/>
        <v>N/A</v>
      </c>
      <c r="P14" s="19" t="str">
        <f t="shared" si="4"/>
        <v>N/A</v>
      </c>
    </row>
    <row r="15" spans="1:17" ht="15" customHeight="1" x14ac:dyDescent="0.3">
      <c r="A15" s="421" t="s">
        <v>412</v>
      </c>
      <c r="B15" s="2" t="s">
        <v>349</v>
      </c>
      <c r="C15" s="4">
        <f>COUNTIFS(F6Results_2026[Phy],"A",F6Results_2026[From],"ST.JUDE")</f>
        <v>0</v>
      </c>
      <c r="D15" s="4">
        <f>COUNTIFS(F6Results_2026[Phy],"B",F6Results_2026[From],"ST.JUDE")</f>
        <v>0</v>
      </c>
      <c r="E15" s="4">
        <f>COUNTIFS(F6Results_2026[Phy],"C",F6Results_2026[From],"ST.JUDE")</f>
        <v>3</v>
      </c>
      <c r="F15" s="4">
        <f>COUNTIFS(F6Results_2026[Phy],"D",F6Results_2026[From],"ST.JUDE")</f>
        <v>10</v>
      </c>
      <c r="G15" s="4">
        <f>COUNTIFS(F6Results_2026[Phy],"E",F6Results_2026[From],"ST.JUDE")</f>
        <v>13</v>
      </c>
      <c r="H15" s="4">
        <f>COUNTIFS(F6Results_2026[Phy],"S",F6Results_2026[From],"ST.JUDE")</f>
        <v>5</v>
      </c>
      <c r="I15" s="4">
        <f>COUNTIFS(F6Results_2026[Phy],"F",F6Results_2026[From],"ST.JUDE")</f>
        <v>8</v>
      </c>
      <c r="J15" s="5">
        <f>COUNTIFS(F6Results_2026[Phy],"&lt;&gt;",F6Results_2026[From],"ST.JUDE")</f>
        <v>39</v>
      </c>
      <c r="K15" s="222"/>
      <c r="L15" s="3" t="str">
        <f t="shared" si="0"/>
        <v>✗ Out of KPI</v>
      </c>
      <c r="M15" s="228">
        <f t="shared" si="1"/>
        <v>-60</v>
      </c>
      <c r="N15" s="17">
        <f t="shared" si="2"/>
        <v>36</v>
      </c>
      <c r="O15" s="18">
        <f t="shared" si="3"/>
        <v>5.0512820512820511</v>
      </c>
      <c r="P15" s="19" t="str">
        <f t="shared" si="4"/>
        <v>E-SATISFACTORY</v>
      </c>
    </row>
    <row r="16" spans="1:17" ht="15" customHeight="1" x14ac:dyDescent="0.3">
      <c r="A16" s="422"/>
      <c r="B16" s="20" t="s">
        <v>432</v>
      </c>
      <c r="C16" s="21">
        <f>COUNTIFS(F6Results_2026[Phy],"A",F6Results_2026[From],"GVT")</f>
        <v>0</v>
      </c>
      <c r="D16" s="21">
        <f>COUNTIFS(F6Results_2026[Phy],"B",F6Results_2026[From],"GVT")</f>
        <v>0</v>
      </c>
      <c r="E16" s="21">
        <f>COUNTIFS(F6Results_2026[Phy],"C",F6Results_2026[From],"GVT")</f>
        <v>12</v>
      </c>
      <c r="F16" s="21">
        <f>COUNTIFS(F6Results_2026[Phy],"D",F6Results_2026[From],"GVT")</f>
        <v>12</v>
      </c>
      <c r="G16" s="21">
        <f>COUNTIFS(F6Results_2026[Phy],"E",F6Results_2026[From],"GVT")</f>
        <v>9</v>
      </c>
      <c r="H16" s="21">
        <f>COUNTIFS(F6Results_2026[Phy],"S",F6Results_2026[From],"GVT")</f>
        <v>1</v>
      </c>
      <c r="I16" s="21">
        <f>COUNTIFS(F6Results_2026[Phy],"F",F6Results_2026[From],"GVT")</f>
        <v>8</v>
      </c>
      <c r="J16" s="22">
        <f>COUNTIFS(F6Results_2026[Phy],"&lt;&gt;",F6Results_2026[From],"GVT")</f>
        <v>42</v>
      </c>
      <c r="K16" s="229"/>
      <c r="L16" s="23" t="str">
        <f t="shared" si="0"/>
        <v>✗ Out of KPI</v>
      </c>
      <c r="M16" s="228">
        <f t="shared" si="1"/>
        <v>-60</v>
      </c>
      <c r="N16" s="17">
        <f t="shared" si="2"/>
        <v>30</v>
      </c>
      <c r="O16" s="18">
        <f t="shared" si="3"/>
        <v>4.3809523809523814</v>
      </c>
      <c r="P16" s="19" t="str">
        <f t="shared" si="4"/>
        <v>D-AVERAGE</v>
      </c>
    </row>
    <row r="17" spans="1:16" ht="15" customHeight="1" x14ac:dyDescent="0.3">
      <c r="A17" s="421" t="s">
        <v>413</v>
      </c>
      <c r="B17" s="2" t="s">
        <v>349</v>
      </c>
      <c r="C17" s="4">
        <f>COUNTIFS(F6Results_2026[Chem],"A",F6Results_2026[From],"ST.JUDE")</f>
        <v>0</v>
      </c>
      <c r="D17" s="4">
        <f>COUNTIFS(F6Results_2026[Chem],"B",F6Results_2026[From],"ST.JUDE")</f>
        <v>0</v>
      </c>
      <c r="E17" s="4">
        <f>COUNTIFS(F6Results_2026[Chem],"C",F6Results_2026[From],"ST.JUDE")</f>
        <v>15</v>
      </c>
      <c r="F17" s="4">
        <f>COUNTIFS(F6Results_2026[Chem],"D",F6Results_2026[From],"ST.JUDE")</f>
        <v>14</v>
      </c>
      <c r="G17" s="4">
        <f>COUNTIFS(F6Results_2026[Chem],"E",F6Results_2026[From],"ST.JUDE")</f>
        <v>5</v>
      </c>
      <c r="H17" s="4">
        <f>COUNTIFS(F6Results_2026[Chem],"S",F6Results_2026[From],"ST.JUDE")</f>
        <v>0</v>
      </c>
      <c r="I17" s="4">
        <f>COUNTIFS(F6Results_2026[Chem],"F",F6Results_2026[From],"ST.JUDE")</f>
        <v>5</v>
      </c>
      <c r="J17" s="5">
        <f>COUNTIFS(F6Results_2026[Chem],"&lt;&gt;",F6Results_2026[From],"ST.JUDE")</f>
        <v>39</v>
      </c>
      <c r="K17" s="222"/>
      <c r="L17" s="3" t="str">
        <f t="shared" si="0"/>
        <v>✗ Out of KPI</v>
      </c>
      <c r="M17" s="228">
        <f t="shared" si="1"/>
        <v>-60</v>
      </c>
      <c r="N17" s="17">
        <f t="shared" si="2"/>
        <v>24</v>
      </c>
      <c r="O17" s="18">
        <f t="shared" si="3"/>
        <v>4</v>
      </c>
      <c r="P17" s="19" t="str">
        <f t="shared" si="4"/>
        <v>D-AVERAGE</v>
      </c>
    </row>
    <row r="18" spans="1:16" ht="15" customHeight="1" x14ac:dyDescent="0.3">
      <c r="A18" s="422"/>
      <c r="B18" s="20" t="s">
        <v>432</v>
      </c>
      <c r="C18" s="21">
        <f>COUNTIFS(F6Results_2026[Chem],"A",F6Results_2026[From],"GVT")</f>
        <v>0</v>
      </c>
      <c r="D18" s="21">
        <f>COUNTIFS(F6Results_2026[Chem],"B",F6Results_2026[From],"GVT")</f>
        <v>0</v>
      </c>
      <c r="E18" s="21">
        <f>COUNTIFS(F6Results_2026[Chem],"C",F6Results_2026[From],"GVT")</f>
        <v>27</v>
      </c>
      <c r="F18" s="21">
        <f>COUNTIFS(F6Results_2026[Chem],"D",F6Results_2026[From],"GVT")</f>
        <v>14</v>
      </c>
      <c r="G18" s="21">
        <f>COUNTIFS(F6Results_2026[Chem],"E",F6Results_2026[From],"GVT")</f>
        <v>3</v>
      </c>
      <c r="H18" s="21">
        <f>COUNTIFS(F6Results_2026[Chem],"S",F6Results_2026[From],"GVT")</f>
        <v>0</v>
      </c>
      <c r="I18" s="21">
        <f>COUNTIFS(F6Results_2026[Chem],"F",F6Results_2026[From],"GVT")</f>
        <v>7</v>
      </c>
      <c r="J18" s="22">
        <f>COUNTIFS(F6Results_2026[Chem],"&lt;&gt;",F6Results_2026[From],"GVT")</f>
        <v>51</v>
      </c>
      <c r="K18" s="229"/>
      <c r="L18" s="23" t="str">
        <f t="shared" si="0"/>
        <v>✗ Out of KPI</v>
      </c>
      <c r="M18" s="228">
        <f t="shared" si="1"/>
        <v>-60</v>
      </c>
      <c r="N18" s="17">
        <f t="shared" si="2"/>
        <v>24</v>
      </c>
      <c r="O18" s="18">
        <f t="shared" si="3"/>
        <v>3.8039215686274508</v>
      </c>
      <c r="P18" s="19" t="str">
        <f t="shared" si="4"/>
        <v>D-AVERAGE</v>
      </c>
    </row>
    <row r="19" spans="1:16" ht="15" customHeight="1" x14ac:dyDescent="0.3">
      <c r="A19" s="421" t="s">
        <v>414</v>
      </c>
      <c r="B19" s="2" t="s">
        <v>349</v>
      </c>
      <c r="C19" s="4">
        <f>COUNTIFS(F6Results_2026[Biol],"A",F6Results_2026[From],"ST.JUDE")</f>
        <v>0</v>
      </c>
      <c r="D19" s="4">
        <f>COUNTIFS(F6Results_2026[Biol],"B",F6Results_2026[From],"ST.JUDE")</f>
        <v>0</v>
      </c>
      <c r="E19" s="4">
        <f>COUNTIFS(F6Results_2026[Biol],"C",F6Results_2026[From],"ST.JUDE")</f>
        <v>7</v>
      </c>
      <c r="F19" s="4">
        <f>COUNTIFS(F6Results_2026[Biol],"D",F6Results_2026[From],"ST.JUDE")</f>
        <v>2</v>
      </c>
      <c r="G19" s="4">
        <f>COUNTIFS(F6Results_2026[Biol],"E",F6Results_2026[From],"ST.JUDE")</f>
        <v>0</v>
      </c>
      <c r="H19" s="4">
        <f>COUNTIFS(F6Results_2026[Biol],"S",F6Results_2026[From],"ST.JUDE")</f>
        <v>0</v>
      </c>
      <c r="I19" s="4">
        <f>COUNTIFS(F6Results_2026[Biol],"F",F6Results_2026[From],"ST.JUDE")</f>
        <v>12</v>
      </c>
      <c r="J19" s="5">
        <f>COUNTIFS(F6Results_2026[Biol],"&lt;&gt;",F6Results_2026[From],"ST.JUDE")</f>
        <v>21</v>
      </c>
      <c r="K19" s="222"/>
      <c r="L19" s="3" t="str">
        <f t="shared" si="0"/>
        <v>✗ Out of KPI</v>
      </c>
      <c r="M19" s="228">
        <f t="shared" si="1"/>
        <v>-60</v>
      </c>
      <c r="N19" s="17">
        <f t="shared" si="2"/>
        <v>14</v>
      </c>
      <c r="O19" s="18">
        <f t="shared" si="3"/>
        <v>4.8095238095238093</v>
      </c>
      <c r="P19" s="19" t="str">
        <f t="shared" si="4"/>
        <v>E-SATISFACTORY</v>
      </c>
    </row>
    <row r="20" spans="1:16" ht="15" customHeight="1" x14ac:dyDescent="0.3">
      <c r="A20" s="422"/>
      <c r="B20" s="20" t="s">
        <v>432</v>
      </c>
      <c r="C20" s="21">
        <f>COUNTIFS(F6Results_2026[Biol],"A",F6Results_2026[From],"GVT")</f>
        <v>0</v>
      </c>
      <c r="D20" s="21">
        <f>COUNTIFS(F6Results_2026[Biol],"B",F6Results_2026[From],"GVT")</f>
        <v>0</v>
      </c>
      <c r="E20" s="21">
        <f>COUNTIFS(F6Results_2026[Biol],"C",F6Results_2026[From],"GVT")</f>
        <v>18</v>
      </c>
      <c r="F20" s="21">
        <f>COUNTIFS(F6Results_2026[Biol],"D",F6Results_2026[From],"GVT")</f>
        <v>5</v>
      </c>
      <c r="G20" s="21">
        <f>COUNTIFS(F6Results_2026[Biol],"E",F6Results_2026[From],"GVT")</f>
        <v>0</v>
      </c>
      <c r="H20" s="21">
        <f>COUNTIFS(F6Results_2026[Biol],"S",F6Results_2026[From],"GVT")</f>
        <v>0</v>
      </c>
      <c r="I20" s="21">
        <f>COUNTIFS(F6Results_2026[Biol],"F",F6Results_2026[From],"GVT")</f>
        <v>18</v>
      </c>
      <c r="J20" s="22">
        <f>COUNTIFS(F6Results_2026[Biol],"&lt;&gt;",F6Results_2026[From],"GVT")</f>
        <v>41</v>
      </c>
      <c r="K20" s="229"/>
      <c r="L20" s="23" t="str">
        <f t="shared" si="0"/>
        <v>✗ Out of KPI</v>
      </c>
      <c r="M20" s="228">
        <f t="shared" si="1"/>
        <v>-60</v>
      </c>
      <c r="N20" s="17">
        <f t="shared" si="2"/>
        <v>23</v>
      </c>
      <c r="O20" s="18">
        <f t="shared" si="3"/>
        <v>4.4390243902439028</v>
      </c>
      <c r="P20" s="19" t="str">
        <f t="shared" si="4"/>
        <v>D-AVERAGE</v>
      </c>
    </row>
    <row r="21" spans="1:16" ht="15" customHeight="1" x14ac:dyDescent="0.3">
      <c r="A21" s="421" t="s">
        <v>415</v>
      </c>
      <c r="B21" s="2" t="s">
        <v>349</v>
      </c>
      <c r="C21" s="4">
        <f>COUNTIFS(F6Results_2026[Agr],"A",F6Results_2026[From],"ST.JUDE")</f>
        <v>0</v>
      </c>
      <c r="D21" s="4">
        <f>COUNTIFS(F6Results_2026[Agr],"B",F6Results_2026[From],"ST.JUDE")</f>
        <v>0</v>
      </c>
      <c r="E21" s="4">
        <f>COUNTIFS(F6Results_2026[Agr],"C",F6Results_2026[From],"ST.JUDE")</f>
        <v>6</v>
      </c>
      <c r="F21" s="4">
        <f>COUNTIFS(F6Results_2026[Agr],"D",F6Results_2026[From],"ST.JUDE")</f>
        <v>0</v>
      </c>
      <c r="G21" s="4">
        <f>COUNTIFS(F6Results_2026[Agr],"E",F6Results_2026[From],"ST.JUDE")</f>
        <v>0</v>
      </c>
      <c r="H21" s="4">
        <f>COUNTIFS(F6Results_2026[Agr],"S",F6Results_2026[From],"ST.JUDE")</f>
        <v>0</v>
      </c>
      <c r="I21" s="4">
        <f>COUNTIFS(F6Results_2026[Agr],"F",F6Results_2026[From],"ST.JUDE")</f>
        <v>1</v>
      </c>
      <c r="J21" s="5">
        <f>COUNTIFS(F6Results_2026[Agr],"&lt;&gt;",F6Results_2026[From],"ST.JUDE")</f>
        <v>7</v>
      </c>
      <c r="K21" s="222"/>
      <c r="L21" s="3" t="str">
        <f t="shared" si="0"/>
        <v>✗ Out of KPI</v>
      </c>
      <c r="M21" s="228">
        <f t="shared" si="1"/>
        <v>-60</v>
      </c>
      <c r="N21" s="17">
        <f t="shared" si="2"/>
        <v>1</v>
      </c>
      <c r="O21" s="18">
        <f t="shared" si="3"/>
        <v>3.4285714285714284</v>
      </c>
      <c r="P21" s="19" t="str">
        <f t="shared" si="4"/>
        <v>C-GOOD</v>
      </c>
    </row>
    <row r="22" spans="1:16" ht="15" customHeight="1" x14ac:dyDescent="0.3">
      <c r="A22" s="422"/>
      <c r="B22" s="20" t="s">
        <v>432</v>
      </c>
      <c r="C22" s="21">
        <f>COUNTIFS(F6Results_2026[Agr],"A",F6Results_2026[From],"GVT")</f>
        <v>0</v>
      </c>
      <c r="D22" s="21">
        <f>COUNTIFS(F6Results_2026[Agr],"B",F6Results_2026[From],"GVT")</f>
        <v>0</v>
      </c>
      <c r="E22" s="21">
        <f>COUNTIFS(F6Results_2026[Agr],"C",F6Results_2026[From],"GVT")</f>
        <v>4</v>
      </c>
      <c r="F22" s="21">
        <f>COUNTIFS(F6Results_2026[Agr],"D",F6Results_2026[From],"GVT")</f>
        <v>4</v>
      </c>
      <c r="G22" s="21">
        <f>COUNTIFS(F6Results_2026[Agr],"E",F6Results_2026[From],"GVT")</f>
        <v>0</v>
      </c>
      <c r="H22" s="21">
        <f>COUNTIFS(F6Results_2026[Agr],"S",F6Results_2026[From],"GVT")</f>
        <v>0</v>
      </c>
      <c r="I22" s="21">
        <f>COUNTIFS(F6Results_2026[Agr],"F",F6Results_2026[From],"GVT")</f>
        <v>1</v>
      </c>
      <c r="J22" s="22">
        <f>COUNTIFS(F6Results_2026[Agr],"&lt;&gt;",F6Results_2026[From],"GVT")</f>
        <v>9</v>
      </c>
      <c r="K22" s="229"/>
      <c r="L22" s="23" t="str">
        <f t="shared" si="0"/>
        <v>✗ Out of KPI</v>
      </c>
      <c r="M22" s="228">
        <f t="shared" si="1"/>
        <v>-60</v>
      </c>
      <c r="N22" s="17">
        <f t="shared" si="2"/>
        <v>5</v>
      </c>
      <c r="O22" s="18">
        <f t="shared" si="3"/>
        <v>3.7777777777777777</v>
      </c>
      <c r="P22" s="19" t="str">
        <f t="shared" si="4"/>
        <v>D-AVERAGE</v>
      </c>
    </row>
    <row r="23" spans="1:16" ht="15" customHeight="1" x14ac:dyDescent="0.3">
      <c r="A23" s="421" t="s">
        <v>33</v>
      </c>
      <c r="B23" s="2" t="s">
        <v>349</v>
      </c>
      <c r="C23" s="4">
        <f>COUNTIFS(F6Results_2026[Bam],"A",F6Results_2026[From],"ST.JUDE")</f>
        <v>4</v>
      </c>
      <c r="D23" s="4">
        <f>COUNTIFS(F6Results_2026[Bam],"B",F6Results_2026[From],"ST.JUDE")</f>
        <v>0</v>
      </c>
      <c r="E23" s="4">
        <f>COUNTIFS(F6Results_2026[Bam],"C",F6Results_2026[From],"ST.JUDE")</f>
        <v>5</v>
      </c>
      <c r="F23" s="4">
        <f>COUNTIFS(F6Results_2026[Bam],"D",F6Results_2026[From],"ST.JUDE")</f>
        <v>3</v>
      </c>
      <c r="G23" s="4">
        <f>COUNTIFS(F6Results_2026[Bam],"E",F6Results_2026[From],"ST.JUDE")</f>
        <v>4</v>
      </c>
      <c r="H23" s="4">
        <f>COUNTIFS(F6Results_2026[Bam],"S",F6Results_2026[From],"ST.JUDE")</f>
        <v>6</v>
      </c>
      <c r="I23" s="4">
        <f>COUNTIFS(F6Results_2026[Bam],"F",F6Results_2026[From],"ST.JUDE")</f>
        <v>12</v>
      </c>
      <c r="J23" s="5">
        <f>COUNTIFS(F6Results_2026[Bam],"&lt;&gt;",F6Results_2026[From],"ST.JUDE")</f>
        <v>34</v>
      </c>
      <c r="K23" s="222"/>
      <c r="L23" s="3" t="str">
        <f t="shared" si="0"/>
        <v>✗ Out of KPI</v>
      </c>
      <c r="M23" s="228">
        <f t="shared" si="1"/>
        <v>-60</v>
      </c>
      <c r="N23" s="17">
        <f t="shared" si="2"/>
        <v>25</v>
      </c>
      <c r="O23" s="18">
        <f t="shared" si="3"/>
        <v>4.8529411764705879</v>
      </c>
      <c r="P23" s="19" t="str">
        <f t="shared" si="4"/>
        <v>E-SATISFACTORY</v>
      </c>
    </row>
    <row r="24" spans="1:16" ht="15" customHeight="1" x14ac:dyDescent="0.3">
      <c r="A24" s="422"/>
      <c r="B24" s="20" t="s">
        <v>432</v>
      </c>
      <c r="C24" s="21">
        <f>COUNTIFS(F6Results_2026[Bam],"A",F6Results_2026[From],"GVT")</f>
        <v>2</v>
      </c>
      <c r="D24" s="21">
        <f>COUNTIFS(F6Results_2026[Bam],"B",F6Results_2026[From],"GVT")</f>
        <v>3</v>
      </c>
      <c r="E24" s="21">
        <f>COUNTIFS(F6Results_2026[Bam],"C",F6Results_2026[From],"GVT")</f>
        <v>4</v>
      </c>
      <c r="F24" s="21">
        <f>COUNTIFS(F6Results_2026[Bam],"D",F6Results_2026[From],"GVT")</f>
        <v>6</v>
      </c>
      <c r="G24" s="21">
        <f>COUNTIFS(F6Results_2026[Bam],"E",F6Results_2026[From],"GVT")</f>
        <v>8</v>
      </c>
      <c r="H24" s="21">
        <f>COUNTIFS(F6Results_2026[Bam],"S",F6Results_2026[From],"GVT")</f>
        <v>2</v>
      </c>
      <c r="I24" s="21">
        <f>COUNTIFS(F6Results_2026[Bam],"F",F6Results_2026[From],"GVT")</f>
        <v>16</v>
      </c>
      <c r="J24" s="22">
        <f>COUNTIFS(F6Results_2026[Bam],"&lt;&gt;",F6Results_2026[From],"GVT")</f>
        <v>41</v>
      </c>
      <c r="K24" s="229"/>
      <c r="L24" s="23" t="str">
        <f t="shared" si="0"/>
        <v>✗ Out of KPI</v>
      </c>
      <c r="M24" s="228">
        <f t="shared" si="1"/>
        <v>-60</v>
      </c>
      <c r="N24" s="17">
        <f t="shared" si="2"/>
        <v>32</v>
      </c>
      <c r="O24" s="18">
        <f t="shared" si="3"/>
        <v>4.7317073170731705</v>
      </c>
      <c r="P24" s="19" t="str">
        <f t="shared" si="4"/>
        <v>E-SATISFACTORY</v>
      </c>
    </row>
    <row r="25" spans="1:16" ht="15" customHeight="1" x14ac:dyDescent="0.3">
      <c r="A25" s="421" t="s">
        <v>416</v>
      </c>
      <c r="B25" s="2" t="s">
        <v>349</v>
      </c>
      <c r="C25" s="4">
        <f>COUNTIFS(F6Results_2026[Adv_Math],"A",F6Results_2026[From],"ST.JUDE")</f>
        <v>0</v>
      </c>
      <c r="D25" s="4">
        <f>COUNTIFS(F6Results_2026[Adv_Math],"B",F6Results_2026[From],"ST.JUDE")</f>
        <v>0</v>
      </c>
      <c r="E25" s="4">
        <f>COUNTIFS(F6Results_2026[Adv_Math],"C",F6Results_2026[From],"ST.JUDE")</f>
        <v>6</v>
      </c>
      <c r="F25" s="4">
        <f>COUNTIFS(F6Results_2026[Adv_Math],"D",F6Results_2026[From],"ST.JUDE")</f>
        <v>11</v>
      </c>
      <c r="G25" s="4">
        <f>COUNTIFS(F6Results_2026[Adv_Math],"E",F6Results_2026[From],"ST.JUDE")</f>
        <v>19</v>
      </c>
      <c r="H25" s="4">
        <f>COUNTIFS(F6Results_2026[Adv_Math],"S",F6Results_2026[From],"ST.JUDE")</f>
        <v>7</v>
      </c>
      <c r="I25" s="4">
        <f>COUNTIFS(F6Results_2026[Adv_Math],"F",F6Results_2026[From],"ST.JUDE")</f>
        <v>9</v>
      </c>
      <c r="J25" s="5">
        <f>COUNTIFS(F6Results_2026[Adv_Math],"&lt;&gt;",F6Results_2026[From],"ST.JUDE")</f>
        <v>52</v>
      </c>
      <c r="K25" s="222"/>
      <c r="L25" s="3" t="str">
        <f t="shared" si="0"/>
        <v>✗ Out of KPI</v>
      </c>
      <c r="M25" s="228">
        <f t="shared" si="1"/>
        <v>-60</v>
      </c>
      <c r="N25" s="17">
        <f t="shared" si="2"/>
        <v>46</v>
      </c>
      <c r="O25" s="18">
        <f t="shared" si="3"/>
        <v>5</v>
      </c>
      <c r="P25" s="19" t="str">
        <f t="shared" si="4"/>
        <v>E-SATISFACTORY</v>
      </c>
    </row>
    <row r="26" spans="1:16" ht="15" customHeight="1" x14ac:dyDescent="0.3">
      <c r="A26" s="422"/>
      <c r="B26" s="20" t="s">
        <v>432</v>
      </c>
      <c r="C26" s="21">
        <f>COUNTIFS(F6Results_2026[Adv_Math],"A",F6Results_2026[From],"GVT")</f>
        <v>0</v>
      </c>
      <c r="D26" s="21">
        <f>COUNTIFS(F6Results_2026[Adv_Math],"B",F6Results_2026[From],"GVT")</f>
        <v>0</v>
      </c>
      <c r="E26" s="21">
        <f>COUNTIFS(F6Results_2026[Adv_Math],"C",F6Results_2026[From],"GVT")</f>
        <v>4</v>
      </c>
      <c r="F26" s="21">
        <f>COUNTIFS(F6Results_2026[Adv_Math],"D",F6Results_2026[From],"GVT")</f>
        <v>5</v>
      </c>
      <c r="G26" s="21">
        <f>COUNTIFS(F6Results_2026[Adv_Math],"E",F6Results_2026[From],"GVT")</f>
        <v>1</v>
      </c>
      <c r="H26" s="21">
        <f>COUNTIFS(F6Results_2026[Adv_Math],"S",F6Results_2026[From],"GVT")</f>
        <v>0</v>
      </c>
      <c r="I26" s="21">
        <f>COUNTIFS(F6Results_2026[Adv_Math],"F",F6Results_2026[From],"GVT")</f>
        <v>0</v>
      </c>
      <c r="J26" s="22">
        <f>COUNTIFS(F6Results_2026[Adv_Math],"&lt;&gt;",F6Results_2026[From],"GVT")</f>
        <v>10</v>
      </c>
      <c r="K26" s="229"/>
      <c r="L26" s="23" t="str">
        <f t="shared" si="0"/>
        <v>✗ Out of KPI</v>
      </c>
      <c r="M26" s="228">
        <f t="shared" si="1"/>
        <v>-60</v>
      </c>
      <c r="N26" s="17">
        <f t="shared" si="2"/>
        <v>6</v>
      </c>
      <c r="O26" s="18">
        <f t="shared" si="3"/>
        <v>3.7</v>
      </c>
      <c r="P26" s="19" t="str">
        <f t="shared" si="4"/>
        <v>D-AVERAGE</v>
      </c>
    </row>
    <row r="27" spans="1:16" ht="15" customHeight="1" x14ac:dyDescent="0.3">
      <c r="A27" s="421" t="s">
        <v>417</v>
      </c>
      <c r="B27" s="2" t="s">
        <v>349</v>
      </c>
      <c r="C27" s="4">
        <f>COUNTIFS(F6Results_2026[Comp_Sci],"A",F6Results_2026[From],"ST.JUDE")</f>
        <v>0</v>
      </c>
      <c r="D27" s="4">
        <f>COUNTIFS(F6Results_2026[Comp_Sci],"B",F6Results_2026[From],"ST.JUDE")</f>
        <v>0</v>
      </c>
      <c r="E27" s="4">
        <f>COUNTIFS(F6Results_2026[Comp_Sci],"C",F6Results_2026[From],"ST.JUDE")</f>
        <v>3</v>
      </c>
      <c r="F27" s="4">
        <f>COUNTIFS(F6Results_2026[Comp_Sci],"D",F6Results_2026[From],"ST.JUDE")</f>
        <v>3</v>
      </c>
      <c r="G27" s="4">
        <f>COUNTIFS(F6Results_2026[Comp_Sci],"E",F6Results_2026[From],"ST.JUDE")</f>
        <v>0</v>
      </c>
      <c r="H27" s="4">
        <f>COUNTIFS(F6Results_2026[Comp_Sci],"S",F6Results_2026[From],"ST.JUDE")</f>
        <v>0</v>
      </c>
      <c r="I27" s="4">
        <f>COUNTIFS(F6Results_2026[Comp_Sci],"F",F6Results_2026[From],"ST.JUDE")</f>
        <v>1</v>
      </c>
      <c r="J27" s="5">
        <f>COUNTIFS(F6Results_2026[Comp_Sci],"&lt;&gt;",F6Results_2026[From],"ST.JUDE")</f>
        <v>7</v>
      </c>
      <c r="K27" s="222"/>
      <c r="L27" s="3" t="str">
        <f t="shared" si="0"/>
        <v>✗ Out of KPI</v>
      </c>
      <c r="M27" s="228">
        <f t="shared" si="1"/>
        <v>-60</v>
      </c>
      <c r="N27" s="17">
        <f t="shared" si="2"/>
        <v>4</v>
      </c>
      <c r="O27" s="18">
        <f t="shared" si="3"/>
        <v>3.8571428571428572</v>
      </c>
      <c r="P27" s="19" t="str">
        <f t="shared" si="4"/>
        <v>D-AVERAGE</v>
      </c>
    </row>
    <row r="28" spans="1:16" ht="15" customHeight="1" x14ac:dyDescent="0.3">
      <c r="A28" s="422"/>
      <c r="B28" s="20" t="s">
        <v>432</v>
      </c>
      <c r="C28" s="21">
        <f>COUNTIFS(F6Results_2026[Comp_Sci],"A",F6Results_2026[From],"GVT")</f>
        <v>0</v>
      </c>
      <c r="D28" s="21">
        <f>COUNTIFS(F6Results_2026[Comp_Sci],"B",F6Results_2026[From],"GVT")</f>
        <v>0</v>
      </c>
      <c r="E28" s="21">
        <f>COUNTIFS(F6Results_2026[Comp_Sci],"C",F6Results_2026[From],"GVT")</f>
        <v>0</v>
      </c>
      <c r="F28" s="21">
        <f>COUNTIFS(F6Results_2026[Comp_Sci],"D",F6Results_2026[From],"GVT")</f>
        <v>0</v>
      </c>
      <c r="G28" s="21">
        <f>COUNTIFS(F6Results_2026[Comp_Sci],"E",F6Results_2026[From],"GVT")</f>
        <v>0</v>
      </c>
      <c r="H28" s="21">
        <f>COUNTIFS(F6Results_2026[Comp_Sci],"S",F6Results_2026[From],"GVT")</f>
        <v>0</v>
      </c>
      <c r="I28" s="21">
        <f>COUNTIFS(F6Results_2026[Comp_Sci],"F",F6Results_2026[From],"GVT")</f>
        <v>0</v>
      </c>
      <c r="J28" s="22">
        <f>COUNTIFS(F6Results_2026[Comp_Sci],"&lt;&gt;",F6Results_2026[From],"GVT")</f>
        <v>0</v>
      </c>
      <c r="K28" s="229"/>
      <c r="L28" s="23" t="str">
        <f t="shared" si="0"/>
        <v>N/A</v>
      </c>
      <c r="M28" s="228">
        <f t="shared" si="1"/>
        <v>-60</v>
      </c>
      <c r="N28" s="17">
        <f t="shared" si="2"/>
        <v>0</v>
      </c>
      <c r="O28" s="18" t="str">
        <f t="shared" si="3"/>
        <v>N/A</v>
      </c>
      <c r="P28" s="19" t="str">
        <f t="shared" si="4"/>
        <v>N/A</v>
      </c>
    </row>
    <row r="29" spans="1:16" ht="15" customHeight="1" x14ac:dyDescent="0.3">
      <c r="A29" s="421" t="s">
        <v>418</v>
      </c>
      <c r="B29" s="2" t="s">
        <v>349</v>
      </c>
      <c r="C29" s="4">
        <f>COUNTIFS(F6Results_2026[Econ],"A",F6Results_2026[From],"ST.JUDE")</f>
        <v>0</v>
      </c>
      <c r="D29" s="4">
        <f>COUNTIFS(F6Results_2026[Econ],"B",F6Results_2026[From],"ST.JUDE")</f>
        <v>0</v>
      </c>
      <c r="E29" s="4">
        <f>COUNTIFS(F6Results_2026[Econ],"C",F6Results_2026[From],"ST.JUDE")</f>
        <v>14</v>
      </c>
      <c r="F29" s="4">
        <f>COUNTIFS(F6Results_2026[Econ],"D",F6Results_2026[From],"ST.JUDE")</f>
        <v>7</v>
      </c>
      <c r="G29" s="4">
        <f>COUNTIFS(F6Results_2026[Econ],"E",F6Results_2026[From],"ST.JUDE")</f>
        <v>1</v>
      </c>
      <c r="H29" s="4">
        <f>COUNTIFS(F6Results_2026[Econ],"S",F6Results_2026[From],"ST.JUDE")</f>
        <v>0</v>
      </c>
      <c r="I29" s="4">
        <f>COUNTIFS(F6Results_2026[Econ],"F",F6Results_2026[From],"ST.JUDE")</f>
        <v>18</v>
      </c>
      <c r="J29" s="5">
        <f>COUNTIFS(F6Results_2026[Econ],"&lt;&gt;",F6Results_2026[From],"ST.JUDE")</f>
        <v>40</v>
      </c>
      <c r="K29" s="222"/>
      <c r="L29" s="3" t="str">
        <f t="shared" si="0"/>
        <v>✗ Out of KPI</v>
      </c>
      <c r="M29" s="228">
        <f t="shared" si="1"/>
        <v>-60</v>
      </c>
      <c r="N29" s="17">
        <f t="shared" si="2"/>
        <v>26</v>
      </c>
      <c r="O29" s="18">
        <f t="shared" si="3"/>
        <v>4.5750000000000002</v>
      </c>
      <c r="P29" s="19" t="str">
        <f t="shared" si="4"/>
        <v>E-SATISFACTORY</v>
      </c>
    </row>
    <row r="30" spans="1:16" ht="15" customHeight="1" x14ac:dyDescent="0.3">
      <c r="A30" s="422"/>
      <c r="B30" s="20" t="s">
        <v>432</v>
      </c>
      <c r="C30" s="21">
        <f>COUNTIFS(F6Results_2026[Econ],"A",F6Results_2026[From],"GVT")</f>
        <v>0</v>
      </c>
      <c r="D30" s="21">
        <f>COUNTIFS(F6Results_2026[Econ],"B",F6Results_2026[From],"GVT")</f>
        <v>0</v>
      </c>
      <c r="E30" s="21">
        <f>COUNTIFS(F6Results_2026[Econ],"C",F6Results_2026[From],"GVT")</f>
        <v>0</v>
      </c>
      <c r="F30" s="21">
        <f>COUNTIFS(F6Results_2026[Econ],"D",F6Results_2026[From],"GVT")</f>
        <v>0</v>
      </c>
      <c r="G30" s="21">
        <f>COUNTIFS(F6Results_2026[Econ],"E",F6Results_2026[From],"GVT")</f>
        <v>0</v>
      </c>
      <c r="H30" s="21">
        <f>COUNTIFS(F6Results_2026[Econ],"S",F6Results_2026[From],"GVT")</f>
        <v>0</v>
      </c>
      <c r="I30" s="21">
        <f>COUNTIFS(F6Results_2026[Econ],"F",F6Results_2026[From],"GVT")</f>
        <v>0</v>
      </c>
      <c r="J30" s="22">
        <f>COUNTIFS(F6Results_2026[Econ],"&lt;&gt;",F6Results_2026[From],"GVT")</f>
        <v>0</v>
      </c>
      <c r="K30" s="229"/>
      <c r="L30" s="23" t="str">
        <f t="shared" si="0"/>
        <v>N/A</v>
      </c>
      <c r="M30" s="228">
        <f t="shared" si="1"/>
        <v>-60</v>
      </c>
      <c r="N30" s="17">
        <f t="shared" si="2"/>
        <v>0</v>
      </c>
      <c r="O30" s="18" t="str">
        <f t="shared" si="3"/>
        <v>N/A</v>
      </c>
      <c r="P30" s="19" t="str">
        <f t="shared" si="4"/>
        <v>N/A</v>
      </c>
    </row>
    <row r="31" spans="1:16" ht="15" customHeight="1" x14ac:dyDescent="0.3">
      <c r="A31" s="421" t="s">
        <v>419</v>
      </c>
      <c r="B31" s="2" t="s">
        <v>349</v>
      </c>
      <c r="C31" s="4">
        <f>COUNTIFS(F6Results_2026[Comm],"A",F6Results_2026[From],"ST.JUDE")</f>
        <v>0</v>
      </c>
      <c r="D31" s="4">
        <f>COUNTIFS(F6Results_2026[Comm],"B",F6Results_2026[From],"ST.JUDE")</f>
        <v>0</v>
      </c>
      <c r="E31" s="4">
        <f>COUNTIFS(F6Results_2026[Comm],"C",F6Results_2026[From],"ST.JUDE")</f>
        <v>0</v>
      </c>
      <c r="F31" s="4">
        <f>COUNTIFS(F6Results_2026[Comm],"D",F6Results_2026[From],"ST.JUDE")</f>
        <v>0</v>
      </c>
      <c r="G31" s="4">
        <f>COUNTIFS(F6Results_2026[Comm],"E",F6Results_2026[From],"ST.JUDE")</f>
        <v>0</v>
      </c>
      <c r="H31" s="4">
        <f>COUNTIFS(F6Results_2026[Comm],"S",F6Results_2026[From],"ST.JUDE")</f>
        <v>0</v>
      </c>
      <c r="I31" s="4">
        <f>COUNTIFS(F6Results_2026[Comm],"F",F6Results_2026[From],"ST.JUDE")</f>
        <v>13</v>
      </c>
      <c r="J31" s="5">
        <f>COUNTIFS(F6Results_2026[Comm],"&lt;&gt;",F6Results_2026[From],"ST.JUDE")</f>
        <v>13</v>
      </c>
      <c r="K31" s="222"/>
      <c r="L31" s="3" t="str">
        <f t="shared" si="0"/>
        <v>✗ Out of KPI</v>
      </c>
      <c r="M31" s="228">
        <f t="shared" si="1"/>
        <v>-60</v>
      </c>
      <c r="N31" s="17">
        <f t="shared" si="2"/>
        <v>13</v>
      </c>
      <c r="O31" s="18">
        <f t="shared" si="3"/>
        <v>6</v>
      </c>
      <c r="P31" s="19" t="str">
        <f t="shared" si="4"/>
        <v>S-SUBSIDIARY</v>
      </c>
    </row>
    <row r="32" spans="1:16" ht="15" customHeight="1" x14ac:dyDescent="0.3">
      <c r="A32" s="422"/>
      <c r="B32" s="20" t="s">
        <v>432</v>
      </c>
      <c r="C32" s="21">
        <f>COUNTIFS(F6Results_2026[Comm],"A",F6Results_2026[From],"GVT")</f>
        <v>0</v>
      </c>
      <c r="D32" s="21">
        <f>COUNTIFS(F6Results_2026[Comm],"B",F6Results_2026[From],"GVT")</f>
        <v>0</v>
      </c>
      <c r="E32" s="21">
        <f>COUNTIFS(F6Results_2026[Comm],"C",F6Results_2026[From],"GVT")</f>
        <v>0</v>
      </c>
      <c r="F32" s="21">
        <f>COUNTIFS(F6Results_2026[Comm],"D",F6Results_2026[From],"GVT")</f>
        <v>0</v>
      </c>
      <c r="G32" s="21">
        <f>COUNTIFS(F6Results_2026[Comm],"E",F6Results_2026[From],"GVT")</f>
        <v>0</v>
      </c>
      <c r="H32" s="21">
        <f>COUNTIFS(F6Results_2026[Comm],"S",F6Results_2026[From],"GVT")</f>
        <v>0</v>
      </c>
      <c r="I32" s="21">
        <f>COUNTIFS(F6Results_2026[Comm],"F",F6Results_2026[From],"GVT")</f>
        <v>0</v>
      </c>
      <c r="J32" s="22">
        <f>COUNTIFS(F6Results_2026[Comm],"&lt;&gt;",F6Results_2026[From],"GVT")</f>
        <v>0</v>
      </c>
      <c r="K32" s="229"/>
      <c r="L32" s="23" t="str">
        <f t="shared" si="0"/>
        <v>N/A</v>
      </c>
      <c r="M32" s="228">
        <f t="shared" si="1"/>
        <v>-60</v>
      </c>
      <c r="N32" s="17">
        <f t="shared" si="2"/>
        <v>0</v>
      </c>
      <c r="O32" s="18" t="str">
        <f t="shared" si="3"/>
        <v>N/A</v>
      </c>
      <c r="P32" s="19" t="str">
        <f t="shared" si="4"/>
        <v>N/A</v>
      </c>
    </row>
    <row r="33" spans="1:17" ht="15" customHeight="1" x14ac:dyDescent="0.3">
      <c r="A33" s="421" t="s">
        <v>420</v>
      </c>
      <c r="B33" s="2" t="s">
        <v>349</v>
      </c>
      <c r="C33" s="4">
        <f>COUNTIFS(F6Results_2026[Acco],"A",F6Results_2026[From],"ST.JUDE")</f>
        <v>0</v>
      </c>
      <c r="D33" s="4">
        <f>COUNTIFS(F6Results_2026[Acco],"B",F6Results_2026[From],"ST.JUDE")</f>
        <v>0</v>
      </c>
      <c r="E33" s="4">
        <f>COUNTIFS(F6Results_2026[Acco],"C",F6Results_2026[From],"ST.JUDE")</f>
        <v>4</v>
      </c>
      <c r="F33" s="4">
        <f>COUNTIFS(F6Results_2026[Acco],"D",F6Results_2026[From],"ST.JUDE")</f>
        <v>5</v>
      </c>
      <c r="G33" s="4">
        <f>COUNTIFS(F6Results_2026[Acco],"E",F6Results_2026[From],"ST.JUDE")</f>
        <v>1</v>
      </c>
      <c r="H33" s="4">
        <f>COUNTIFS(F6Results_2026[Acco],"S",F6Results_2026[From],"ST.JUDE")</f>
        <v>0</v>
      </c>
      <c r="I33" s="4">
        <f>COUNTIFS(F6Results_2026[Acco],"F",F6Results_2026[From],"ST.JUDE")</f>
        <v>3</v>
      </c>
      <c r="J33" s="5">
        <f>COUNTIFS(F6Results_2026[Acco],"&lt;&gt;",F6Results_2026[From],"ST.JUDE")</f>
        <v>13</v>
      </c>
      <c r="K33" s="222"/>
      <c r="L33" s="3" t="str">
        <f t="shared" si="0"/>
        <v>✗ Out of KPI</v>
      </c>
      <c r="M33" s="228">
        <f t="shared" si="1"/>
        <v>-60</v>
      </c>
      <c r="N33" s="17">
        <f t="shared" si="2"/>
        <v>9</v>
      </c>
      <c r="O33" s="18">
        <f t="shared" si="3"/>
        <v>4.2307692307692308</v>
      </c>
      <c r="P33" s="19" t="str">
        <f t="shared" si="4"/>
        <v>D-AVERAGE</v>
      </c>
    </row>
    <row r="34" spans="1:17" ht="15" customHeight="1" x14ac:dyDescent="0.3">
      <c r="A34" s="422"/>
      <c r="B34" s="20" t="s">
        <v>432</v>
      </c>
      <c r="C34" s="21">
        <f>COUNTIFS(F6Results_2026[Acco],"A",F6Results_2026[From],"GVT")</f>
        <v>0</v>
      </c>
      <c r="D34" s="21">
        <f>COUNTIFS(F6Results_2026[Acco],"B",F6Results_2026[From],"GVT")</f>
        <v>0</v>
      </c>
      <c r="E34" s="21">
        <f>COUNTIFS(F6Results_2026[Acco],"C",F6Results_2026[From],"GVT")</f>
        <v>0</v>
      </c>
      <c r="F34" s="21">
        <f>COUNTIFS(F6Results_2026[Acco],"D",F6Results_2026[From],"GVT")</f>
        <v>0</v>
      </c>
      <c r="G34" s="21">
        <f>COUNTIFS(F6Results_2026[Acco],"E",F6Results_2026[From],"GVT")</f>
        <v>0</v>
      </c>
      <c r="H34" s="21">
        <f>COUNTIFS(F6Results_2026[Acco],"S",F6Results_2026[From],"GVT")</f>
        <v>0</v>
      </c>
      <c r="I34" s="21">
        <f>COUNTIFS(F6Results_2026[Acco],"F",F6Results_2026[From],"GVT")</f>
        <v>0</v>
      </c>
      <c r="J34" s="22">
        <f>COUNTIFS(F6Results_2026[Acco],"&lt;&gt;",F6Results_2026[From],"GVT")</f>
        <v>0</v>
      </c>
      <c r="K34" s="229"/>
      <c r="L34" s="23" t="str">
        <f t="shared" si="0"/>
        <v>N/A</v>
      </c>
      <c r="M34" s="228">
        <f t="shared" si="1"/>
        <v>-60</v>
      </c>
      <c r="N34" s="17">
        <f t="shared" si="2"/>
        <v>0</v>
      </c>
      <c r="O34" s="18" t="str">
        <f t="shared" si="3"/>
        <v>N/A</v>
      </c>
      <c r="P34" s="19" t="str">
        <f t="shared" si="4"/>
        <v>N/A</v>
      </c>
    </row>
    <row r="37" spans="1:17" ht="18" customHeight="1" x14ac:dyDescent="0.3">
      <c r="A37" s="424" t="s">
        <v>421</v>
      </c>
      <c r="B37" s="423"/>
      <c r="C37" s="423"/>
      <c r="D37" s="423"/>
      <c r="E37" s="423"/>
      <c r="F37" s="423"/>
      <c r="G37" s="423"/>
      <c r="H37" s="423"/>
      <c r="I37" s="423"/>
      <c r="J37" s="423"/>
      <c r="K37" s="423"/>
      <c r="L37" s="423"/>
      <c r="M37" s="423"/>
      <c r="N37" s="423"/>
      <c r="O37" s="423"/>
      <c r="P37" s="423"/>
      <c r="Q37" s="423"/>
    </row>
    <row r="38" spans="1:17" ht="18" customHeight="1" x14ac:dyDescent="0.3">
      <c r="A38" s="1" t="s">
        <v>357</v>
      </c>
      <c r="B38" s="1" t="s">
        <v>343</v>
      </c>
      <c r="C38" s="1" t="s">
        <v>422</v>
      </c>
      <c r="D38" s="1" t="s">
        <v>423</v>
      </c>
      <c r="E38" s="1" t="s">
        <v>424</v>
      </c>
      <c r="F38" s="1" t="s">
        <v>425</v>
      </c>
      <c r="G38" s="1" t="s">
        <v>426</v>
      </c>
      <c r="H38" s="1" t="s">
        <v>427</v>
      </c>
      <c r="I38" s="1" t="s">
        <v>428</v>
      </c>
      <c r="J38" s="1" t="s">
        <v>344</v>
      </c>
      <c r="K38" s="1" t="s">
        <v>347</v>
      </c>
      <c r="L38" s="1" t="s">
        <v>348</v>
      </c>
      <c r="M38" s="16" t="s">
        <v>405</v>
      </c>
      <c r="N38" s="1" t="s">
        <v>429</v>
      </c>
      <c r="O38" s="1" t="s">
        <v>394</v>
      </c>
      <c r="P38" s="1" t="s">
        <v>0</v>
      </c>
    </row>
    <row r="39" spans="1:17" ht="15" customHeight="1" x14ac:dyDescent="0.3">
      <c r="A39" s="421" t="s">
        <v>407</v>
      </c>
      <c r="B39" s="2" t="s">
        <v>349</v>
      </c>
      <c r="C39" s="222">
        <f>IFERROR((COUNTIFS(F6Results_2026[Gs],"A",F6Results_2026[From],"ST.JUDE"))/(COUNTIFS(F6Results_2026[Gs],"&lt;&gt;",F6Results_2026[From],"ST.JUDE"))*100,0)</f>
        <v>0.79365079365079361</v>
      </c>
      <c r="D39" s="222">
        <f>IFERROR((COUNTIFS(F6Results_2026[Gs],"B",F6Results_2026[From],"ST.JUDE"))/(COUNTIFS(F6Results_2026[Gs],"&lt;&gt;",F6Results_2026[From],"ST.JUDE"))*100,0)</f>
        <v>0</v>
      </c>
      <c r="E39" s="222">
        <f>IFERROR((COUNTIFS(F6Results_2026[Gs],"C",F6Results_2026[From],"ST.JUDE"))/(COUNTIFS(F6Results_2026[Gs],"&lt;&gt;",F6Results_2026[From],"ST.JUDE"))*100,0)</f>
        <v>0</v>
      </c>
      <c r="F39" s="222">
        <f>IFERROR((COUNTIFS(F6Results_2026[Gs],"D",F6Results_2026[From],"ST.JUDE"))/(COUNTIFS(F6Results_2026[Gs],"&lt;&gt;",F6Results_2026[From],"ST.JUDE"))*100,0)</f>
        <v>19.047619047619047</v>
      </c>
      <c r="G39" s="222">
        <f>IFERROR((COUNTIFS(F6Results_2026[Gs],"E",F6Results_2026[From],"ST.JUDE"))/(COUNTIFS(F6Results_2026[Gs],"&lt;&gt;",F6Results_2026[From],"ST.JUDE"))*100,0)</f>
        <v>50.793650793650791</v>
      </c>
      <c r="H39" s="222">
        <f>IFERROR((COUNTIFS(F6Results_2026[Gs],"S",F6Results_2026[From],"ST.JUDE"))/(COUNTIFS(F6Results_2026[Gs],"&lt;&gt;",F6Results_2026[From],"ST.JUDE"))*100,0)</f>
        <v>15.079365079365079</v>
      </c>
      <c r="I39" s="222">
        <f>IFERROR((COUNTIFS(F6Results_2026[Gs],"F",F6Results_2026[From],"ST.JUDE"))/(COUNTIFS(F6Results_2026[Gs],"&lt;&gt;",F6Results_2026[From],"ST.JUDE"))*100,0)</f>
        <v>13.492063492063492</v>
      </c>
      <c r="J39" s="6" t="str">
        <f>IF(COUNTIFS(F6Results_2026[Gs],"&lt;&gt;",F6Results_2026[From],"ST.JUDE")=0,"N/A","100%")</f>
        <v>100%</v>
      </c>
      <c r="K39" s="222">
        <f>IFERROR((COUNTIFS(F6Results_2026[Gs],"A",F6Results_2026[From],"ST.JUDE")*5+COUNTIFS(F6Results_2026[Gs],"B",F6Results_2026[From],"ST.JUDE")*4+COUNTIFS(F6Results_2026[Gs],"C",F6Results_2026[From],"ST.JUDE")*3+COUNTIFS(F6Results_2026[Gs],"D",F6Results_2026[From],"ST.JUDE")*2+COUNTIFS(F6Results_2026[Gs],"E",F6Results_2026[From],"ST.JUDE")*1+COUNTIFS(F6Results_2026[Gs],"S",F6Results_2026[From],"ST.JUDE")*0.5)/((COUNTIFS(F6Results_2026[Gs],"&lt;&gt;",F6Results_2026[From],"ST.JUDE"))*5)*100,0)</f>
        <v>20.079365079365079</v>
      </c>
      <c r="L39" s="3" t="str">
        <f>IF((COUNTIFS(F6Results_2026[Gs],"&lt;&gt;",F6Results_2026[From],"ST.JUDE"))=0,"N/A",IF(K39&gt;=60,"✓ Within KPI","✗ Out of KPI"))</f>
        <v>✗ Out of KPI</v>
      </c>
      <c r="M39" s="228">
        <f t="shared" ref="M39:M68" si="5">K39-60</f>
        <v>-39.920634920634924</v>
      </c>
      <c r="N39" s="230">
        <f t="shared" ref="N39:N68" si="6">SUM(F39:I39)</f>
        <v>98.412698412698404</v>
      </c>
      <c r="O39" s="24">
        <f t="shared" ref="O39:P68" si="7">O5</f>
        <v>5.1746031746031749</v>
      </c>
      <c r="P39" s="19" t="str">
        <f t="shared" si="7"/>
        <v>E-SATISFACTORY</v>
      </c>
    </row>
    <row r="40" spans="1:17" ht="15" customHeight="1" x14ac:dyDescent="0.3">
      <c r="A40" s="422"/>
      <c r="B40" s="20" t="s">
        <v>432</v>
      </c>
      <c r="C40" s="229">
        <f>IFERROR((COUNTIFS(F6Results_2026[Gs],"A",F6Results_2026[From],"GVT"))/(COUNTIFS(F6Results_2026[Gs],"&lt;&gt;",F6Results_2026[From],"GVT"))*100,0)</f>
        <v>0</v>
      </c>
      <c r="D40" s="229">
        <f>IFERROR((COUNTIFS(F6Results_2026[Gs],"B",F6Results_2026[From],"GVT"))/(COUNTIFS(F6Results_2026[Gs],"&lt;&gt;",F6Results_2026[From],"GVT"))*100,0)</f>
        <v>0</v>
      </c>
      <c r="E40" s="229">
        <f>IFERROR((COUNTIFS(F6Results_2026[Gs],"C",F6Results_2026[From],"GVT"))/(COUNTIFS(F6Results_2026[Gs],"&lt;&gt;",F6Results_2026[From],"GVT"))*100,0)</f>
        <v>0</v>
      </c>
      <c r="F40" s="229">
        <f>IFERROR((COUNTIFS(F6Results_2026[Gs],"D",F6Results_2026[From],"GVT"))/(COUNTIFS(F6Results_2026[Gs],"&lt;&gt;",F6Results_2026[From],"GVT"))*100,0)</f>
        <v>21.875</v>
      </c>
      <c r="G40" s="229">
        <f>IFERROR((COUNTIFS(F6Results_2026[Gs],"E",F6Results_2026[From],"GVT"))/(COUNTIFS(F6Results_2026[Gs],"&lt;&gt;",F6Results_2026[From],"GVT"))*100,0)</f>
        <v>53.125</v>
      </c>
      <c r="H40" s="229">
        <f>IFERROR((COUNTIFS(F6Results_2026[Gs],"S",F6Results_2026[From],"GVT"))/(COUNTIFS(F6Results_2026[Gs],"&lt;&gt;",F6Results_2026[From],"GVT"))*100,0)</f>
        <v>9.375</v>
      </c>
      <c r="I40" s="229">
        <f>IFERROR((COUNTIFS(F6Results_2026[Gs],"F",F6Results_2026[From],"GVT"))/(COUNTIFS(F6Results_2026[Gs],"&lt;&gt;",F6Results_2026[From],"GVT"))*100,0)</f>
        <v>15.625</v>
      </c>
      <c r="J40" s="25" t="str">
        <f>IF(COUNTIFS(F6Results_2026[Gs],"&lt;&gt;",F6Results_2026[From],"GVT")=0,"N/A","100%")</f>
        <v>100%</v>
      </c>
      <c r="K40" s="229">
        <f>IFERROR((COUNTIFS(F6Results_2026[Gs],"A",F6Results_2026[From],"GVT")*5+COUNTIFS(F6Results_2026[Gs],"B",F6Results_2026[From],"GVT")*4+COUNTIFS(F6Results_2026[Gs],"C",F6Results_2026[From],"GVT")*3+COUNTIFS(F6Results_2026[Gs],"D",F6Results_2026[From],"GVT")*2+COUNTIFS(F6Results_2026[Gs],"E",F6Results_2026[From],"GVT")*1+COUNTIFS(F6Results_2026[Gs],"S",F6Results_2026[From],"GVT")*0.5)/((COUNTIFS(F6Results_2026[Gs],"&lt;&gt;",F6Results_2026[From],"GVT"))*5)*100,0)</f>
        <v>20.3125</v>
      </c>
      <c r="L40" s="23" t="str">
        <f>IF((COUNTIFS(F6Results_2026[Gs],"&lt;&gt;",F6Results_2026[From],"GVT"))=0,"N/A",IF(K40&gt;=60,"✓ Within KPI","✗ Out of KPI"))</f>
        <v>✗ Out of KPI</v>
      </c>
      <c r="M40" s="228">
        <f t="shared" si="5"/>
        <v>-39.6875</v>
      </c>
      <c r="N40" s="230">
        <f t="shared" si="6"/>
        <v>100</v>
      </c>
      <c r="O40" s="24">
        <f t="shared" si="7"/>
        <v>5.125</v>
      </c>
      <c r="P40" s="19" t="str">
        <f t="shared" si="7"/>
        <v>E-SATISFACTORY</v>
      </c>
    </row>
    <row r="41" spans="1:17" ht="15" customHeight="1" x14ac:dyDescent="0.3">
      <c r="A41" s="421" t="s">
        <v>408</v>
      </c>
      <c r="B41" s="2" t="s">
        <v>349</v>
      </c>
      <c r="C41" s="222">
        <f>IFERROR((COUNTIFS(F6Results_2026[Hist],"A",F6Results_2026[From],"ST.JUDE"))/(COUNTIFS(F6Results_2026[Hist],"&lt;&gt;",F6Results_2026[From],"ST.JUDE"))*100,0)</f>
        <v>2.5</v>
      </c>
      <c r="D41" s="222">
        <f>IFERROR((COUNTIFS(F6Results_2026[Hist],"B",F6Results_2026[From],"ST.JUDE"))/(COUNTIFS(F6Results_2026[Hist],"&lt;&gt;",F6Results_2026[From],"ST.JUDE"))*100,0)</f>
        <v>0</v>
      </c>
      <c r="E41" s="222">
        <f>IFERROR((COUNTIFS(F6Results_2026[Hist],"C",F6Results_2026[From],"ST.JUDE"))/(COUNTIFS(F6Results_2026[Hist],"&lt;&gt;",F6Results_2026[From],"ST.JUDE"))*100,0)</f>
        <v>27.500000000000004</v>
      </c>
      <c r="F41" s="222">
        <f>IFERROR((COUNTIFS(F6Results_2026[Hist],"D",F6Results_2026[From],"ST.JUDE"))/(COUNTIFS(F6Results_2026[Hist],"&lt;&gt;",F6Results_2026[From],"ST.JUDE"))*100,0)</f>
        <v>62.5</v>
      </c>
      <c r="G41" s="222">
        <f>IFERROR((COUNTIFS(F6Results_2026[Hist],"E",F6Results_2026[From],"ST.JUDE"))/(COUNTIFS(F6Results_2026[Hist],"&lt;&gt;",F6Results_2026[From],"ST.JUDE"))*100,0)</f>
        <v>5</v>
      </c>
      <c r="H41" s="222">
        <f>IFERROR((COUNTIFS(F6Results_2026[Hist],"S",F6Results_2026[From],"ST.JUDE"))/(COUNTIFS(F6Results_2026[Hist],"&lt;&gt;",F6Results_2026[From],"ST.JUDE"))*100,0)</f>
        <v>0</v>
      </c>
      <c r="I41" s="222">
        <f>IFERROR((COUNTIFS(F6Results_2026[Hist],"F",F6Results_2026[From],"ST.JUDE"))/(COUNTIFS(F6Results_2026[Hist],"&lt;&gt;",F6Results_2026[From],"ST.JUDE"))*100,0)</f>
        <v>0</v>
      </c>
      <c r="J41" s="6" t="str">
        <f>IF(COUNTIFS(F6Results_2026[Hist],"&lt;&gt;",F6Results_2026[From],"ST.JUDE")=0,"N/A","100%")</f>
        <v>100%</v>
      </c>
      <c r="K41" s="222">
        <f>IFERROR((COUNTIFS(F6Results_2026[Hist],"A",F6Results_2026[From],"ST.JUDE")*5+COUNTIFS(F6Results_2026[Hist],"B",F6Results_2026[From],"ST.JUDE")*4+COUNTIFS(F6Results_2026[Hist],"C",F6Results_2026[From],"ST.JUDE")*3+COUNTIFS(F6Results_2026[Hist],"D",F6Results_2026[From],"ST.JUDE")*2+COUNTIFS(F6Results_2026[Hist],"E",F6Results_2026[From],"ST.JUDE")*1+COUNTIFS(F6Results_2026[Hist],"S",F6Results_2026[From],"ST.JUDE")*0.5)/((COUNTIFS(F6Results_2026[Hist],"&lt;&gt;",F6Results_2026[From],"ST.JUDE"))*5)*100,0)</f>
        <v>45</v>
      </c>
      <c r="L41" s="3" t="str">
        <f>IF((COUNTIFS(F6Results_2026[Hist],"&lt;&gt;",F6Results_2026[From],"ST.JUDE"))=0,"N/A",IF(K41&gt;=60,"✓ Within KPI","✗ Out of KPI"))</f>
        <v>✗ Out of KPI</v>
      </c>
      <c r="M41" s="228">
        <f t="shared" si="5"/>
        <v>-15</v>
      </c>
      <c r="N41" s="230">
        <f t="shared" si="6"/>
        <v>67.5</v>
      </c>
      <c r="O41" s="24">
        <f t="shared" si="7"/>
        <v>3.6</v>
      </c>
      <c r="P41" s="19" t="str">
        <f t="shared" si="7"/>
        <v>D-AVERAGE</v>
      </c>
    </row>
    <row r="42" spans="1:17" ht="15" customHeight="1" x14ac:dyDescent="0.3">
      <c r="A42" s="422"/>
      <c r="B42" s="20" t="s">
        <v>432</v>
      </c>
      <c r="C42" s="229">
        <f>IFERROR((COUNTIFS(F6Results_2026[Hist],"A",F6Results_2026[From],"GVT"))/(COUNTIFS(F6Results_2026[Hist],"&lt;&gt;",F6Results_2026[From],"GVT"))*100,0)</f>
        <v>0</v>
      </c>
      <c r="D42" s="229">
        <f>IFERROR((COUNTIFS(F6Results_2026[Hist],"B",F6Results_2026[From],"GVT"))/(COUNTIFS(F6Results_2026[Hist],"&lt;&gt;",F6Results_2026[From],"GVT"))*100,0)</f>
        <v>7.6923076923076925</v>
      </c>
      <c r="E42" s="229">
        <f>IFERROR((COUNTIFS(F6Results_2026[Hist],"C",F6Results_2026[From],"GVT"))/(COUNTIFS(F6Results_2026[Hist],"&lt;&gt;",F6Results_2026[From],"GVT"))*100,0)</f>
        <v>76.923076923076934</v>
      </c>
      <c r="F42" s="229">
        <f>IFERROR((COUNTIFS(F6Results_2026[Hist],"D",F6Results_2026[From],"GVT"))/(COUNTIFS(F6Results_2026[Hist],"&lt;&gt;",F6Results_2026[From],"GVT"))*100,0)</f>
        <v>15.384615384615385</v>
      </c>
      <c r="G42" s="229">
        <f>IFERROR((COUNTIFS(F6Results_2026[Hist],"E",F6Results_2026[From],"GVT"))/(COUNTIFS(F6Results_2026[Hist],"&lt;&gt;",F6Results_2026[From],"GVT"))*100,0)</f>
        <v>0</v>
      </c>
      <c r="H42" s="229">
        <f>IFERROR((COUNTIFS(F6Results_2026[Hist],"S",F6Results_2026[From],"GVT"))/(COUNTIFS(F6Results_2026[Hist],"&lt;&gt;",F6Results_2026[From],"GVT"))*100,0)</f>
        <v>0</v>
      </c>
      <c r="I42" s="229">
        <f>IFERROR((COUNTIFS(F6Results_2026[Hist],"F",F6Results_2026[From],"GVT"))/(COUNTIFS(F6Results_2026[Hist],"&lt;&gt;",F6Results_2026[From],"GVT"))*100,0)</f>
        <v>0</v>
      </c>
      <c r="J42" s="25" t="str">
        <f>IF(COUNTIFS(F6Results_2026[Hist],"&lt;&gt;",F6Results_2026[From],"GVT")=0,"N/A","100%")</f>
        <v>100%</v>
      </c>
      <c r="K42" s="229">
        <f>IFERROR((COUNTIFS(F6Results_2026[Hist],"A",F6Results_2026[From],"GVT")*5+COUNTIFS(F6Results_2026[Hist],"B",F6Results_2026[From],"GVT")*4+COUNTIFS(F6Results_2026[Hist],"C",F6Results_2026[From],"GVT")*3+COUNTIFS(F6Results_2026[Hist],"D",F6Results_2026[From],"GVT")*2+COUNTIFS(F6Results_2026[Hist],"E",F6Results_2026[From],"GVT")*1+COUNTIFS(F6Results_2026[Hist],"S",F6Results_2026[From],"GVT")*0.5)/((COUNTIFS(F6Results_2026[Hist],"&lt;&gt;",F6Results_2026[From],"GVT"))*5)*100,0)</f>
        <v>58.461538461538467</v>
      </c>
      <c r="L42" s="23" t="str">
        <f>IF((COUNTIFS(F6Results_2026[Hist],"&lt;&gt;",F6Results_2026[From],"GVT"))=0,"N/A",IF(K42&gt;=60,"✓ Within KPI","✗ Out of KPI"))</f>
        <v>✗ Out of KPI</v>
      </c>
      <c r="M42" s="228">
        <f t="shared" si="5"/>
        <v>-1.538461538461533</v>
      </c>
      <c r="N42" s="230">
        <f t="shared" si="6"/>
        <v>15.384615384615385</v>
      </c>
      <c r="O42" s="24">
        <f t="shared" si="7"/>
        <v>3.0769230769230771</v>
      </c>
      <c r="P42" s="19" t="str">
        <f t="shared" si="7"/>
        <v>C-GOOD</v>
      </c>
    </row>
    <row r="43" spans="1:17" ht="15" customHeight="1" x14ac:dyDescent="0.3">
      <c r="A43" s="421" t="s">
        <v>409</v>
      </c>
      <c r="B43" s="2" t="s">
        <v>349</v>
      </c>
      <c r="C43" s="222">
        <f>IFERROR((COUNTIFS(F6Results_2026[Geo],"A",F6Results_2026[From],"ST.JUDE"))/(COUNTIFS(F6Results_2026[Geo],"&lt;&gt;",F6Results_2026[From],"ST.JUDE"))*100,0)</f>
        <v>4.4776119402985071</v>
      </c>
      <c r="D43" s="222">
        <f>IFERROR((COUNTIFS(F6Results_2026[Geo],"B",F6Results_2026[From],"ST.JUDE"))/(COUNTIFS(F6Results_2026[Geo],"&lt;&gt;",F6Results_2026[From],"ST.JUDE"))*100,0)</f>
        <v>23.880597014925371</v>
      </c>
      <c r="E43" s="222">
        <f>IFERROR((COUNTIFS(F6Results_2026[Geo],"C",F6Results_2026[From],"ST.JUDE"))/(COUNTIFS(F6Results_2026[Geo],"&lt;&gt;",F6Results_2026[From],"ST.JUDE"))*100,0)</f>
        <v>43.283582089552233</v>
      </c>
      <c r="F43" s="222">
        <f>IFERROR((COUNTIFS(F6Results_2026[Geo],"D",F6Results_2026[From],"ST.JUDE"))/(COUNTIFS(F6Results_2026[Geo],"&lt;&gt;",F6Results_2026[From],"ST.JUDE"))*100,0)</f>
        <v>22.388059701492537</v>
      </c>
      <c r="G43" s="222">
        <f>IFERROR((COUNTIFS(F6Results_2026[Geo],"E",F6Results_2026[From],"ST.JUDE"))/(COUNTIFS(F6Results_2026[Geo],"&lt;&gt;",F6Results_2026[From],"ST.JUDE"))*100,0)</f>
        <v>4.4776119402985071</v>
      </c>
      <c r="H43" s="222">
        <f>IFERROR((COUNTIFS(F6Results_2026[Geo],"S",F6Results_2026[From],"ST.JUDE"))/(COUNTIFS(F6Results_2026[Geo],"&lt;&gt;",F6Results_2026[From],"ST.JUDE"))*100,0)</f>
        <v>0</v>
      </c>
      <c r="I43" s="222">
        <f>IFERROR((COUNTIFS(F6Results_2026[Geo],"F",F6Results_2026[From],"ST.JUDE"))/(COUNTIFS(F6Results_2026[Geo],"&lt;&gt;",F6Results_2026[From],"ST.JUDE"))*100,0)</f>
        <v>0</v>
      </c>
      <c r="J43" s="6" t="str">
        <f>IF(COUNTIFS(F6Results_2026[Geo],"&lt;&gt;",F6Results_2026[From],"ST.JUDE")=0,"N/A","100%")</f>
        <v>100%</v>
      </c>
      <c r="K43" s="222">
        <f>IFERROR((COUNTIFS(F6Results_2026[Geo],"A",F6Results_2026[From],"ST.JUDE")*5+COUNTIFS(F6Results_2026[Geo],"B",F6Results_2026[From],"ST.JUDE")*4+COUNTIFS(F6Results_2026[Geo],"C",F6Results_2026[From],"ST.JUDE")*3+COUNTIFS(F6Results_2026[Geo],"D",F6Results_2026[From],"ST.JUDE")*2+COUNTIFS(F6Results_2026[Geo],"E",F6Results_2026[From],"ST.JUDE")*1+COUNTIFS(F6Results_2026[Geo],"S",F6Results_2026[From],"ST.JUDE")*0.5)/((COUNTIFS(F6Results_2026[Geo],"&lt;&gt;",F6Results_2026[From],"ST.JUDE"))*5)*100,0)</f>
        <v>59.402985074626869</v>
      </c>
      <c r="L43" s="3" t="str">
        <f>IF((COUNTIFS(F6Results_2026[Geo],"&lt;&gt;",F6Results_2026[From],"ST.JUDE"))=0,"N/A",IF(K43&gt;=60,"✓ Within KPI","✗ Out of KPI"))</f>
        <v>✗ Out of KPI</v>
      </c>
      <c r="M43" s="228">
        <f t="shared" si="5"/>
        <v>-0.59701492537313072</v>
      </c>
      <c r="N43" s="230">
        <f t="shared" si="6"/>
        <v>26.865671641791046</v>
      </c>
      <c r="O43" s="24">
        <f t="shared" si="7"/>
        <v>2.9402985074626864</v>
      </c>
      <c r="P43" s="19" t="str">
        <f t="shared" si="7"/>
        <v>C-GOOD</v>
      </c>
    </row>
    <row r="44" spans="1:17" ht="15" customHeight="1" x14ac:dyDescent="0.3">
      <c r="A44" s="422"/>
      <c r="B44" s="20" t="s">
        <v>432</v>
      </c>
      <c r="C44" s="229">
        <f>IFERROR((COUNTIFS(F6Results_2026[Geo],"A",F6Results_2026[From],"GVT"))/(COUNTIFS(F6Results_2026[Geo],"&lt;&gt;",F6Results_2026[From],"GVT"))*100,0)</f>
        <v>0</v>
      </c>
      <c r="D44" s="229">
        <f>IFERROR((COUNTIFS(F6Results_2026[Geo],"B",F6Results_2026[From],"GVT"))/(COUNTIFS(F6Results_2026[Geo],"&lt;&gt;",F6Results_2026[From],"GVT"))*100,0)</f>
        <v>15.384615384615385</v>
      </c>
      <c r="E44" s="229">
        <f>IFERROR((COUNTIFS(F6Results_2026[Geo],"C",F6Results_2026[From],"GVT"))/(COUNTIFS(F6Results_2026[Geo],"&lt;&gt;",F6Results_2026[From],"GVT"))*100,0)</f>
        <v>76.923076923076934</v>
      </c>
      <c r="F44" s="229">
        <f>IFERROR((COUNTIFS(F6Results_2026[Geo],"D",F6Results_2026[From],"GVT"))/(COUNTIFS(F6Results_2026[Geo],"&lt;&gt;",F6Results_2026[From],"GVT"))*100,0)</f>
        <v>7.6923076923076925</v>
      </c>
      <c r="G44" s="229">
        <f>IFERROR((COUNTIFS(F6Results_2026[Geo],"E",F6Results_2026[From],"GVT"))/(COUNTIFS(F6Results_2026[Geo],"&lt;&gt;",F6Results_2026[From],"GVT"))*100,0)</f>
        <v>0</v>
      </c>
      <c r="H44" s="229">
        <f>IFERROR((COUNTIFS(F6Results_2026[Geo],"S",F6Results_2026[From],"GVT"))/(COUNTIFS(F6Results_2026[Geo],"&lt;&gt;",F6Results_2026[From],"GVT"))*100,0)</f>
        <v>0</v>
      </c>
      <c r="I44" s="229">
        <f>IFERROR((COUNTIFS(F6Results_2026[Geo],"F",F6Results_2026[From],"GVT"))/(COUNTIFS(F6Results_2026[Geo],"&lt;&gt;",F6Results_2026[From],"GVT"))*100,0)</f>
        <v>0</v>
      </c>
      <c r="J44" s="25" t="str">
        <f>IF(COUNTIFS(F6Results_2026[Geo],"&lt;&gt;",F6Results_2026[From],"GVT")=0,"N/A","100%")</f>
        <v>100%</v>
      </c>
      <c r="K44" s="229">
        <f>IFERROR((COUNTIFS(F6Results_2026[Geo],"A",F6Results_2026[From],"GVT")*5+COUNTIFS(F6Results_2026[Geo],"B",F6Results_2026[From],"GVT")*4+COUNTIFS(F6Results_2026[Geo],"C",F6Results_2026[From],"GVT")*3+COUNTIFS(F6Results_2026[Geo],"D",F6Results_2026[From],"GVT")*2+COUNTIFS(F6Results_2026[Geo],"E",F6Results_2026[From],"GVT")*1+COUNTIFS(F6Results_2026[Geo],"S",F6Results_2026[From],"GVT")*0.5)/((COUNTIFS(F6Results_2026[Geo],"&lt;&gt;",F6Results_2026[From],"GVT"))*5)*100,0)</f>
        <v>61.53846153846154</v>
      </c>
      <c r="L44" s="23" t="str">
        <f>IF((COUNTIFS(F6Results_2026[Geo],"&lt;&gt;",F6Results_2026[From],"GVT"))=0,"N/A",IF(K44&gt;=60,"✓ Within KPI","✗ Out of KPI"))</f>
        <v>✓ Within KPI</v>
      </c>
      <c r="M44" s="228">
        <f t="shared" si="5"/>
        <v>1.5384615384615401</v>
      </c>
      <c r="N44" s="230">
        <f t="shared" si="6"/>
        <v>7.6923076923076925</v>
      </c>
      <c r="O44" s="24">
        <f t="shared" si="7"/>
        <v>2.9230769230769229</v>
      </c>
      <c r="P44" s="19" t="str">
        <f t="shared" si="7"/>
        <v>C-GOOD</v>
      </c>
    </row>
    <row r="45" spans="1:17" ht="15" customHeight="1" x14ac:dyDescent="0.3">
      <c r="A45" s="421" t="s">
        <v>410</v>
      </c>
      <c r="B45" s="2" t="s">
        <v>349</v>
      </c>
      <c r="C45" s="222">
        <f>IFERROR((COUNTIFS(F6Results_2026[Kisw],"A",F6Results_2026[From],"ST.JUDE"))/(COUNTIFS(F6Results_2026[Kisw],"&lt;&gt;",F6Results_2026[From],"ST.JUDE"))*100,0)</f>
        <v>100</v>
      </c>
      <c r="D45" s="222">
        <f>IFERROR((COUNTIFS(F6Results_2026[Kisw],"B",F6Results_2026[From],"ST.JUDE"))/(COUNTIFS(F6Results_2026[Kisw],"&lt;&gt;",F6Results_2026[From],"ST.JUDE"))*100,0)</f>
        <v>0</v>
      </c>
      <c r="E45" s="222">
        <f>IFERROR((COUNTIFS(F6Results_2026[Kisw],"C",F6Results_2026[From],"ST.JUDE"))/(COUNTIFS(F6Results_2026[Kisw],"&lt;&gt;",F6Results_2026[From],"ST.JUDE"))*100,0)</f>
        <v>0</v>
      </c>
      <c r="F45" s="222">
        <f>IFERROR((COUNTIFS(F6Results_2026[Kisw],"D",F6Results_2026[From],"ST.JUDE"))/(COUNTIFS(F6Results_2026[Kisw],"&lt;&gt;",F6Results_2026[From],"ST.JUDE"))*100,0)</f>
        <v>0</v>
      </c>
      <c r="G45" s="222">
        <f>IFERROR((COUNTIFS(F6Results_2026[Kisw],"E",F6Results_2026[From],"ST.JUDE"))/(COUNTIFS(F6Results_2026[Kisw],"&lt;&gt;",F6Results_2026[From],"ST.JUDE"))*100,0)</f>
        <v>0</v>
      </c>
      <c r="H45" s="222">
        <f>IFERROR((COUNTIFS(F6Results_2026[Kisw],"S",F6Results_2026[From],"ST.JUDE"))/(COUNTIFS(F6Results_2026[Kisw],"&lt;&gt;",F6Results_2026[From],"ST.JUDE"))*100,0)</f>
        <v>0</v>
      </c>
      <c r="I45" s="222">
        <f>IFERROR((COUNTIFS(F6Results_2026[Kisw],"F",F6Results_2026[From],"ST.JUDE"))/(COUNTIFS(F6Results_2026[Kisw],"&lt;&gt;",F6Results_2026[From],"ST.JUDE"))*100,0)</f>
        <v>0</v>
      </c>
      <c r="J45" s="6" t="str">
        <f>IF(COUNTIFS(F6Results_2026[Kisw],"&lt;&gt;",F6Results_2026[From],"ST.JUDE")=0,"N/A","100%")</f>
        <v>100%</v>
      </c>
      <c r="K45" s="222">
        <f>IFERROR((COUNTIFS(F6Results_2026[Kisw],"A",F6Results_2026[From],"ST.JUDE")*5+COUNTIFS(F6Results_2026[Kisw],"B",F6Results_2026[From],"ST.JUDE")*4+COUNTIFS(F6Results_2026[Kisw],"C",F6Results_2026[From],"ST.JUDE")*3+COUNTIFS(F6Results_2026[Kisw],"D",F6Results_2026[From],"ST.JUDE")*2+COUNTIFS(F6Results_2026[Kisw],"E",F6Results_2026[From],"ST.JUDE")*1+COUNTIFS(F6Results_2026[Kisw],"S",F6Results_2026[From],"ST.JUDE")*0.5)/((COUNTIFS(F6Results_2026[Kisw],"&lt;&gt;",F6Results_2026[From],"ST.JUDE"))*5)*100,0)</f>
        <v>100</v>
      </c>
      <c r="L45" s="3" t="str">
        <f>IF((COUNTIFS(F6Results_2026[Kisw],"&lt;&gt;",F6Results_2026[From],"ST.JUDE"))=0,"N/A",IF(K45&gt;=60,"✓ Within KPI","✗ Out of KPI"))</f>
        <v>✓ Within KPI</v>
      </c>
      <c r="M45" s="228">
        <f t="shared" si="5"/>
        <v>40</v>
      </c>
      <c r="N45" s="230">
        <f t="shared" si="6"/>
        <v>0</v>
      </c>
      <c r="O45" s="24">
        <f t="shared" si="7"/>
        <v>1</v>
      </c>
      <c r="P45" s="19" t="str">
        <f t="shared" si="7"/>
        <v>A-EXCELLENT</v>
      </c>
    </row>
    <row r="46" spans="1:17" ht="15" customHeight="1" x14ac:dyDescent="0.3">
      <c r="A46" s="422"/>
      <c r="B46" s="20" t="s">
        <v>432</v>
      </c>
      <c r="C46" s="229">
        <f>IFERROR((COUNTIFS(F6Results_2026[Kisw],"A",F6Results_2026[From],"GVT"))/(COUNTIFS(F6Results_2026[Kisw],"&lt;&gt;",F6Results_2026[From],"GVT"))*100,0)</f>
        <v>100</v>
      </c>
      <c r="D46" s="229">
        <f>IFERROR((COUNTIFS(F6Results_2026[Kisw],"B",F6Results_2026[From],"GVT"))/(COUNTIFS(F6Results_2026[Kisw],"&lt;&gt;",F6Results_2026[From],"GVT"))*100,0)</f>
        <v>0</v>
      </c>
      <c r="E46" s="229">
        <f>IFERROR((COUNTIFS(F6Results_2026[Kisw],"C",F6Results_2026[From],"GVT"))/(COUNTIFS(F6Results_2026[Kisw],"&lt;&gt;",F6Results_2026[From],"GVT"))*100,0)</f>
        <v>0</v>
      </c>
      <c r="F46" s="229">
        <f>IFERROR((COUNTIFS(F6Results_2026[Kisw],"D",F6Results_2026[From],"GVT"))/(COUNTIFS(F6Results_2026[Kisw],"&lt;&gt;",F6Results_2026[From],"GVT"))*100,0)</f>
        <v>0</v>
      </c>
      <c r="G46" s="229">
        <f>IFERROR((COUNTIFS(F6Results_2026[Kisw],"E",F6Results_2026[From],"GVT"))/(COUNTIFS(F6Results_2026[Kisw],"&lt;&gt;",F6Results_2026[From],"GVT"))*100,0)</f>
        <v>0</v>
      </c>
      <c r="H46" s="229">
        <f>IFERROR((COUNTIFS(F6Results_2026[Kisw],"S",F6Results_2026[From],"GVT"))/(COUNTIFS(F6Results_2026[Kisw],"&lt;&gt;",F6Results_2026[From],"GVT"))*100,0)</f>
        <v>0</v>
      </c>
      <c r="I46" s="229">
        <f>IFERROR((COUNTIFS(F6Results_2026[Kisw],"F",F6Results_2026[From],"GVT"))/(COUNTIFS(F6Results_2026[Kisw],"&lt;&gt;",F6Results_2026[From],"GVT"))*100,0)</f>
        <v>0</v>
      </c>
      <c r="J46" s="25" t="str">
        <f>IF(COUNTIFS(F6Results_2026[Kisw],"&lt;&gt;",F6Results_2026[From],"GVT")=0,"N/A","100%")</f>
        <v>100%</v>
      </c>
      <c r="K46" s="229">
        <f>IFERROR((COUNTIFS(F6Results_2026[Kisw],"A",F6Results_2026[From],"GVT")*5+COUNTIFS(F6Results_2026[Kisw],"B",F6Results_2026[From],"GVT")*4+COUNTIFS(F6Results_2026[Kisw],"C",F6Results_2026[From],"GVT")*3+COUNTIFS(F6Results_2026[Kisw],"D",F6Results_2026[From],"GVT")*2+COUNTIFS(F6Results_2026[Kisw],"E",F6Results_2026[From],"GVT")*1+COUNTIFS(F6Results_2026[Kisw],"S",F6Results_2026[From],"GVT")*0.5)/((COUNTIFS(F6Results_2026[Kisw],"&lt;&gt;",F6Results_2026[From],"GVT"))*5)*100,0)</f>
        <v>100</v>
      </c>
      <c r="L46" s="23" t="str">
        <f>IF((COUNTIFS(F6Results_2026[Kisw],"&lt;&gt;",F6Results_2026[From],"GVT"))=0,"N/A",IF(K46&gt;=60,"✓ Within KPI","✗ Out of KPI"))</f>
        <v>✓ Within KPI</v>
      </c>
      <c r="M46" s="228">
        <f t="shared" si="5"/>
        <v>40</v>
      </c>
      <c r="N46" s="230">
        <f t="shared" si="6"/>
        <v>0</v>
      </c>
      <c r="O46" s="24">
        <f t="shared" si="7"/>
        <v>1</v>
      </c>
      <c r="P46" s="19" t="str">
        <f t="shared" si="7"/>
        <v>A-EXCELLENT</v>
      </c>
    </row>
    <row r="47" spans="1:17" ht="15" customHeight="1" x14ac:dyDescent="0.3">
      <c r="A47" s="421" t="s">
        <v>411</v>
      </c>
      <c r="B47" s="2" t="s">
        <v>349</v>
      </c>
      <c r="C47" s="222">
        <f>IFERROR((COUNTIFS(F6Results_2026[Engl],"A",F6Results_2026[From],"ST.JUDE"))/(COUNTIFS(F6Results_2026[Engl],"&lt;&gt;",F6Results_2026[From],"ST.JUDE"))*100,0)</f>
        <v>0</v>
      </c>
      <c r="D47" s="222">
        <f>IFERROR((COUNTIFS(F6Results_2026[Engl],"B",F6Results_2026[From],"ST.JUDE"))/(COUNTIFS(F6Results_2026[Engl],"&lt;&gt;",F6Results_2026[From],"ST.JUDE"))*100,0)</f>
        <v>16</v>
      </c>
      <c r="E47" s="222">
        <f>IFERROR((COUNTIFS(F6Results_2026[Engl],"C",F6Results_2026[From],"ST.JUDE"))/(COUNTIFS(F6Results_2026[Engl],"&lt;&gt;",F6Results_2026[From],"ST.JUDE"))*100,0)</f>
        <v>28.000000000000004</v>
      </c>
      <c r="F47" s="222">
        <f>IFERROR((COUNTIFS(F6Results_2026[Engl],"D",F6Results_2026[From],"ST.JUDE"))/(COUNTIFS(F6Results_2026[Engl],"&lt;&gt;",F6Results_2026[From],"ST.JUDE"))*100,0)</f>
        <v>48</v>
      </c>
      <c r="G47" s="222">
        <f>IFERROR((COUNTIFS(F6Results_2026[Engl],"E",F6Results_2026[From],"ST.JUDE"))/(COUNTIFS(F6Results_2026[Engl],"&lt;&gt;",F6Results_2026[From],"ST.JUDE"))*100,0)</f>
        <v>4</v>
      </c>
      <c r="H47" s="222">
        <f>IFERROR((COUNTIFS(F6Results_2026[Engl],"S",F6Results_2026[From],"ST.JUDE"))/(COUNTIFS(F6Results_2026[Engl],"&lt;&gt;",F6Results_2026[From],"ST.JUDE"))*100,0)</f>
        <v>0</v>
      </c>
      <c r="I47" s="222">
        <f>IFERROR((COUNTIFS(F6Results_2026[Engl],"F",F6Results_2026[From],"ST.JUDE"))/(COUNTIFS(F6Results_2026[Engl],"&lt;&gt;",F6Results_2026[From],"ST.JUDE"))*100,0)</f>
        <v>0</v>
      </c>
      <c r="J47" s="6" t="str">
        <f>IF(COUNTIFS(F6Results_2026[Engl],"&lt;&gt;",F6Results_2026[From],"ST.JUDE")=0,"N/A","100%")</f>
        <v>100%</v>
      </c>
      <c r="K47" s="222">
        <f>IFERROR((COUNTIFS(F6Results_2026[Engl],"A",F6Results_2026[From],"ST.JUDE")*5+COUNTIFS(F6Results_2026[Engl],"B",F6Results_2026[From],"ST.JUDE")*4+COUNTIFS(F6Results_2026[Engl],"C",F6Results_2026[From],"ST.JUDE")*3+COUNTIFS(F6Results_2026[Engl],"D",F6Results_2026[From],"ST.JUDE")*2+COUNTIFS(F6Results_2026[Engl],"E",F6Results_2026[From],"ST.JUDE")*1+COUNTIFS(F6Results_2026[Engl],"S",F6Results_2026[From],"ST.JUDE")*0.5)/((COUNTIFS(F6Results_2026[Engl],"&lt;&gt;",F6Results_2026[From],"ST.JUDE"))*5)*100,0)</f>
        <v>49.6</v>
      </c>
      <c r="L47" s="3" t="str">
        <f>IF((COUNTIFS(F6Results_2026[Engl],"&lt;&gt;",F6Results_2026[From],"ST.JUDE"))=0,"N/A",IF(K47&gt;=60,"✓ Within KPI","✗ Out of KPI"))</f>
        <v>✗ Out of KPI</v>
      </c>
      <c r="M47" s="228">
        <f t="shared" si="5"/>
        <v>-10.399999999999999</v>
      </c>
      <c r="N47" s="230">
        <f t="shared" si="6"/>
        <v>52</v>
      </c>
      <c r="O47" s="24">
        <f t="shared" si="7"/>
        <v>3.28</v>
      </c>
      <c r="P47" s="19" t="str">
        <f t="shared" si="7"/>
        <v>C-GOOD</v>
      </c>
    </row>
    <row r="48" spans="1:17" ht="15" customHeight="1" x14ac:dyDescent="0.3">
      <c r="A48" s="422"/>
      <c r="B48" s="20" t="s">
        <v>432</v>
      </c>
      <c r="C48" s="229">
        <f>IFERROR((COUNTIFS(F6Results_2026[Engl],"A",F6Results_2026[From],"GVT"))/(COUNTIFS(F6Results_2026[Engl],"&lt;&gt;",F6Results_2026[From],"GVT"))*100,0)</f>
        <v>0</v>
      </c>
      <c r="D48" s="229">
        <f>IFERROR((COUNTIFS(F6Results_2026[Engl],"B",F6Results_2026[From],"GVT"))/(COUNTIFS(F6Results_2026[Engl],"&lt;&gt;",F6Results_2026[From],"GVT"))*100,0)</f>
        <v>0</v>
      </c>
      <c r="E48" s="229">
        <f>IFERROR((COUNTIFS(F6Results_2026[Engl],"C",F6Results_2026[From],"GVT"))/(COUNTIFS(F6Results_2026[Engl],"&lt;&gt;",F6Results_2026[From],"GVT"))*100,0)</f>
        <v>0</v>
      </c>
      <c r="F48" s="229">
        <f>IFERROR((COUNTIFS(F6Results_2026[Engl],"D",F6Results_2026[From],"GVT"))/(COUNTIFS(F6Results_2026[Engl],"&lt;&gt;",F6Results_2026[From],"GVT"))*100,0)</f>
        <v>0</v>
      </c>
      <c r="G48" s="229">
        <f>IFERROR((COUNTIFS(F6Results_2026[Engl],"E",F6Results_2026[From],"GVT"))/(COUNTIFS(F6Results_2026[Engl],"&lt;&gt;",F6Results_2026[From],"GVT"))*100,0)</f>
        <v>0</v>
      </c>
      <c r="H48" s="229">
        <f>IFERROR((COUNTIFS(F6Results_2026[Engl],"S",F6Results_2026[From],"GVT"))/(COUNTIFS(F6Results_2026[Engl],"&lt;&gt;",F6Results_2026[From],"GVT"))*100,0)</f>
        <v>0</v>
      </c>
      <c r="I48" s="229">
        <f>IFERROR((COUNTIFS(F6Results_2026[Engl],"F",F6Results_2026[From],"GVT"))/(COUNTIFS(F6Results_2026[Engl],"&lt;&gt;",F6Results_2026[From],"GVT"))*100,0)</f>
        <v>0</v>
      </c>
      <c r="J48" s="25" t="str">
        <f>IF(COUNTIFS(F6Results_2026[Engl],"&lt;&gt;",F6Results_2026[From],"GVT")=0,"N/A","100%")</f>
        <v>N/A</v>
      </c>
      <c r="K48" s="229">
        <f>IFERROR((COUNTIFS(F6Results_2026[Engl],"A",F6Results_2026[From],"GVT")*5+COUNTIFS(F6Results_2026[Engl],"B",F6Results_2026[From],"GVT")*4+COUNTIFS(F6Results_2026[Engl],"C",F6Results_2026[From],"GVT")*3+COUNTIFS(F6Results_2026[Engl],"D",F6Results_2026[From],"GVT")*2+COUNTIFS(F6Results_2026[Engl],"E",F6Results_2026[From],"GVT")*1+COUNTIFS(F6Results_2026[Engl],"S",F6Results_2026[From],"GVT")*0.5)/((COUNTIFS(F6Results_2026[Engl],"&lt;&gt;",F6Results_2026[From],"GVT"))*5)*100,0)</f>
        <v>0</v>
      </c>
      <c r="L48" s="23" t="str">
        <f>IF((COUNTIFS(F6Results_2026[Engl],"&lt;&gt;",F6Results_2026[From],"GVT"))=0,"N/A",IF(K48&gt;=60,"✓ Within KPI","✗ Out of KPI"))</f>
        <v>N/A</v>
      </c>
      <c r="M48" s="228">
        <f t="shared" si="5"/>
        <v>-60</v>
      </c>
      <c r="N48" s="230">
        <f t="shared" si="6"/>
        <v>0</v>
      </c>
      <c r="O48" s="24" t="str">
        <f t="shared" si="7"/>
        <v>N/A</v>
      </c>
      <c r="P48" s="19" t="str">
        <f t="shared" si="7"/>
        <v>N/A</v>
      </c>
    </row>
    <row r="49" spans="1:16" ht="15" customHeight="1" x14ac:dyDescent="0.3">
      <c r="A49" s="421" t="s">
        <v>412</v>
      </c>
      <c r="B49" s="2" t="s">
        <v>349</v>
      </c>
      <c r="C49" s="222">
        <f>IFERROR((COUNTIFS(F6Results_2026[Phy],"A",F6Results_2026[From],"ST.JUDE"))/(COUNTIFS(F6Results_2026[Phy],"&lt;&gt;",F6Results_2026[From],"ST.JUDE"))*100,0)</f>
        <v>0</v>
      </c>
      <c r="D49" s="222">
        <f>IFERROR((COUNTIFS(F6Results_2026[Phy],"B",F6Results_2026[From],"ST.JUDE"))/(COUNTIFS(F6Results_2026[Phy],"&lt;&gt;",F6Results_2026[From],"ST.JUDE"))*100,0)</f>
        <v>0</v>
      </c>
      <c r="E49" s="222">
        <f>IFERROR((COUNTIFS(F6Results_2026[Phy],"C",F6Results_2026[From],"ST.JUDE"))/(COUNTIFS(F6Results_2026[Phy],"&lt;&gt;",F6Results_2026[From],"ST.JUDE"))*100,0)</f>
        <v>7.6923076923076925</v>
      </c>
      <c r="F49" s="222">
        <f>IFERROR((COUNTIFS(F6Results_2026[Phy],"D",F6Results_2026[From],"ST.JUDE"))/(COUNTIFS(F6Results_2026[Phy],"&lt;&gt;",F6Results_2026[From],"ST.JUDE"))*100,0)</f>
        <v>25.641025641025639</v>
      </c>
      <c r="G49" s="222">
        <f>IFERROR((COUNTIFS(F6Results_2026[Phy],"E",F6Results_2026[From],"ST.JUDE"))/(COUNTIFS(F6Results_2026[Phy],"&lt;&gt;",F6Results_2026[From],"ST.JUDE"))*100,0)</f>
        <v>33.333333333333329</v>
      </c>
      <c r="H49" s="222">
        <f>IFERROR((COUNTIFS(F6Results_2026[Phy],"S",F6Results_2026[From],"ST.JUDE"))/(COUNTIFS(F6Results_2026[Phy],"&lt;&gt;",F6Results_2026[From],"ST.JUDE"))*100,0)</f>
        <v>12.820512820512819</v>
      </c>
      <c r="I49" s="222">
        <f>IFERROR((COUNTIFS(F6Results_2026[Phy],"F",F6Results_2026[From],"ST.JUDE"))/(COUNTIFS(F6Results_2026[Phy],"&lt;&gt;",F6Results_2026[From],"ST.JUDE"))*100,0)</f>
        <v>20.512820512820511</v>
      </c>
      <c r="J49" s="6" t="str">
        <f>IF(COUNTIFS(F6Results_2026[Phy],"&lt;&gt;",F6Results_2026[From],"ST.JUDE")=0,"N/A","100%")</f>
        <v>100%</v>
      </c>
      <c r="K49" s="222">
        <f>IFERROR((COUNTIFS(F6Results_2026[Phy],"A",F6Results_2026[From],"ST.JUDE")*5+COUNTIFS(F6Results_2026[Phy],"B",F6Results_2026[From],"ST.JUDE")*4+COUNTIFS(F6Results_2026[Phy],"C",F6Results_2026[From],"ST.JUDE")*3+COUNTIFS(F6Results_2026[Phy],"D",F6Results_2026[From],"ST.JUDE")*2+COUNTIFS(F6Results_2026[Phy],"E",F6Results_2026[From],"ST.JUDE")*1+COUNTIFS(F6Results_2026[Phy],"S",F6Results_2026[From],"ST.JUDE")*0.5)/((COUNTIFS(F6Results_2026[Phy],"&lt;&gt;",F6Results_2026[From],"ST.JUDE"))*5)*100,0)</f>
        <v>22.820512820512821</v>
      </c>
      <c r="L49" s="3" t="str">
        <f>IF((COUNTIFS(F6Results_2026[Phy],"&lt;&gt;",F6Results_2026[From],"ST.JUDE"))=0,"N/A",IF(K49&gt;=60,"✓ Within KPI","✗ Out of KPI"))</f>
        <v>✗ Out of KPI</v>
      </c>
      <c r="M49" s="228">
        <f t="shared" si="5"/>
        <v>-37.179487179487182</v>
      </c>
      <c r="N49" s="230">
        <f t="shared" si="6"/>
        <v>92.307692307692292</v>
      </c>
      <c r="O49" s="24">
        <f t="shared" si="7"/>
        <v>5.0512820512820511</v>
      </c>
      <c r="P49" s="19" t="str">
        <f t="shared" si="7"/>
        <v>E-SATISFACTORY</v>
      </c>
    </row>
    <row r="50" spans="1:16" ht="15" customHeight="1" x14ac:dyDescent="0.3">
      <c r="A50" s="422"/>
      <c r="B50" s="20" t="s">
        <v>432</v>
      </c>
      <c r="C50" s="229">
        <f>IFERROR((COUNTIFS(F6Results_2026[Phy],"A",F6Results_2026[From],"GVT"))/(COUNTIFS(F6Results_2026[Phy],"&lt;&gt;",F6Results_2026[From],"GVT"))*100,0)</f>
        <v>0</v>
      </c>
      <c r="D50" s="229">
        <f>IFERROR((COUNTIFS(F6Results_2026[Phy],"B",F6Results_2026[From],"GVT"))/(COUNTIFS(F6Results_2026[Phy],"&lt;&gt;",F6Results_2026[From],"GVT"))*100,0)</f>
        <v>0</v>
      </c>
      <c r="E50" s="229">
        <f>IFERROR((COUNTIFS(F6Results_2026[Phy],"C",F6Results_2026[From],"GVT"))/(COUNTIFS(F6Results_2026[Phy],"&lt;&gt;",F6Results_2026[From],"GVT"))*100,0)</f>
        <v>28.571428571428569</v>
      </c>
      <c r="F50" s="229">
        <f>IFERROR((COUNTIFS(F6Results_2026[Phy],"D",F6Results_2026[From],"GVT"))/(COUNTIFS(F6Results_2026[Phy],"&lt;&gt;",F6Results_2026[From],"GVT"))*100,0)</f>
        <v>28.571428571428569</v>
      </c>
      <c r="G50" s="229">
        <f>IFERROR((COUNTIFS(F6Results_2026[Phy],"E",F6Results_2026[From],"GVT"))/(COUNTIFS(F6Results_2026[Phy],"&lt;&gt;",F6Results_2026[From],"GVT"))*100,0)</f>
        <v>21.428571428571427</v>
      </c>
      <c r="H50" s="229">
        <f>IFERROR((COUNTIFS(F6Results_2026[Phy],"S",F6Results_2026[From],"GVT"))/(COUNTIFS(F6Results_2026[Phy],"&lt;&gt;",F6Results_2026[From],"GVT"))*100,0)</f>
        <v>2.3809523809523809</v>
      </c>
      <c r="I50" s="229">
        <f>IFERROR((COUNTIFS(F6Results_2026[Phy],"F",F6Results_2026[From],"GVT"))/(COUNTIFS(F6Results_2026[Phy],"&lt;&gt;",F6Results_2026[From],"GVT"))*100,0)</f>
        <v>19.047619047619047</v>
      </c>
      <c r="J50" s="25" t="str">
        <f>IF(COUNTIFS(F6Results_2026[Phy],"&lt;&gt;",F6Results_2026[From],"GVT")=0,"N/A","100%")</f>
        <v>100%</v>
      </c>
      <c r="K50" s="229">
        <f>IFERROR((COUNTIFS(F6Results_2026[Phy],"A",F6Results_2026[From],"GVT")*5+COUNTIFS(F6Results_2026[Phy],"B",F6Results_2026[From],"GVT")*4+COUNTIFS(F6Results_2026[Phy],"C",F6Results_2026[From],"GVT")*3+COUNTIFS(F6Results_2026[Phy],"D",F6Results_2026[From],"GVT")*2+COUNTIFS(F6Results_2026[Phy],"E",F6Results_2026[From],"GVT")*1+COUNTIFS(F6Results_2026[Phy],"S",F6Results_2026[From],"GVT")*0.5)/((COUNTIFS(F6Results_2026[Phy],"&lt;&gt;",F6Results_2026[From],"GVT"))*5)*100,0)</f>
        <v>33.095238095238095</v>
      </c>
      <c r="L50" s="23" t="str">
        <f>IF((COUNTIFS(F6Results_2026[Phy],"&lt;&gt;",F6Results_2026[From],"GVT"))=0,"N/A",IF(K50&gt;=60,"✓ Within KPI","✗ Out of KPI"))</f>
        <v>✗ Out of KPI</v>
      </c>
      <c r="M50" s="228">
        <f t="shared" si="5"/>
        <v>-26.904761904761905</v>
      </c>
      <c r="N50" s="230">
        <f t="shared" si="6"/>
        <v>71.428571428571431</v>
      </c>
      <c r="O50" s="24">
        <f t="shared" si="7"/>
        <v>4.3809523809523814</v>
      </c>
      <c r="P50" s="19" t="str">
        <f t="shared" si="7"/>
        <v>D-AVERAGE</v>
      </c>
    </row>
    <row r="51" spans="1:16" ht="15" customHeight="1" x14ac:dyDescent="0.3">
      <c r="A51" s="421" t="s">
        <v>413</v>
      </c>
      <c r="B51" s="2" t="s">
        <v>349</v>
      </c>
      <c r="C51" s="222">
        <f>IFERROR((COUNTIFS(F6Results_2026[Chem],"A",F6Results_2026[From],"ST.JUDE"))/(COUNTIFS(F6Results_2026[Chem],"&lt;&gt;",F6Results_2026[From],"ST.JUDE"))*100,0)</f>
        <v>0</v>
      </c>
      <c r="D51" s="222">
        <f>IFERROR((COUNTIFS(F6Results_2026[Chem],"B",F6Results_2026[From],"ST.JUDE"))/(COUNTIFS(F6Results_2026[Chem],"&lt;&gt;",F6Results_2026[From],"ST.JUDE"))*100,0)</f>
        <v>0</v>
      </c>
      <c r="E51" s="222">
        <f>IFERROR((COUNTIFS(F6Results_2026[Chem],"C",F6Results_2026[From],"ST.JUDE"))/(COUNTIFS(F6Results_2026[Chem],"&lt;&gt;",F6Results_2026[From],"ST.JUDE"))*100,0)</f>
        <v>38.461538461538467</v>
      </c>
      <c r="F51" s="222">
        <f>IFERROR((COUNTIFS(F6Results_2026[Chem],"D",F6Results_2026[From],"ST.JUDE"))/(COUNTIFS(F6Results_2026[Chem],"&lt;&gt;",F6Results_2026[From],"ST.JUDE"))*100,0)</f>
        <v>35.897435897435898</v>
      </c>
      <c r="G51" s="222">
        <f>IFERROR((COUNTIFS(F6Results_2026[Chem],"E",F6Results_2026[From],"ST.JUDE"))/(COUNTIFS(F6Results_2026[Chem],"&lt;&gt;",F6Results_2026[From],"ST.JUDE"))*100,0)</f>
        <v>12.820512820512819</v>
      </c>
      <c r="H51" s="222">
        <f>IFERROR((COUNTIFS(F6Results_2026[Chem],"S",F6Results_2026[From],"ST.JUDE"))/(COUNTIFS(F6Results_2026[Chem],"&lt;&gt;",F6Results_2026[From],"ST.JUDE"))*100,0)</f>
        <v>0</v>
      </c>
      <c r="I51" s="222">
        <f>IFERROR((COUNTIFS(F6Results_2026[Chem],"F",F6Results_2026[From],"ST.JUDE"))/(COUNTIFS(F6Results_2026[Chem],"&lt;&gt;",F6Results_2026[From],"ST.JUDE"))*100,0)</f>
        <v>12.820512820512819</v>
      </c>
      <c r="J51" s="6" t="str">
        <f>IF(COUNTIFS(F6Results_2026[Chem],"&lt;&gt;",F6Results_2026[From],"ST.JUDE")=0,"N/A","100%")</f>
        <v>100%</v>
      </c>
      <c r="K51" s="222">
        <f>IFERROR((COUNTIFS(F6Results_2026[Chem],"A",F6Results_2026[From],"ST.JUDE")*5+COUNTIFS(F6Results_2026[Chem],"B",F6Results_2026[From],"ST.JUDE")*4+COUNTIFS(F6Results_2026[Chem],"C",F6Results_2026[From],"ST.JUDE")*3+COUNTIFS(F6Results_2026[Chem],"D",F6Results_2026[From],"ST.JUDE")*2+COUNTIFS(F6Results_2026[Chem],"E",F6Results_2026[From],"ST.JUDE")*1+COUNTIFS(F6Results_2026[Chem],"S",F6Results_2026[From],"ST.JUDE")*0.5)/((COUNTIFS(F6Results_2026[Chem],"&lt;&gt;",F6Results_2026[From],"ST.JUDE"))*5)*100,0)</f>
        <v>40</v>
      </c>
      <c r="L51" s="3" t="str">
        <f>IF((COUNTIFS(F6Results_2026[Chem],"&lt;&gt;",F6Results_2026[From],"ST.JUDE"))=0,"N/A",IF(K51&gt;=60,"✓ Within KPI","✗ Out of KPI"))</f>
        <v>✗ Out of KPI</v>
      </c>
      <c r="M51" s="228">
        <f t="shared" si="5"/>
        <v>-20</v>
      </c>
      <c r="N51" s="230">
        <f t="shared" si="6"/>
        <v>61.538461538461533</v>
      </c>
      <c r="O51" s="24">
        <f t="shared" si="7"/>
        <v>4</v>
      </c>
      <c r="P51" s="19" t="str">
        <f t="shared" si="7"/>
        <v>D-AVERAGE</v>
      </c>
    </row>
    <row r="52" spans="1:16" ht="15" customHeight="1" x14ac:dyDescent="0.3">
      <c r="A52" s="422"/>
      <c r="B52" s="20" t="s">
        <v>432</v>
      </c>
      <c r="C52" s="229">
        <f>IFERROR((COUNTIFS(F6Results_2026[Chem],"A",F6Results_2026[From],"GVT"))/(COUNTIFS(F6Results_2026[Chem],"&lt;&gt;",F6Results_2026[From],"GVT"))*100,0)</f>
        <v>0</v>
      </c>
      <c r="D52" s="229">
        <f>IFERROR((COUNTIFS(F6Results_2026[Chem],"B",F6Results_2026[From],"GVT"))/(COUNTIFS(F6Results_2026[Chem],"&lt;&gt;",F6Results_2026[From],"GVT"))*100,0)</f>
        <v>0</v>
      </c>
      <c r="E52" s="229">
        <f>IFERROR((COUNTIFS(F6Results_2026[Chem],"C",F6Results_2026[From],"GVT"))/(COUNTIFS(F6Results_2026[Chem],"&lt;&gt;",F6Results_2026[From],"GVT"))*100,0)</f>
        <v>52.941176470588239</v>
      </c>
      <c r="F52" s="229">
        <f>IFERROR((COUNTIFS(F6Results_2026[Chem],"D",F6Results_2026[From],"GVT"))/(COUNTIFS(F6Results_2026[Chem],"&lt;&gt;",F6Results_2026[From],"GVT"))*100,0)</f>
        <v>27.450980392156865</v>
      </c>
      <c r="G52" s="229">
        <f>IFERROR((COUNTIFS(F6Results_2026[Chem],"E",F6Results_2026[From],"GVT"))/(COUNTIFS(F6Results_2026[Chem],"&lt;&gt;",F6Results_2026[From],"GVT"))*100,0)</f>
        <v>5.8823529411764701</v>
      </c>
      <c r="H52" s="229">
        <f>IFERROR((COUNTIFS(F6Results_2026[Chem],"S",F6Results_2026[From],"GVT"))/(COUNTIFS(F6Results_2026[Chem],"&lt;&gt;",F6Results_2026[From],"GVT"))*100,0)</f>
        <v>0</v>
      </c>
      <c r="I52" s="229">
        <f>IFERROR((COUNTIFS(F6Results_2026[Chem],"F",F6Results_2026[From],"GVT"))/(COUNTIFS(F6Results_2026[Chem],"&lt;&gt;",F6Results_2026[From],"GVT"))*100,0)</f>
        <v>13.725490196078432</v>
      </c>
      <c r="J52" s="25" t="str">
        <f>IF(COUNTIFS(F6Results_2026[Chem],"&lt;&gt;",F6Results_2026[From],"GVT")=0,"N/A","100%")</f>
        <v>100%</v>
      </c>
      <c r="K52" s="229">
        <f>IFERROR((COUNTIFS(F6Results_2026[Chem],"A",F6Results_2026[From],"GVT")*5+COUNTIFS(F6Results_2026[Chem],"B",F6Results_2026[From],"GVT")*4+COUNTIFS(F6Results_2026[Chem],"C",F6Results_2026[From],"GVT")*3+COUNTIFS(F6Results_2026[Chem],"D",F6Results_2026[From],"GVT")*2+COUNTIFS(F6Results_2026[Chem],"E",F6Results_2026[From],"GVT")*1+COUNTIFS(F6Results_2026[Chem],"S",F6Results_2026[From],"GVT")*0.5)/((COUNTIFS(F6Results_2026[Chem],"&lt;&gt;",F6Results_2026[From],"GVT"))*5)*100,0)</f>
        <v>43.921568627450981</v>
      </c>
      <c r="L52" s="23" t="str">
        <f>IF((COUNTIFS(F6Results_2026[Chem],"&lt;&gt;",F6Results_2026[From],"GVT"))=0,"N/A",IF(K52&gt;=60,"✓ Within KPI","✗ Out of KPI"))</f>
        <v>✗ Out of KPI</v>
      </c>
      <c r="M52" s="228">
        <f t="shared" si="5"/>
        <v>-16.078431372549019</v>
      </c>
      <c r="N52" s="230">
        <f t="shared" si="6"/>
        <v>47.058823529411768</v>
      </c>
      <c r="O52" s="24">
        <f t="shared" si="7"/>
        <v>3.8039215686274508</v>
      </c>
      <c r="P52" s="19" t="str">
        <f t="shared" si="7"/>
        <v>D-AVERAGE</v>
      </c>
    </row>
    <row r="53" spans="1:16" ht="15" customHeight="1" x14ac:dyDescent="0.3">
      <c r="A53" s="421" t="s">
        <v>414</v>
      </c>
      <c r="B53" s="2" t="s">
        <v>349</v>
      </c>
      <c r="C53" s="222">
        <f>IFERROR((COUNTIFS(F6Results_2026[Biol],"A",F6Results_2026[From],"ST.JUDE"))/(COUNTIFS(F6Results_2026[Biol],"&lt;&gt;",F6Results_2026[From],"ST.JUDE"))*100,0)</f>
        <v>0</v>
      </c>
      <c r="D53" s="222">
        <f>IFERROR((COUNTIFS(F6Results_2026[Biol],"B",F6Results_2026[From],"ST.JUDE"))/(COUNTIFS(F6Results_2026[Biol],"&lt;&gt;",F6Results_2026[From],"ST.JUDE"))*100,0)</f>
        <v>0</v>
      </c>
      <c r="E53" s="222">
        <f>IFERROR((COUNTIFS(F6Results_2026[Biol],"C",F6Results_2026[From],"ST.JUDE"))/(COUNTIFS(F6Results_2026[Biol],"&lt;&gt;",F6Results_2026[From],"ST.JUDE"))*100,0)</f>
        <v>33.333333333333329</v>
      </c>
      <c r="F53" s="222">
        <f>IFERROR((COUNTIFS(F6Results_2026[Biol],"D",F6Results_2026[From],"ST.JUDE"))/(COUNTIFS(F6Results_2026[Biol],"&lt;&gt;",F6Results_2026[From],"ST.JUDE"))*100,0)</f>
        <v>9.5238095238095237</v>
      </c>
      <c r="G53" s="222">
        <f>IFERROR((COUNTIFS(F6Results_2026[Biol],"E",F6Results_2026[From],"ST.JUDE"))/(COUNTIFS(F6Results_2026[Biol],"&lt;&gt;",F6Results_2026[From],"ST.JUDE"))*100,0)</f>
        <v>0</v>
      </c>
      <c r="H53" s="222">
        <f>IFERROR((COUNTIFS(F6Results_2026[Biol],"S",F6Results_2026[From],"ST.JUDE"))/(COUNTIFS(F6Results_2026[Biol],"&lt;&gt;",F6Results_2026[From],"ST.JUDE"))*100,0)</f>
        <v>0</v>
      </c>
      <c r="I53" s="222">
        <f>IFERROR((COUNTIFS(F6Results_2026[Biol],"F",F6Results_2026[From],"ST.JUDE"))/(COUNTIFS(F6Results_2026[Biol],"&lt;&gt;",F6Results_2026[From],"ST.JUDE"))*100,0)</f>
        <v>57.142857142857139</v>
      </c>
      <c r="J53" s="6" t="str">
        <f>IF(COUNTIFS(F6Results_2026[Biol],"&lt;&gt;",F6Results_2026[From],"ST.JUDE")=0,"N/A","100%")</f>
        <v>100%</v>
      </c>
      <c r="K53" s="222">
        <f>IFERROR((COUNTIFS(F6Results_2026[Biol],"A",F6Results_2026[From],"ST.JUDE")*5+COUNTIFS(F6Results_2026[Biol],"B",F6Results_2026[From],"ST.JUDE")*4+COUNTIFS(F6Results_2026[Biol],"C",F6Results_2026[From],"ST.JUDE")*3+COUNTIFS(F6Results_2026[Biol],"D",F6Results_2026[From],"ST.JUDE")*2+COUNTIFS(F6Results_2026[Biol],"E",F6Results_2026[From],"ST.JUDE")*1+COUNTIFS(F6Results_2026[Biol],"S",F6Results_2026[From],"ST.JUDE")*0.5)/((COUNTIFS(F6Results_2026[Biol],"&lt;&gt;",F6Results_2026[From],"ST.JUDE"))*5)*100,0)</f>
        <v>23.809523809523807</v>
      </c>
      <c r="L53" s="3" t="str">
        <f>IF((COUNTIFS(F6Results_2026[Biol],"&lt;&gt;",F6Results_2026[From],"ST.JUDE"))=0,"N/A",IF(K53&gt;=60,"✓ Within KPI","✗ Out of KPI"))</f>
        <v>✗ Out of KPI</v>
      </c>
      <c r="M53" s="228">
        <f t="shared" si="5"/>
        <v>-36.19047619047619</v>
      </c>
      <c r="N53" s="230">
        <f t="shared" si="6"/>
        <v>66.666666666666657</v>
      </c>
      <c r="O53" s="24">
        <f t="shared" si="7"/>
        <v>4.8095238095238093</v>
      </c>
      <c r="P53" s="19" t="str">
        <f t="shared" si="7"/>
        <v>E-SATISFACTORY</v>
      </c>
    </row>
    <row r="54" spans="1:16" ht="15" customHeight="1" x14ac:dyDescent="0.3">
      <c r="A54" s="422"/>
      <c r="B54" s="20" t="s">
        <v>432</v>
      </c>
      <c r="C54" s="229">
        <f>IFERROR((COUNTIFS(F6Results_2026[Biol],"A",F6Results_2026[From],"GVT"))/(COUNTIFS(F6Results_2026[Biol],"&lt;&gt;",F6Results_2026[From],"GVT"))*100,0)</f>
        <v>0</v>
      </c>
      <c r="D54" s="229">
        <f>IFERROR((COUNTIFS(F6Results_2026[Biol],"B",F6Results_2026[From],"GVT"))/(COUNTIFS(F6Results_2026[Biol],"&lt;&gt;",F6Results_2026[From],"GVT"))*100,0)</f>
        <v>0</v>
      </c>
      <c r="E54" s="229">
        <f>IFERROR((COUNTIFS(F6Results_2026[Biol],"C",F6Results_2026[From],"GVT"))/(COUNTIFS(F6Results_2026[Biol],"&lt;&gt;",F6Results_2026[From],"GVT"))*100,0)</f>
        <v>43.902439024390247</v>
      </c>
      <c r="F54" s="229">
        <f>IFERROR((COUNTIFS(F6Results_2026[Biol],"D",F6Results_2026[From],"GVT"))/(COUNTIFS(F6Results_2026[Biol],"&lt;&gt;",F6Results_2026[From],"GVT"))*100,0)</f>
        <v>12.195121951219512</v>
      </c>
      <c r="G54" s="229">
        <f>IFERROR((COUNTIFS(F6Results_2026[Biol],"E",F6Results_2026[From],"GVT"))/(COUNTIFS(F6Results_2026[Biol],"&lt;&gt;",F6Results_2026[From],"GVT"))*100,0)</f>
        <v>0</v>
      </c>
      <c r="H54" s="229">
        <f>IFERROR((COUNTIFS(F6Results_2026[Biol],"S",F6Results_2026[From],"GVT"))/(COUNTIFS(F6Results_2026[Biol],"&lt;&gt;",F6Results_2026[From],"GVT"))*100,0)</f>
        <v>0</v>
      </c>
      <c r="I54" s="229">
        <f>IFERROR((COUNTIFS(F6Results_2026[Biol],"F",F6Results_2026[From],"GVT"))/(COUNTIFS(F6Results_2026[Biol],"&lt;&gt;",F6Results_2026[From],"GVT"))*100,0)</f>
        <v>43.902439024390247</v>
      </c>
      <c r="J54" s="25" t="str">
        <f>IF(COUNTIFS(F6Results_2026[Biol],"&lt;&gt;",F6Results_2026[From],"GVT")=0,"N/A","100%")</f>
        <v>100%</v>
      </c>
      <c r="K54" s="229">
        <f>IFERROR((COUNTIFS(F6Results_2026[Biol],"A",F6Results_2026[From],"GVT")*5+COUNTIFS(F6Results_2026[Biol],"B",F6Results_2026[From],"GVT")*4+COUNTIFS(F6Results_2026[Biol],"C",F6Results_2026[From],"GVT")*3+COUNTIFS(F6Results_2026[Biol],"D",F6Results_2026[From],"GVT")*2+COUNTIFS(F6Results_2026[Biol],"E",F6Results_2026[From],"GVT")*1+COUNTIFS(F6Results_2026[Biol],"S",F6Results_2026[From],"GVT")*0.5)/((COUNTIFS(F6Results_2026[Biol],"&lt;&gt;",F6Results_2026[From],"GVT"))*5)*100,0)</f>
        <v>31.219512195121951</v>
      </c>
      <c r="L54" s="23" t="str">
        <f>IF((COUNTIFS(F6Results_2026[Biol],"&lt;&gt;",F6Results_2026[From],"GVT"))=0,"N/A",IF(K54&gt;=60,"✓ Within KPI","✗ Out of KPI"))</f>
        <v>✗ Out of KPI</v>
      </c>
      <c r="M54" s="228">
        <f t="shared" si="5"/>
        <v>-28.780487804878049</v>
      </c>
      <c r="N54" s="230">
        <f t="shared" si="6"/>
        <v>56.09756097560976</v>
      </c>
      <c r="O54" s="24">
        <f t="shared" si="7"/>
        <v>4.4390243902439028</v>
      </c>
      <c r="P54" s="19" t="str">
        <f t="shared" si="7"/>
        <v>D-AVERAGE</v>
      </c>
    </row>
    <row r="55" spans="1:16" ht="15" customHeight="1" x14ac:dyDescent="0.3">
      <c r="A55" s="421" t="s">
        <v>415</v>
      </c>
      <c r="B55" s="2" t="s">
        <v>349</v>
      </c>
      <c r="C55" s="222">
        <f>IFERROR((COUNTIFS(F6Results_2026[Agr],"A",F6Results_2026[From],"ST.JUDE"))/(COUNTIFS(F6Results_2026[Agr],"&lt;&gt;",F6Results_2026[From],"ST.JUDE"))*100,0)</f>
        <v>0</v>
      </c>
      <c r="D55" s="222">
        <f>IFERROR((COUNTIFS(F6Results_2026[Agr],"B",F6Results_2026[From],"ST.JUDE"))/(COUNTIFS(F6Results_2026[Agr],"&lt;&gt;",F6Results_2026[From],"ST.JUDE"))*100,0)</f>
        <v>0</v>
      </c>
      <c r="E55" s="222">
        <f>IFERROR((COUNTIFS(F6Results_2026[Agr],"C",F6Results_2026[From],"ST.JUDE"))/(COUNTIFS(F6Results_2026[Agr],"&lt;&gt;",F6Results_2026[From],"ST.JUDE"))*100,0)</f>
        <v>85.714285714285708</v>
      </c>
      <c r="F55" s="222">
        <f>IFERROR((COUNTIFS(F6Results_2026[Agr],"D",F6Results_2026[From],"ST.JUDE"))/(COUNTIFS(F6Results_2026[Agr],"&lt;&gt;",F6Results_2026[From],"ST.JUDE"))*100,0)</f>
        <v>0</v>
      </c>
      <c r="G55" s="222">
        <f>IFERROR((COUNTIFS(F6Results_2026[Agr],"E",F6Results_2026[From],"ST.JUDE"))/(COUNTIFS(F6Results_2026[Agr],"&lt;&gt;",F6Results_2026[From],"ST.JUDE"))*100,0)</f>
        <v>0</v>
      </c>
      <c r="H55" s="222">
        <f>IFERROR((COUNTIFS(F6Results_2026[Agr],"S",F6Results_2026[From],"ST.JUDE"))/(COUNTIFS(F6Results_2026[Agr],"&lt;&gt;",F6Results_2026[From],"ST.JUDE"))*100,0)</f>
        <v>0</v>
      </c>
      <c r="I55" s="222">
        <f>IFERROR((COUNTIFS(F6Results_2026[Agr],"F",F6Results_2026[From],"ST.JUDE"))/(COUNTIFS(F6Results_2026[Agr],"&lt;&gt;",F6Results_2026[From],"ST.JUDE"))*100,0)</f>
        <v>14.285714285714285</v>
      </c>
      <c r="J55" s="6" t="str">
        <f>IF(COUNTIFS(F6Results_2026[Agr],"&lt;&gt;",F6Results_2026[From],"ST.JUDE")=0,"N/A","100%")</f>
        <v>100%</v>
      </c>
      <c r="K55" s="222">
        <f>IFERROR((COUNTIFS(F6Results_2026[Agr],"A",F6Results_2026[From],"ST.JUDE")*5+COUNTIFS(F6Results_2026[Agr],"B",F6Results_2026[From],"ST.JUDE")*4+COUNTIFS(F6Results_2026[Agr],"C",F6Results_2026[From],"ST.JUDE")*3+COUNTIFS(F6Results_2026[Agr],"D",F6Results_2026[From],"ST.JUDE")*2+COUNTIFS(F6Results_2026[Agr],"E",F6Results_2026[From],"ST.JUDE")*1+COUNTIFS(F6Results_2026[Agr],"S",F6Results_2026[From],"ST.JUDE")*0.5)/((COUNTIFS(F6Results_2026[Agr],"&lt;&gt;",F6Results_2026[From],"ST.JUDE"))*5)*100,0)</f>
        <v>51.428571428571423</v>
      </c>
      <c r="L55" s="3" t="str">
        <f>IF((COUNTIFS(F6Results_2026[Agr],"&lt;&gt;",F6Results_2026[From],"ST.JUDE"))=0,"N/A",IF(K55&gt;=60,"✓ Within KPI","✗ Out of KPI"))</f>
        <v>✗ Out of KPI</v>
      </c>
      <c r="M55" s="228">
        <f t="shared" si="5"/>
        <v>-8.5714285714285765</v>
      </c>
      <c r="N55" s="230">
        <f t="shared" si="6"/>
        <v>14.285714285714285</v>
      </c>
      <c r="O55" s="24">
        <f t="shared" si="7"/>
        <v>3.4285714285714284</v>
      </c>
      <c r="P55" s="19" t="str">
        <f t="shared" si="7"/>
        <v>C-GOOD</v>
      </c>
    </row>
    <row r="56" spans="1:16" ht="15" customHeight="1" x14ac:dyDescent="0.3">
      <c r="A56" s="422"/>
      <c r="B56" s="20" t="s">
        <v>432</v>
      </c>
      <c r="C56" s="229">
        <f>IFERROR((COUNTIFS(F6Results_2026[Agr],"A",F6Results_2026[From],"GVT"))/(COUNTIFS(F6Results_2026[Agr],"&lt;&gt;",F6Results_2026[From],"GVT"))*100,0)</f>
        <v>0</v>
      </c>
      <c r="D56" s="229">
        <f>IFERROR((COUNTIFS(F6Results_2026[Agr],"B",F6Results_2026[From],"GVT"))/(COUNTIFS(F6Results_2026[Agr],"&lt;&gt;",F6Results_2026[From],"GVT"))*100,0)</f>
        <v>0</v>
      </c>
      <c r="E56" s="229">
        <f>IFERROR((COUNTIFS(F6Results_2026[Agr],"C",F6Results_2026[From],"GVT"))/(COUNTIFS(F6Results_2026[Agr],"&lt;&gt;",F6Results_2026[From],"GVT"))*100,0)</f>
        <v>44.444444444444443</v>
      </c>
      <c r="F56" s="229">
        <f>IFERROR((COUNTIFS(F6Results_2026[Agr],"D",F6Results_2026[From],"GVT"))/(COUNTIFS(F6Results_2026[Agr],"&lt;&gt;",F6Results_2026[From],"GVT"))*100,0)</f>
        <v>44.444444444444443</v>
      </c>
      <c r="G56" s="229">
        <f>IFERROR((COUNTIFS(F6Results_2026[Agr],"E",F6Results_2026[From],"GVT"))/(COUNTIFS(F6Results_2026[Agr],"&lt;&gt;",F6Results_2026[From],"GVT"))*100,0)</f>
        <v>0</v>
      </c>
      <c r="H56" s="229">
        <f>IFERROR((COUNTIFS(F6Results_2026[Agr],"S",F6Results_2026[From],"GVT"))/(COUNTIFS(F6Results_2026[Agr],"&lt;&gt;",F6Results_2026[From],"GVT"))*100,0)</f>
        <v>0</v>
      </c>
      <c r="I56" s="229">
        <f>IFERROR((COUNTIFS(F6Results_2026[Agr],"F",F6Results_2026[From],"GVT"))/(COUNTIFS(F6Results_2026[Agr],"&lt;&gt;",F6Results_2026[From],"GVT"))*100,0)</f>
        <v>11.111111111111111</v>
      </c>
      <c r="J56" s="25" t="str">
        <f>IF(COUNTIFS(F6Results_2026[Agr],"&lt;&gt;",F6Results_2026[From],"GVT")=0,"N/A","100%")</f>
        <v>100%</v>
      </c>
      <c r="K56" s="229">
        <f>IFERROR((COUNTIFS(F6Results_2026[Agr],"A",F6Results_2026[From],"GVT")*5+COUNTIFS(F6Results_2026[Agr],"B",F6Results_2026[From],"GVT")*4+COUNTIFS(F6Results_2026[Agr],"C",F6Results_2026[From],"GVT")*3+COUNTIFS(F6Results_2026[Agr],"D",F6Results_2026[From],"GVT")*2+COUNTIFS(F6Results_2026[Agr],"E",F6Results_2026[From],"GVT")*1+COUNTIFS(F6Results_2026[Agr],"S",F6Results_2026[From],"GVT")*0.5)/((COUNTIFS(F6Results_2026[Agr],"&lt;&gt;",F6Results_2026[From],"GVT"))*5)*100,0)</f>
        <v>44.444444444444443</v>
      </c>
      <c r="L56" s="23" t="str">
        <f>IF((COUNTIFS(F6Results_2026[Agr],"&lt;&gt;",F6Results_2026[From],"GVT"))=0,"N/A",IF(K56&gt;=60,"✓ Within KPI","✗ Out of KPI"))</f>
        <v>✗ Out of KPI</v>
      </c>
      <c r="M56" s="228">
        <f t="shared" si="5"/>
        <v>-15.555555555555557</v>
      </c>
      <c r="N56" s="230">
        <f t="shared" si="6"/>
        <v>55.555555555555557</v>
      </c>
      <c r="O56" s="24">
        <f t="shared" si="7"/>
        <v>3.7777777777777777</v>
      </c>
      <c r="P56" s="19" t="str">
        <f t="shared" si="7"/>
        <v>D-AVERAGE</v>
      </c>
    </row>
    <row r="57" spans="1:16" ht="15" customHeight="1" x14ac:dyDescent="0.3">
      <c r="A57" s="421" t="s">
        <v>33</v>
      </c>
      <c r="B57" s="2" t="s">
        <v>349</v>
      </c>
      <c r="C57" s="222">
        <f>IFERROR((COUNTIFS(F6Results_2026[Bam],"A",F6Results_2026[From],"ST.JUDE"))/(COUNTIFS(F6Results_2026[Bam],"&lt;&gt;",F6Results_2026[From],"ST.JUDE"))*100,0)</f>
        <v>11.76470588235294</v>
      </c>
      <c r="D57" s="222">
        <f>IFERROR((COUNTIFS(F6Results_2026[Bam],"B",F6Results_2026[From],"ST.JUDE"))/(COUNTIFS(F6Results_2026[Bam],"&lt;&gt;",F6Results_2026[From],"ST.JUDE"))*100,0)</f>
        <v>0</v>
      </c>
      <c r="E57" s="222">
        <f>IFERROR((COUNTIFS(F6Results_2026[Bam],"C",F6Results_2026[From],"ST.JUDE"))/(COUNTIFS(F6Results_2026[Bam],"&lt;&gt;",F6Results_2026[From],"ST.JUDE"))*100,0)</f>
        <v>14.705882352941178</v>
      </c>
      <c r="F57" s="222">
        <f>IFERROR((COUNTIFS(F6Results_2026[Bam],"D",F6Results_2026[From],"ST.JUDE"))/(COUNTIFS(F6Results_2026[Bam],"&lt;&gt;",F6Results_2026[From],"ST.JUDE"))*100,0)</f>
        <v>8.8235294117647065</v>
      </c>
      <c r="G57" s="222">
        <f>IFERROR((COUNTIFS(F6Results_2026[Bam],"E",F6Results_2026[From],"ST.JUDE"))/(COUNTIFS(F6Results_2026[Bam],"&lt;&gt;",F6Results_2026[From],"ST.JUDE"))*100,0)</f>
        <v>11.76470588235294</v>
      </c>
      <c r="H57" s="222">
        <f>IFERROR((COUNTIFS(F6Results_2026[Bam],"S",F6Results_2026[From],"ST.JUDE"))/(COUNTIFS(F6Results_2026[Bam],"&lt;&gt;",F6Results_2026[From],"ST.JUDE"))*100,0)</f>
        <v>17.647058823529413</v>
      </c>
      <c r="I57" s="222">
        <f>IFERROR((COUNTIFS(F6Results_2026[Bam],"F",F6Results_2026[From],"ST.JUDE"))/(COUNTIFS(F6Results_2026[Bam],"&lt;&gt;",F6Results_2026[From],"ST.JUDE"))*100,0)</f>
        <v>35.294117647058826</v>
      </c>
      <c r="J57" s="6" t="str">
        <f>IF(COUNTIFS(F6Results_2026[Bam],"&lt;&gt;",F6Results_2026[From],"ST.JUDE")=0,"N/A","100%")</f>
        <v>100%</v>
      </c>
      <c r="K57" s="222">
        <f>IFERROR((COUNTIFS(F6Results_2026[Bam],"A",F6Results_2026[From],"ST.JUDE")*5+COUNTIFS(F6Results_2026[Bam],"B",F6Results_2026[From],"ST.JUDE")*4+COUNTIFS(F6Results_2026[Bam],"C",F6Results_2026[From],"ST.JUDE")*3+COUNTIFS(F6Results_2026[Bam],"D",F6Results_2026[From],"ST.JUDE")*2+COUNTIFS(F6Results_2026[Bam],"E",F6Results_2026[From],"ST.JUDE")*1+COUNTIFS(F6Results_2026[Bam],"S",F6Results_2026[From],"ST.JUDE")*0.5)/((COUNTIFS(F6Results_2026[Bam],"&lt;&gt;",F6Results_2026[From],"ST.JUDE"))*5)*100,0)</f>
        <v>28.235294117647058</v>
      </c>
      <c r="L57" s="3" t="str">
        <f>IF((COUNTIFS(F6Results_2026[Bam],"&lt;&gt;",F6Results_2026[From],"ST.JUDE"))=0,"N/A",IF(K57&gt;=60,"✓ Within KPI","✗ Out of KPI"))</f>
        <v>✗ Out of KPI</v>
      </c>
      <c r="M57" s="228">
        <f t="shared" si="5"/>
        <v>-31.764705882352942</v>
      </c>
      <c r="N57" s="230">
        <f t="shared" si="6"/>
        <v>73.529411764705884</v>
      </c>
      <c r="O57" s="24">
        <f t="shared" si="7"/>
        <v>4.8529411764705879</v>
      </c>
      <c r="P57" s="19" t="str">
        <f t="shared" si="7"/>
        <v>E-SATISFACTORY</v>
      </c>
    </row>
    <row r="58" spans="1:16" ht="15" customHeight="1" x14ac:dyDescent="0.3">
      <c r="A58" s="422"/>
      <c r="B58" s="20" t="s">
        <v>432</v>
      </c>
      <c r="C58" s="229">
        <f>IFERROR((COUNTIFS(F6Results_2026[Bam],"A",F6Results_2026[From],"GVT"))/(COUNTIFS(F6Results_2026[Bam],"&lt;&gt;",F6Results_2026[From],"GVT"))*100,0)</f>
        <v>4.8780487804878048</v>
      </c>
      <c r="D58" s="229">
        <f>IFERROR((COUNTIFS(F6Results_2026[Bam],"B",F6Results_2026[From],"GVT"))/(COUNTIFS(F6Results_2026[Bam],"&lt;&gt;",F6Results_2026[From],"GVT"))*100,0)</f>
        <v>7.3170731707317067</v>
      </c>
      <c r="E58" s="229">
        <f>IFERROR((COUNTIFS(F6Results_2026[Bam],"C",F6Results_2026[From],"GVT"))/(COUNTIFS(F6Results_2026[Bam],"&lt;&gt;",F6Results_2026[From],"GVT"))*100,0)</f>
        <v>9.7560975609756095</v>
      </c>
      <c r="F58" s="229">
        <f>IFERROR((COUNTIFS(F6Results_2026[Bam],"D",F6Results_2026[From],"GVT"))/(COUNTIFS(F6Results_2026[Bam],"&lt;&gt;",F6Results_2026[From],"GVT"))*100,0)</f>
        <v>14.634146341463413</v>
      </c>
      <c r="G58" s="229">
        <f>IFERROR((COUNTIFS(F6Results_2026[Bam],"E",F6Results_2026[From],"GVT"))/(COUNTIFS(F6Results_2026[Bam],"&lt;&gt;",F6Results_2026[From],"GVT"))*100,0)</f>
        <v>19.512195121951219</v>
      </c>
      <c r="H58" s="229">
        <f>IFERROR((COUNTIFS(F6Results_2026[Bam],"S",F6Results_2026[From],"GVT"))/(COUNTIFS(F6Results_2026[Bam],"&lt;&gt;",F6Results_2026[From],"GVT"))*100,0)</f>
        <v>4.8780487804878048</v>
      </c>
      <c r="I58" s="229">
        <f>IFERROR((COUNTIFS(F6Results_2026[Bam],"F",F6Results_2026[From],"GVT"))/(COUNTIFS(F6Results_2026[Bam],"&lt;&gt;",F6Results_2026[From],"GVT"))*100,0)</f>
        <v>39.024390243902438</v>
      </c>
      <c r="J58" s="25" t="str">
        <f>IF(COUNTIFS(F6Results_2026[Bam],"&lt;&gt;",F6Results_2026[From],"GVT")=0,"N/A","100%")</f>
        <v>100%</v>
      </c>
      <c r="K58" s="229">
        <f>IFERROR((COUNTIFS(F6Results_2026[Bam],"A",F6Results_2026[From],"GVT")*5+COUNTIFS(F6Results_2026[Bam],"B",F6Results_2026[From],"GVT")*4+COUNTIFS(F6Results_2026[Bam],"C",F6Results_2026[From],"GVT")*3+COUNTIFS(F6Results_2026[Bam],"D",F6Results_2026[From],"GVT")*2+COUNTIFS(F6Results_2026[Bam],"E",F6Results_2026[From],"GVT")*1+COUNTIFS(F6Results_2026[Bam],"S",F6Results_2026[From],"GVT")*0.5)/((COUNTIFS(F6Results_2026[Bam],"&lt;&gt;",F6Results_2026[From],"GVT"))*5)*100,0)</f>
        <v>26.829268292682929</v>
      </c>
      <c r="L58" s="23" t="str">
        <f>IF((COUNTIFS(F6Results_2026[Bam],"&lt;&gt;",F6Results_2026[From],"GVT"))=0,"N/A",IF(K58&gt;=60,"✓ Within KPI","✗ Out of KPI"))</f>
        <v>✗ Out of KPI</v>
      </c>
      <c r="M58" s="228">
        <f t="shared" si="5"/>
        <v>-33.170731707317074</v>
      </c>
      <c r="N58" s="230">
        <f t="shared" si="6"/>
        <v>78.048780487804862</v>
      </c>
      <c r="O58" s="24">
        <f t="shared" si="7"/>
        <v>4.7317073170731705</v>
      </c>
      <c r="P58" s="19" t="str">
        <f t="shared" si="7"/>
        <v>E-SATISFACTORY</v>
      </c>
    </row>
    <row r="59" spans="1:16" ht="15" customHeight="1" x14ac:dyDescent="0.3">
      <c r="A59" s="421" t="s">
        <v>416</v>
      </c>
      <c r="B59" s="2" t="s">
        <v>349</v>
      </c>
      <c r="C59" s="222">
        <f>IFERROR((COUNTIFS(F6Results_2026[Adv_Math],"A",F6Results_2026[From],"ST.JUDE"))/(COUNTIFS(F6Results_2026[Adv_Math],"&lt;&gt;",F6Results_2026[From],"ST.JUDE"))*100,0)</f>
        <v>0</v>
      </c>
      <c r="D59" s="222">
        <f>IFERROR((COUNTIFS(F6Results_2026[Adv_Math],"B",F6Results_2026[From],"ST.JUDE"))/(COUNTIFS(F6Results_2026[Adv_Math],"&lt;&gt;",F6Results_2026[From],"ST.JUDE"))*100,0)</f>
        <v>0</v>
      </c>
      <c r="E59" s="222">
        <f>IFERROR((COUNTIFS(F6Results_2026[Adv_Math],"C",F6Results_2026[From],"ST.JUDE"))/(COUNTIFS(F6Results_2026[Adv_Math],"&lt;&gt;",F6Results_2026[From],"ST.JUDE"))*100,0)</f>
        <v>11.538461538461538</v>
      </c>
      <c r="F59" s="222">
        <f>IFERROR((COUNTIFS(F6Results_2026[Adv_Math],"D",F6Results_2026[From],"ST.JUDE"))/(COUNTIFS(F6Results_2026[Adv_Math],"&lt;&gt;",F6Results_2026[From],"ST.JUDE"))*100,0)</f>
        <v>21.153846153846153</v>
      </c>
      <c r="G59" s="222">
        <f>IFERROR((COUNTIFS(F6Results_2026[Adv_Math],"E",F6Results_2026[From],"ST.JUDE"))/(COUNTIFS(F6Results_2026[Adv_Math],"&lt;&gt;",F6Results_2026[From],"ST.JUDE"))*100,0)</f>
        <v>36.538461538461533</v>
      </c>
      <c r="H59" s="222">
        <f>IFERROR((COUNTIFS(F6Results_2026[Adv_Math],"S",F6Results_2026[From],"ST.JUDE"))/(COUNTIFS(F6Results_2026[Adv_Math],"&lt;&gt;",F6Results_2026[From],"ST.JUDE"))*100,0)</f>
        <v>13.461538461538462</v>
      </c>
      <c r="I59" s="222">
        <f>IFERROR((COUNTIFS(F6Results_2026[Adv_Math],"F",F6Results_2026[From],"ST.JUDE"))/(COUNTIFS(F6Results_2026[Adv_Math],"&lt;&gt;",F6Results_2026[From],"ST.JUDE"))*100,0)</f>
        <v>17.307692307692307</v>
      </c>
      <c r="J59" s="6" t="str">
        <f>IF(COUNTIFS(F6Results_2026[Adv_Math],"&lt;&gt;",F6Results_2026[From],"ST.JUDE")=0,"N/A","100%")</f>
        <v>100%</v>
      </c>
      <c r="K59" s="222">
        <f>IFERROR((COUNTIFS(F6Results_2026[Adv_Math],"A",F6Results_2026[From],"ST.JUDE")*5+COUNTIFS(F6Results_2026[Adv_Math],"B",F6Results_2026[From],"ST.JUDE")*4+COUNTIFS(F6Results_2026[Adv_Math],"C",F6Results_2026[From],"ST.JUDE")*3+COUNTIFS(F6Results_2026[Adv_Math],"D",F6Results_2026[From],"ST.JUDE")*2+COUNTIFS(F6Results_2026[Adv_Math],"E",F6Results_2026[From],"ST.JUDE")*1+COUNTIFS(F6Results_2026[Adv_Math],"S",F6Results_2026[From],"ST.JUDE")*0.5)/((COUNTIFS(F6Results_2026[Adv_Math],"&lt;&gt;",F6Results_2026[From],"ST.JUDE"))*5)*100,0)</f>
        <v>24.03846153846154</v>
      </c>
      <c r="L59" s="3" t="str">
        <f>IF((COUNTIFS(F6Results_2026[Adv_Math],"&lt;&gt;",F6Results_2026[From],"ST.JUDE"))=0,"N/A",IF(K59&gt;=60,"✓ Within KPI","✗ Out of KPI"))</f>
        <v>✗ Out of KPI</v>
      </c>
      <c r="M59" s="228">
        <f t="shared" si="5"/>
        <v>-35.96153846153846</v>
      </c>
      <c r="N59" s="230">
        <f t="shared" si="6"/>
        <v>88.461538461538453</v>
      </c>
      <c r="O59" s="24">
        <f t="shared" si="7"/>
        <v>5</v>
      </c>
      <c r="P59" s="19" t="str">
        <f t="shared" si="7"/>
        <v>E-SATISFACTORY</v>
      </c>
    </row>
    <row r="60" spans="1:16" ht="15" customHeight="1" x14ac:dyDescent="0.3">
      <c r="A60" s="422"/>
      <c r="B60" s="20" t="s">
        <v>432</v>
      </c>
      <c r="C60" s="229">
        <f>IFERROR((COUNTIFS(F6Results_2026[Adv_Math],"A",F6Results_2026[From],"GVT"))/(COUNTIFS(F6Results_2026[Adv_Math],"&lt;&gt;",F6Results_2026[From],"GVT"))*100,0)</f>
        <v>0</v>
      </c>
      <c r="D60" s="229">
        <f>IFERROR((COUNTIFS(F6Results_2026[Adv_Math],"B",F6Results_2026[From],"GVT"))/(COUNTIFS(F6Results_2026[Adv_Math],"&lt;&gt;",F6Results_2026[From],"GVT"))*100,0)</f>
        <v>0</v>
      </c>
      <c r="E60" s="229">
        <f>IFERROR((COUNTIFS(F6Results_2026[Adv_Math],"C",F6Results_2026[From],"GVT"))/(COUNTIFS(F6Results_2026[Adv_Math],"&lt;&gt;",F6Results_2026[From],"GVT"))*100,0)</f>
        <v>40</v>
      </c>
      <c r="F60" s="229">
        <f>IFERROR((COUNTIFS(F6Results_2026[Adv_Math],"D",F6Results_2026[From],"GVT"))/(COUNTIFS(F6Results_2026[Adv_Math],"&lt;&gt;",F6Results_2026[From],"GVT"))*100,0)</f>
        <v>50</v>
      </c>
      <c r="G60" s="229">
        <f>IFERROR((COUNTIFS(F6Results_2026[Adv_Math],"E",F6Results_2026[From],"GVT"))/(COUNTIFS(F6Results_2026[Adv_Math],"&lt;&gt;",F6Results_2026[From],"GVT"))*100,0)</f>
        <v>10</v>
      </c>
      <c r="H60" s="229">
        <f>IFERROR((COUNTIFS(F6Results_2026[Adv_Math],"S",F6Results_2026[From],"GVT"))/(COUNTIFS(F6Results_2026[Adv_Math],"&lt;&gt;",F6Results_2026[From],"GVT"))*100,0)</f>
        <v>0</v>
      </c>
      <c r="I60" s="229">
        <f>IFERROR((COUNTIFS(F6Results_2026[Adv_Math],"F",F6Results_2026[From],"GVT"))/(COUNTIFS(F6Results_2026[Adv_Math],"&lt;&gt;",F6Results_2026[From],"GVT"))*100,0)</f>
        <v>0</v>
      </c>
      <c r="J60" s="25" t="str">
        <f>IF(COUNTIFS(F6Results_2026[Adv_Math],"&lt;&gt;",F6Results_2026[From],"GVT")=0,"N/A","100%")</f>
        <v>100%</v>
      </c>
      <c r="K60" s="229">
        <f>IFERROR((COUNTIFS(F6Results_2026[Adv_Math],"A",F6Results_2026[From],"GVT")*5+COUNTIFS(F6Results_2026[Adv_Math],"B",F6Results_2026[From],"GVT")*4+COUNTIFS(F6Results_2026[Adv_Math],"C",F6Results_2026[From],"GVT")*3+COUNTIFS(F6Results_2026[Adv_Math],"D",F6Results_2026[From],"GVT")*2+COUNTIFS(F6Results_2026[Adv_Math],"E",F6Results_2026[From],"GVT")*1+COUNTIFS(F6Results_2026[Adv_Math],"S",F6Results_2026[From],"GVT")*0.5)/((COUNTIFS(F6Results_2026[Adv_Math],"&lt;&gt;",F6Results_2026[From],"GVT"))*5)*100,0)</f>
        <v>46</v>
      </c>
      <c r="L60" s="23" t="str">
        <f>IF((COUNTIFS(F6Results_2026[Adv_Math],"&lt;&gt;",F6Results_2026[From],"GVT"))=0,"N/A",IF(K60&gt;=60,"✓ Within KPI","✗ Out of KPI"))</f>
        <v>✗ Out of KPI</v>
      </c>
      <c r="M60" s="228">
        <f t="shared" si="5"/>
        <v>-14</v>
      </c>
      <c r="N60" s="230">
        <f t="shared" si="6"/>
        <v>60</v>
      </c>
      <c r="O60" s="24">
        <f t="shared" si="7"/>
        <v>3.7</v>
      </c>
      <c r="P60" s="19" t="str">
        <f t="shared" si="7"/>
        <v>D-AVERAGE</v>
      </c>
    </row>
    <row r="61" spans="1:16" ht="15" customHeight="1" x14ac:dyDescent="0.3">
      <c r="A61" s="421" t="s">
        <v>417</v>
      </c>
      <c r="B61" s="2" t="s">
        <v>349</v>
      </c>
      <c r="C61" s="222">
        <f>IFERROR((COUNTIFS(F6Results_2026[Comp_Sci],"A",F6Results_2026[From],"ST.JUDE"))/(COUNTIFS(F6Results_2026[Comp_Sci],"&lt;&gt;",F6Results_2026[From],"ST.JUDE"))*100,0)</f>
        <v>0</v>
      </c>
      <c r="D61" s="222">
        <f>IFERROR((COUNTIFS(F6Results_2026[Comp_Sci],"B",F6Results_2026[From],"ST.JUDE"))/(COUNTIFS(F6Results_2026[Comp_Sci],"&lt;&gt;",F6Results_2026[From],"ST.JUDE"))*100,0)</f>
        <v>0</v>
      </c>
      <c r="E61" s="222">
        <f>IFERROR((COUNTIFS(F6Results_2026[Comp_Sci],"C",F6Results_2026[From],"ST.JUDE"))/(COUNTIFS(F6Results_2026[Comp_Sci],"&lt;&gt;",F6Results_2026[From],"ST.JUDE"))*100,0)</f>
        <v>42.857142857142854</v>
      </c>
      <c r="F61" s="222">
        <f>IFERROR((COUNTIFS(F6Results_2026[Comp_Sci],"D",F6Results_2026[From],"ST.JUDE"))/(COUNTIFS(F6Results_2026[Comp_Sci],"&lt;&gt;",F6Results_2026[From],"ST.JUDE"))*100,0)</f>
        <v>42.857142857142854</v>
      </c>
      <c r="G61" s="222">
        <f>IFERROR((COUNTIFS(F6Results_2026[Comp_Sci],"E",F6Results_2026[From],"ST.JUDE"))/(COUNTIFS(F6Results_2026[Comp_Sci],"&lt;&gt;",F6Results_2026[From],"ST.JUDE"))*100,0)</f>
        <v>0</v>
      </c>
      <c r="H61" s="222">
        <f>IFERROR((COUNTIFS(F6Results_2026[Comp_Sci],"S",F6Results_2026[From],"ST.JUDE"))/(COUNTIFS(F6Results_2026[Comp_Sci],"&lt;&gt;",F6Results_2026[From],"ST.JUDE"))*100,0)</f>
        <v>0</v>
      </c>
      <c r="I61" s="222">
        <f>IFERROR((COUNTIFS(F6Results_2026[Comp_Sci],"F",F6Results_2026[From],"ST.JUDE"))/(COUNTIFS(F6Results_2026[Comp_Sci],"&lt;&gt;",F6Results_2026[From],"ST.JUDE"))*100,0)</f>
        <v>14.285714285714285</v>
      </c>
      <c r="J61" s="6" t="str">
        <f>IF(COUNTIFS(F6Results_2026[Comp_Sci],"&lt;&gt;",F6Results_2026[From],"ST.JUDE")=0,"N/A","100%")</f>
        <v>100%</v>
      </c>
      <c r="K61" s="222">
        <f>IFERROR((COUNTIFS(F6Results_2026[Comp_Sci],"A",F6Results_2026[From],"ST.JUDE")*5+COUNTIFS(F6Results_2026[Comp_Sci],"B",F6Results_2026[From],"ST.JUDE")*4+COUNTIFS(F6Results_2026[Comp_Sci],"C",F6Results_2026[From],"ST.JUDE")*3+COUNTIFS(F6Results_2026[Comp_Sci],"D",F6Results_2026[From],"ST.JUDE")*2+COUNTIFS(F6Results_2026[Comp_Sci],"E",F6Results_2026[From],"ST.JUDE")*1+COUNTIFS(F6Results_2026[Comp_Sci],"S",F6Results_2026[From],"ST.JUDE")*0.5)/((COUNTIFS(F6Results_2026[Comp_Sci],"&lt;&gt;",F6Results_2026[From],"ST.JUDE"))*5)*100,0)</f>
        <v>42.857142857142854</v>
      </c>
      <c r="L61" s="3" t="str">
        <f>IF((COUNTIFS(F6Results_2026[Comp_Sci],"&lt;&gt;",F6Results_2026[From],"ST.JUDE"))=0,"N/A",IF(K61&gt;=60,"✓ Within KPI","✗ Out of KPI"))</f>
        <v>✗ Out of KPI</v>
      </c>
      <c r="M61" s="228">
        <f t="shared" si="5"/>
        <v>-17.142857142857146</v>
      </c>
      <c r="N61" s="230">
        <f t="shared" si="6"/>
        <v>57.142857142857139</v>
      </c>
      <c r="O61" s="24">
        <f t="shared" si="7"/>
        <v>3.8571428571428572</v>
      </c>
      <c r="P61" s="19" t="str">
        <f t="shared" si="7"/>
        <v>D-AVERAGE</v>
      </c>
    </row>
    <row r="62" spans="1:16" ht="15" customHeight="1" x14ac:dyDescent="0.3">
      <c r="A62" s="422"/>
      <c r="B62" s="20" t="s">
        <v>432</v>
      </c>
      <c r="C62" s="229">
        <f>IFERROR((COUNTIFS(F6Results_2026[Comp_Sci],"A",F6Results_2026[From],"GVT"))/(COUNTIFS(F6Results_2026[Comp_Sci],"&lt;&gt;",F6Results_2026[From],"GVT"))*100,0)</f>
        <v>0</v>
      </c>
      <c r="D62" s="229">
        <f>IFERROR((COUNTIFS(F6Results_2026[Comp_Sci],"B",F6Results_2026[From],"GVT"))/(COUNTIFS(F6Results_2026[Comp_Sci],"&lt;&gt;",F6Results_2026[From],"GVT"))*100,0)</f>
        <v>0</v>
      </c>
      <c r="E62" s="229">
        <f>IFERROR((COUNTIFS(F6Results_2026[Comp_Sci],"C",F6Results_2026[From],"GVT"))/(COUNTIFS(F6Results_2026[Comp_Sci],"&lt;&gt;",F6Results_2026[From],"GVT"))*100,0)</f>
        <v>0</v>
      </c>
      <c r="F62" s="229">
        <f>IFERROR((COUNTIFS(F6Results_2026[Comp_Sci],"D",F6Results_2026[From],"GVT"))/(COUNTIFS(F6Results_2026[Comp_Sci],"&lt;&gt;",F6Results_2026[From],"GVT"))*100,0)</f>
        <v>0</v>
      </c>
      <c r="G62" s="229">
        <f>IFERROR((COUNTIFS(F6Results_2026[Comp_Sci],"E",F6Results_2026[From],"GVT"))/(COUNTIFS(F6Results_2026[Comp_Sci],"&lt;&gt;",F6Results_2026[From],"GVT"))*100,0)</f>
        <v>0</v>
      </c>
      <c r="H62" s="229">
        <f>IFERROR((COUNTIFS(F6Results_2026[Comp_Sci],"S",F6Results_2026[From],"GVT"))/(COUNTIFS(F6Results_2026[Comp_Sci],"&lt;&gt;",F6Results_2026[From],"GVT"))*100,0)</f>
        <v>0</v>
      </c>
      <c r="I62" s="229">
        <f>IFERROR((COUNTIFS(F6Results_2026[Comp_Sci],"F",F6Results_2026[From],"GVT"))/(COUNTIFS(F6Results_2026[Comp_Sci],"&lt;&gt;",F6Results_2026[From],"GVT"))*100,0)</f>
        <v>0</v>
      </c>
      <c r="J62" s="25" t="str">
        <f>IF(COUNTIFS(F6Results_2026[Comp_Sci],"&lt;&gt;",F6Results_2026[From],"GVT")=0,"N/A","100%")</f>
        <v>N/A</v>
      </c>
      <c r="K62" s="229">
        <f>IFERROR((COUNTIFS(F6Results_2026[Comp_Sci],"A",F6Results_2026[From],"GVT")*5+COUNTIFS(F6Results_2026[Comp_Sci],"B",F6Results_2026[From],"GVT")*4+COUNTIFS(F6Results_2026[Comp_Sci],"C",F6Results_2026[From],"GVT")*3+COUNTIFS(F6Results_2026[Comp_Sci],"D",F6Results_2026[From],"GVT")*2+COUNTIFS(F6Results_2026[Comp_Sci],"E",F6Results_2026[From],"GVT")*1+COUNTIFS(F6Results_2026[Comp_Sci],"S",F6Results_2026[From],"GVT")*0.5)/((COUNTIFS(F6Results_2026[Comp_Sci],"&lt;&gt;",F6Results_2026[From],"GVT"))*5)*100,0)</f>
        <v>0</v>
      </c>
      <c r="L62" s="23" t="str">
        <f>IF((COUNTIFS(F6Results_2026[Comp_Sci],"&lt;&gt;",F6Results_2026[From],"GVT"))=0,"N/A",IF(K62&gt;=60,"✓ Within KPI","✗ Out of KPI"))</f>
        <v>N/A</v>
      </c>
      <c r="M62" s="228">
        <f t="shared" si="5"/>
        <v>-60</v>
      </c>
      <c r="N62" s="230">
        <f t="shared" si="6"/>
        <v>0</v>
      </c>
      <c r="O62" s="24" t="str">
        <f t="shared" si="7"/>
        <v>N/A</v>
      </c>
      <c r="P62" s="19" t="str">
        <f t="shared" si="7"/>
        <v>N/A</v>
      </c>
    </row>
    <row r="63" spans="1:16" ht="15" customHeight="1" x14ac:dyDescent="0.3">
      <c r="A63" s="421" t="s">
        <v>418</v>
      </c>
      <c r="B63" s="2" t="s">
        <v>349</v>
      </c>
      <c r="C63" s="222">
        <f>IFERROR((COUNTIFS(F6Results_2026[Econ],"A",F6Results_2026[From],"ST.JUDE"))/(COUNTIFS(F6Results_2026[Econ],"&lt;&gt;",F6Results_2026[From],"ST.JUDE"))*100,0)</f>
        <v>0</v>
      </c>
      <c r="D63" s="222">
        <f>IFERROR((COUNTIFS(F6Results_2026[Econ],"B",F6Results_2026[From],"ST.JUDE"))/(COUNTIFS(F6Results_2026[Econ],"&lt;&gt;",F6Results_2026[From],"ST.JUDE"))*100,0)</f>
        <v>0</v>
      </c>
      <c r="E63" s="222">
        <f>IFERROR((COUNTIFS(F6Results_2026[Econ],"C",F6Results_2026[From],"ST.JUDE"))/(COUNTIFS(F6Results_2026[Econ],"&lt;&gt;",F6Results_2026[From],"ST.JUDE"))*100,0)</f>
        <v>35</v>
      </c>
      <c r="F63" s="222">
        <f>IFERROR((COUNTIFS(F6Results_2026[Econ],"D",F6Results_2026[From],"ST.JUDE"))/(COUNTIFS(F6Results_2026[Econ],"&lt;&gt;",F6Results_2026[From],"ST.JUDE"))*100,0)</f>
        <v>17.5</v>
      </c>
      <c r="G63" s="222">
        <f>IFERROR((COUNTIFS(F6Results_2026[Econ],"E",F6Results_2026[From],"ST.JUDE"))/(COUNTIFS(F6Results_2026[Econ],"&lt;&gt;",F6Results_2026[From],"ST.JUDE"))*100,0)</f>
        <v>2.5</v>
      </c>
      <c r="H63" s="222">
        <f>IFERROR((COUNTIFS(F6Results_2026[Econ],"S",F6Results_2026[From],"ST.JUDE"))/(COUNTIFS(F6Results_2026[Econ],"&lt;&gt;",F6Results_2026[From],"ST.JUDE"))*100,0)</f>
        <v>0</v>
      </c>
      <c r="I63" s="222">
        <f>IFERROR((COUNTIFS(F6Results_2026[Econ],"F",F6Results_2026[From],"ST.JUDE"))/(COUNTIFS(F6Results_2026[Econ],"&lt;&gt;",F6Results_2026[From],"ST.JUDE"))*100,0)</f>
        <v>45</v>
      </c>
      <c r="J63" s="6" t="str">
        <f>IF(COUNTIFS(F6Results_2026[Econ],"&lt;&gt;",F6Results_2026[From],"ST.JUDE")=0,"N/A","100%")</f>
        <v>100%</v>
      </c>
      <c r="K63" s="222">
        <f>IFERROR((COUNTIFS(F6Results_2026[Econ],"A",F6Results_2026[From],"ST.JUDE")*5+COUNTIFS(F6Results_2026[Econ],"B",F6Results_2026[From],"ST.JUDE")*4+COUNTIFS(F6Results_2026[Econ],"C",F6Results_2026[From],"ST.JUDE")*3+COUNTIFS(F6Results_2026[Econ],"D",F6Results_2026[From],"ST.JUDE")*2+COUNTIFS(F6Results_2026[Econ],"E",F6Results_2026[From],"ST.JUDE")*1+COUNTIFS(F6Results_2026[Econ],"S",F6Results_2026[From],"ST.JUDE")*0.5)/((COUNTIFS(F6Results_2026[Econ],"&lt;&gt;",F6Results_2026[From],"ST.JUDE"))*5)*100,0)</f>
        <v>28.499999999999996</v>
      </c>
      <c r="L63" s="3" t="str">
        <f>IF((COUNTIFS(F6Results_2026[Econ],"&lt;&gt;",F6Results_2026[From],"ST.JUDE"))=0,"N/A",IF(K63&gt;=60,"✓ Within KPI","✗ Out of KPI"))</f>
        <v>✗ Out of KPI</v>
      </c>
      <c r="M63" s="228">
        <f t="shared" si="5"/>
        <v>-31.500000000000004</v>
      </c>
      <c r="N63" s="230">
        <f t="shared" si="6"/>
        <v>65</v>
      </c>
      <c r="O63" s="24">
        <f t="shared" si="7"/>
        <v>4.5750000000000002</v>
      </c>
      <c r="P63" s="19" t="str">
        <f t="shared" si="7"/>
        <v>E-SATISFACTORY</v>
      </c>
    </row>
    <row r="64" spans="1:16" ht="15" customHeight="1" x14ac:dyDescent="0.3">
      <c r="A64" s="422"/>
      <c r="B64" s="20" t="s">
        <v>432</v>
      </c>
      <c r="C64" s="229">
        <f>IFERROR((COUNTIFS(F6Results_2026[Econ],"A",F6Results_2026[From],"GVT"))/(COUNTIFS(F6Results_2026[Econ],"&lt;&gt;",F6Results_2026[From],"GVT"))*100,0)</f>
        <v>0</v>
      </c>
      <c r="D64" s="229">
        <f>IFERROR((COUNTIFS(F6Results_2026[Econ],"B",F6Results_2026[From],"GVT"))/(COUNTIFS(F6Results_2026[Econ],"&lt;&gt;",F6Results_2026[From],"GVT"))*100,0)</f>
        <v>0</v>
      </c>
      <c r="E64" s="229">
        <f>IFERROR((COUNTIFS(F6Results_2026[Econ],"C",F6Results_2026[From],"GVT"))/(COUNTIFS(F6Results_2026[Econ],"&lt;&gt;",F6Results_2026[From],"GVT"))*100,0)</f>
        <v>0</v>
      </c>
      <c r="F64" s="229">
        <f>IFERROR((COUNTIFS(F6Results_2026[Econ],"D",F6Results_2026[From],"GVT"))/(COUNTIFS(F6Results_2026[Econ],"&lt;&gt;",F6Results_2026[From],"GVT"))*100,0)</f>
        <v>0</v>
      </c>
      <c r="G64" s="229">
        <f>IFERROR((COUNTIFS(F6Results_2026[Econ],"E",F6Results_2026[From],"GVT"))/(COUNTIFS(F6Results_2026[Econ],"&lt;&gt;",F6Results_2026[From],"GVT"))*100,0)</f>
        <v>0</v>
      </c>
      <c r="H64" s="229">
        <f>IFERROR((COUNTIFS(F6Results_2026[Econ],"S",F6Results_2026[From],"GVT"))/(COUNTIFS(F6Results_2026[Econ],"&lt;&gt;",F6Results_2026[From],"GVT"))*100,0)</f>
        <v>0</v>
      </c>
      <c r="I64" s="229">
        <f>IFERROR((COUNTIFS(F6Results_2026[Econ],"F",F6Results_2026[From],"GVT"))/(COUNTIFS(F6Results_2026[Econ],"&lt;&gt;",F6Results_2026[From],"GVT"))*100,0)</f>
        <v>0</v>
      </c>
      <c r="J64" s="25" t="str">
        <f>IF(COUNTIFS(F6Results_2026[Econ],"&lt;&gt;",F6Results_2026[From],"GVT")=0,"N/A","100%")</f>
        <v>N/A</v>
      </c>
      <c r="K64" s="229">
        <f>IFERROR((COUNTIFS(F6Results_2026[Econ],"A",F6Results_2026[From],"GVT")*5+COUNTIFS(F6Results_2026[Econ],"B",F6Results_2026[From],"GVT")*4+COUNTIFS(F6Results_2026[Econ],"C",F6Results_2026[From],"GVT")*3+COUNTIFS(F6Results_2026[Econ],"D",F6Results_2026[From],"GVT")*2+COUNTIFS(F6Results_2026[Econ],"E",F6Results_2026[From],"GVT")*1+COUNTIFS(F6Results_2026[Econ],"S",F6Results_2026[From],"GVT")*0.5)/((COUNTIFS(F6Results_2026[Econ],"&lt;&gt;",F6Results_2026[From],"GVT"))*5)*100,0)</f>
        <v>0</v>
      </c>
      <c r="L64" s="23" t="str">
        <f>IF((COUNTIFS(F6Results_2026[Econ],"&lt;&gt;",F6Results_2026[From],"GVT"))=0,"N/A",IF(K64&gt;=60,"✓ Within KPI","✗ Out of KPI"))</f>
        <v>N/A</v>
      </c>
      <c r="M64" s="228">
        <f t="shared" si="5"/>
        <v>-60</v>
      </c>
      <c r="N64" s="230">
        <f t="shared" si="6"/>
        <v>0</v>
      </c>
      <c r="O64" s="24" t="str">
        <f t="shared" si="7"/>
        <v>N/A</v>
      </c>
      <c r="P64" s="19" t="str">
        <f t="shared" si="7"/>
        <v>N/A</v>
      </c>
    </row>
    <row r="65" spans="1:16" ht="15" customHeight="1" x14ac:dyDescent="0.3">
      <c r="A65" s="421" t="s">
        <v>419</v>
      </c>
      <c r="B65" s="2" t="s">
        <v>349</v>
      </c>
      <c r="C65" s="222">
        <f>IFERROR((COUNTIFS(F6Results_2026[Comm],"A",F6Results_2026[From],"ST.JUDE"))/(COUNTIFS(F6Results_2026[Comm],"&lt;&gt;",F6Results_2026[From],"ST.JUDE"))*100,0)</f>
        <v>0</v>
      </c>
      <c r="D65" s="222">
        <f>IFERROR((COUNTIFS(F6Results_2026[Comm],"B",F6Results_2026[From],"ST.JUDE"))/(COUNTIFS(F6Results_2026[Comm],"&lt;&gt;",F6Results_2026[From],"ST.JUDE"))*100,0)</f>
        <v>0</v>
      </c>
      <c r="E65" s="222">
        <f>IFERROR((COUNTIFS(F6Results_2026[Comm],"C",F6Results_2026[From],"ST.JUDE"))/(COUNTIFS(F6Results_2026[Comm],"&lt;&gt;",F6Results_2026[From],"ST.JUDE"))*100,0)</f>
        <v>0</v>
      </c>
      <c r="F65" s="222">
        <f>IFERROR((COUNTIFS(F6Results_2026[Comm],"D",F6Results_2026[From],"ST.JUDE"))/(COUNTIFS(F6Results_2026[Comm],"&lt;&gt;",F6Results_2026[From],"ST.JUDE"))*100,0)</f>
        <v>0</v>
      </c>
      <c r="G65" s="222">
        <f>IFERROR((COUNTIFS(F6Results_2026[Comm],"E",F6Results_2026[From],"ST.JUDE"))/(COUNTIFS(F6Results_2026[Comm],"&lt;&gt;",F6Results_2026[From],"ST.JUDE"))*100,0)</f>
        <v>0</v>
      </c>
      <c r="H65" s="222">
        <f>IFERROR((COUNTIFS(F6Results_2026[Comm],"S",F6Results_2026[From],"ST.JUDE"))/(COUNTIFS(F6Results_2026[Comm],"&lt;&gt;",F6Results_2026[From],"ST.JUDE"))*100,0)</f>
        <v>0</v>
      </c>
      <c r="I65" s="222">
        <f>IFERROR((COUNTIFS(F6Results_2026[Comm],"F",F6Results_2026[From],"ST.JUDE"))/(COUNTIFS(F6Results_2026[Comm],"&lt;&gt;",F6Results_2026[From],"ST.JUDE"))*100,0)</f>
        <v>100</v>
      </c>
      <c r="J65" s="6" t="str">
        <f>IF(COUNTIFS(F6Results_2026[Comm],"&lt;&gt;",F6Results_2026[From],"ST.JUDE")=0,"N/A","100%")</f>
        <v>100%</v>
      </c>
      <c r="K65" s="222">
        <f>IFERROR((COUNTIFS(F6Results_2026[Comm],"A",F6Results_2026[From],"ST.JUDE")*5+COUNTIFS(F6Results_2026[Comm],"B",F6Results_2026[From],"ST.JUDE")*4+COUNTIFS(F6Results_2026[Comm],"C",F6Results_2026[From],"ST.JUDE")*3+COUNTIFS(F6Results_2026[Comm],"D",F6Results_2026[From],"ST.JUDE")*2+COUNTIFS(F6Results_2026[Comm],"E",F6Results_2026[From],"ST.JUDE")*1+COUNTIFS(F6Results_2026[Comm],"S",F6Results_2026[From],"ST.JUDE")*0.5)/((COUNTIFS(F6Results_2026[Comm],"&lt;&gt;",F6Results_2026[From],"ST.JUDE"))*5)*100,0)</f>
        <v>0</v>
      </c>
      <c r="L65" s="3" t="str">
        <f>IF((COUNTIFS(F6Results_2026[Comm],"&lt;&gt;",F6Results_2026[From],"ST.JUDE"))=0,"N/A",IF(K65&gt;=60,"✓ Within KPI","✗ Out of KPI"))</f>
        <v>✗ Out of KPI</v>
      </c>
      <c r="M65" s="228">
        <f t="shared" si="5"/>
        <v>-60</v>
      </c>
      <c r="N65" s="230">
        <f t="shared" si="6"/>
        <v>100</v>
      </c>
      <c r="O65" s="24">
        <f t="shared" si="7"/>
        <v>6</v>
      </c>
      <c r="P65" s="19" t="str">
        <f t="shared" si="7"/>
        <v>S-SUBSIDIARY</v>
      </c>
    </row>
    <row r="66" spans="1:16" ht="15" customHeight="1" x14ac:dyDescent="0.3">
      <c r="A66" s="422"/>
      <c r="B66" s="20" t="s">
        <v>432</v>
      </c>
      <c r="C66" s="229">
        <f>IFERROR((COUNTIFS(F6Results_2026[Comm],"A",F6Results_2026[From],"GVT"))/(COUNTIFS(F6Results_2026[Comm],"&lt;&gt;",F6Results_2026[From],"GVT"))*100,0)</f>
        <v>0</v>
      </c>
      <c r="D66" s="229">
        <f>IFERROR((COUNTIFS(F6Results_2026[Comm],"B",F6Results_2026[From],"GVT"))/(COUNTIFS(F6Results_2026[Comm],"&lt;&gt;",F6Results_2026[From],"GVT"))*100,0)</f>
        <v>0</v>
      </c>
      <c r="E66" s="229">
        <f>IFERROR((COUNTIFS(F6Results_2026[Comm],"C",F6Results_2026[From],"GVT"))/(COUNTIFS(F6Results_2026[Comm],"&lt;&gt;",F6Results_2026[From],"GVT"))*100,0)</f>
        <v>0</v>
      </c>
      <c r="F66" s="229">
        <f>IFERROR((COUNTIFS(F6Results_2026[Comm],"D",F6Results_2026[From],"GVT"))/(COUNTIFS(F6Results_2026[Comm],"&lt;&gt;",F6Results_2026[From],"GVT"))*100,0)</f>
        <v>0</v>
      </c>
      <c r="G66" s="229">
        <f>IFERROR((COUNTIFS(F6Results_2026[Comm],"E",F6Results_2026[From],"GVT"))/(COUNTIFS(F6Results_2026[Comm],"&lt;&gt;",F6Results_2026[From],"GVT"))*100,0)</f>
        <v>0</v>
      </c>
      <c r="H66" s="229">
        <f>IFERROR((COUNTIFS(F6Results_2026[Comm],"S",F6Results_2026[From],"GVT"))/(COUNTIFS(F6Results_2026[Comm],"&lt;&gt;",F6Results_2026[From],"GVT"))*100,0)</f>
        <v>0</v>
      </c>
      <c r="I66" s="229">
        <f>IFERROR((COUNTIFS(F6Results_2026[Comm],"F",F6Results_2026[From],"GVT"))/(COUNTIFS(F6Results_2026[Comm],"&lt;&gt;",F6Results_2026[From],"GVT"))*100,0)</f>
        <v>0</v>
      </c>
      <c r="J66" s="25" t="str">
        <f>IF(COUNTIFS(F6Results_2026[Comm],"&lt;&gt;",F6Results_2026[From],"GVT")=0,"N/A","100%")</f>
        <v>N/A</v>
      </c>
      <c r="K66" s="229">
        <f>IFERROR((COUNTIFS(F6Results_2026[Comm],"A",F6Results_2026[From],"GVT")*5+COUNTIFS(F6Results_2026[Comm],"B",F6Results_2026[From],"GVT")*4+COUNTIFS(F6Results_2026[Comm],"C",F6Results_2026[From],"GVT")*3+COUNTIFS(F6Results_2026[Comm],"D",F6Results_2026[From],"GVT")*2+COUNTIFS(F6Results_2026[Comm],"E",F6Results_2026[From],"GVT")*1+COUNTIFS(F6Results_2026[Comm],"S",F6Results_2026[From],"GVT")*0.5)/((COUNTIFS(F6Results_2026[Comm],"&lt;&gt;",F6Results_2026[From],"GVT"))*5)*100,0)</f>
        <v>0</v>
      </c>
      <c r="L66" s="23" t="str">
        <f>IF((COUNTIFS(F6Results_2026[Comm],"&lt;&gt;",F6Results_2026[From],"GVT"))=0,"N/A",IF(K66&gt;=60,"✓ Within KPI","✗ Out of KPI"))</f>
        <v>N/A</v>
      </c>
      <c r="M66" s="228">
        <f t="shared" si="5"/>
        <v>-60</v>
      </c>
      <c r="N66" s="230">
        <f t="shared" si="6"/>
        <v>0</v>
      </c>
      <c r="O66" s="24" t="str">
        <f t="shared" si="7"/>
        <v>N/A</v>
      </c>
      <c r="P66" s="19" t="str">
        <f t="shared" si="7"/>
        <v>N/A</v>
      </c>
    </row>
    <row r="67" spans="1:16" ht="15" customHeight="1" x14ac:dyDescent="0.3">
      <c r="A67" s="421" t="s">
        <v>420</v>
      </c>
      <c r="B67" s="2" t="s">
        <v>349</v>
      </c>
      <c r="C67" s="222">
        <f>IFERROR((COUNTIFS(F6Results_2026[Acco],"A",F6Results_2026[From],"ST.JUDE"))/(COUNTIFS(F6Results_2026[Acco],"&lt;&gt;",F6Results_2026[From],"ST.JUDE"))*100,0)</f>
        <v>0</v>
      </c>
      <c r="D67" s="222">
        <f>IFERROR((COUNTIFS(F6Results_2026[Acco],"B",F6Results_2026[From],"ST.JUDE"))/(COUNTIFS(F6Results_2026[Acco],"&lt;&gt;",F6Results_2026[From],"ST.JUDE"))*100,0)</f>
        <v>0</v>
      </c>
      <c r="E67" s="222">
        <f>IFERROR((COUNTIFS(F6Results_2026[Acco],"C",F6Results_2026[From],"ST.JUDE"))/(COUNTIFS(F6Results_2026[Acco],"&lt;&gt;",F6Results_2026[From],"ST.JUDE"))*100,0)</f>
        <v>30.76923076923077</v>
      </c>
      <c r="F67" s="222">
        <f>IFERROR((COUNTIFS(F6Results_2026[Acco],"D",F6Results_2026[From],"ST.JUDE"))/(COUNTIFS(F6Results_2026[Acco],"&lt;&gt;",F6Results_2026[From],"ST.JUDE"))*100,0)</f>
        <v>38.461538461538467</v>
      </c>
      <c r="G67" s="222">
        <f>IFERROR((COUNTIFS(F6Results_2026[Acco],"E",F6Results_2026[From],"ST.JUDE"))/(COUNTIFS(F6Results_2026[Acco],"&lt;&gt;",F6Results_2026[From],"ST.JUDE"))*100,0)</f>
        <v>7.6923076923076925</v>
      </c>
      <c r="H67" s="222">
        <f>IFERROR((COUNTIFS(F6Results_2026[Acco],"S",F6Results_2026[From],"ST.JUDE"))/(COUNTIFS(F6Results_2026[Acco],"&lt;&gt;",F6Results_2026[From],"ST.JUDE"))*100,0)</f>
        <v>0</v>
      </c>
      <c r="I67" s="222">
        <f>IFERROR((COUNTIFS(F6Results_2026[Acco],"F",F6Results_2026[From],"ST.JUDE"))/(COUNTIFS(F6Results_2026[Acco],"&lt;&gt;",F6Results_2026[From],"ST.JUDE"))*100,0)</f>
        <v>23.076923076923077</v>
      </c>
      <c r="J67" s="6" t="str">
        <f>IF(COUNTIFS(F6Results_2026[Acco],"&lt;&gt;",F6Results_2026[From],"ST.JUDE")=0,"N/A","100%")</f>
        <v>100%</v>
      </c>
      <c r="K67" s="222">
        <f>IFERROR((COUNTIFS(F6Results_2026[Acco],"A",F6Results_2026[From],"ST.JUDE")*5+COUNTIFS(F6Results_2026[Acco],"B",F6Results_2026[From],"ST.JUDE")*4+COUNTIFS(F6Results_2026[Acco],"C",F6Results_2026[From],"ST.JUDE")*3+COUNTIFS(F6Results_2026[Acco],"D",F6Results_2026[From],"ST.JUDE")*2+COUNTIFS(F6Results_2026[Acco],"E",F6Results_2026[From],"ST.JUDE")*1+COUNTIFS(F6Results_2026[Acco],"S",F6Results_2026[From],"ST.JUDE")*0.5)/((COUNTIFS(F6Results_2026[Acco],"&lt;&gt;",F6Results_2026[From],"ST.JUDE"))*5)*100,0)</f>
        <v>35.384615384615387</v>
      </c>
      <c r="L67" s="3" t="str">
        <f>IF((COUNTIFS(F6Results_2026[Acco],"&lt;&gt;",F6Results_2026[From],"ST.JUDE"))=0,"N/A",IF(K67&gt;=60,"✓ Within KPI","✗ Out of KPI"))</f>
        <v>✗ Out of KPI</v>
      </c>
      <c r="M67" s="228">
        <f t="shared" si="5"/>
        <v>-24.615384615384613</v>
      </c>
      <c r="N67" s="230">
        <f t="shared" si="6"/>
        <v>69.230769230769241</v>
      </c>
      <c r="O67" s="24">
        <f t="shared" si="7"/>
        <v>4.2307692307692308</v>
      </c>
      <c r="P67" s="19" t="str">
        <f t="shared" si="7"/>
        <v>D-AVERAGE</v>
      </c>
    </row>
    <row r="68" spans="1:16" ht="15" customHeight="1" x14ac:dyDescent="0.3">
      <c r="A68" s="422"/>
      <c r="B68" s="20" t="s">
        <v>432</v>
      </c>
      <c r="C68" s="229">
        <f>IFERROR((COUNTIFS(F6Results_2026[Acco],"A",F6Results_2026[From],"GVT"))/(COUNTIFS(F6Results_2026[Acco],"&lt;&gt;",F6Results_2026[From],"GVT"))*100,0)</f>
        <v>0</v>
      </c>
      <c r="D68" s="229">
        <f>IFERROR((COUNTIFS(F6Results_2026[Acco],"B",F6Results_2026[From],"GVT"))/(COUNTIFS(F6Results_2026[Acco],"&lt;&gt;",F6Results_2026[From],"GVT"))*100,0)</f>
        <v>0</v>
      </c>
      <c r="E68" s="229">
        <f>IFERROR((COUNTIFS(F6Results_2026[Acco],"C",F6Results_2026[From],"GVT"))/(COUNTIFS(F6Results_2026[Acco],"&lt;&gt;",F6Results_2026[From],"GVT"))*100,0)</f>
        <v>0</v>
      </c>
      <c r="F68" s="229">
        <f>IFERROR((COUNTIFS(F6Results_2026[Acco],"D",F6Results_2026[From],"GVT"))/(COUNTIFS(F6Results_2026[Acco],"&lt;&gt;",F6Results_2026[From],"GVT"))*100,0)</f>
        <v>0</v>
      </c>
      <c r="G68" s="229">
        <f>IFERROR((COUNTIFS(F6Results_2026[Acco],"E",F6Results_2026[From],"GVT"))/(COUNTIFS(F6Results_2026[Acco],"&lt;&gt;",F6Results_2026[From],"GVT"))*100,0)</f>
        <v>0</v>
      </c>
      <c r="H68" s="229">
        <f>IFERROR((COUNTIFS(F6Results_2026[Acco],"S",F6Results_2026[From],"GVT"))/(COUNTIFS(F6Results_2026[Acco],"&lt;&gt;",F6Results_2026[From],"GVT"))*100,0)</f>
        <v>0</v>
      </c>
      <c r="I68" s="229">
        <f>IFERROR((COUNTIFS(F6Results_2026[Acco],"F",F6Results_2026[From],"GVT"))/(COUNTIFS(F6Results_2026[Acco],"&lt;&gt;",F6Results_2026[From],"GVT"))*100,0)</f>
        <v>0</v>
      </c>
      <c r="J68" s="25" t="str">
        <f>IF(COUNTIFS(F6Results_2026[Acco],"&lt;&gt;",F6Results_2026[From],"GVT")=0,"N/A","100%")</f>
        <v>N/A</v>
      </c>
      <c r="K68" s="229">
        <f>IFERROR((COUNTIFS(F6Results_2026[Acco],"A",F6Results_2026[From],"GVT")*5+COUNTIFS(F6Results_2026[Acco],"B",F6Results_2026[From],"GVT")*4+COUNTIFS(F6Results_2026[Acco],"C",F6Results_2026[From],"GVT")*3+COUNTIFS(F6Results_2026[Acco],"D",F6Results_2026[From],"GVT")*2+COUNTIFS(F6Results_2026[Acco],"E",F6Results_2026[From],"GVT")*1+COUNTIFS(F6Results_2026[Acco],"S",F6Results_2026[From],"GVT")*0.5)/((COUNTIFS(F6Results_2026[Acco],"&lt;&gt;",F6Results_2026[From],"GVT"))*5)*100,0)</f>
        <v>0</v>
      </c>
      <c r="L68" s="23" t="str">
        <f>IF((COUNTIFS(F6Results_2026[Acco],"&lt;&gt;",F6Results_2026[From],"GVT"))=0,"N/A",IF(K68&gt;=60,"✓ Within KPI","✗ Out of KPI"))</f>
        <v>N/A</v>
      </c>
      <c r="M68" s="228">
        <f t="shared" si="5"/>
        <v>-60</v>
      </c>
      <c r="N68" s="230">
        <f t="shared" si="6"/>
        <v>0</v>
      </c>
      <c r="O68" s="24" t="str">
        <f t="shared" si="7"/>
        <v>N/A</v>
      </c>
      <c r="P68" s="19" t="str">
        <f t="shared" si="7"/>
        <v>N/A</v>
      </c>
    </row>
    <row r="70" spans="1:16" ht="14.25" customHeight="1" x14ac:dyDescent="0.3">
      <c r="A70" s="425" t="s">
        <v>430</v>
      </c>
      <c r="B70" s="415"/>
      <c r="C70" s="415"/>
      <c r="D70" s="415"/>
      <c r="E70" s="415"/>
      <c r="F70" s="415"/>
      <c r="G70" s="415"/>
      <c r="H70" s="415"/>
      <c r="I70" s="415"/>
      <c r="J70" s="415"/>
      <c r="K70" s="415"/>
      <c r="L70" s="415"/>
      <c r="M70" s="415"/>
      <c r="N70" s="415"/>
      <c r="O70" s="415"/>
      <c r="P70" s="415"/>
    </row>
    <row r="72" spans="1:16" x14ac:dyDescent="0.3">
      <c r="A72" s="249" t="s">
        <v>16</v>
      </c>
      <c r="B72" s="243" t="s">
        <v>24</v>
      </c>
      <c r="C72" s="243" t="s">
        <v>25</v>
      </c>
      <c r="D72" s="243" t="s">
        <v>26</v>
      </c>
      <c r="E72" s="243" t="s">
        <v>27</v>
      </c>
      <c r="F72" s="243" t="s">
        <v>28</v>
      </c>
      <c r="G72" s="243" t="s">
        <v>29</v>
      </c>
      <c r="H72" s="243" t="s">
        <v>30</v>
      </c>
      <c r="I72" s="243" t="s">
        <v>31</v>
      </c>
      <c r="J72" s="243" t="s">
        <v>33</v>
      </c>
      <c r="K72" s="243" t="s">
        <v>897</v>
      </c>
      <c r="L72" s="243" t="s">
        <v>35</v>
      </c>
      <c r="M72" s="243" t="s">
        <v>36</v>
      </c>
      <c r="N72" s="243" t="s">
        <v>37</v>
      </c>
    </row>
    <row r="73" spans="1:16" x14ac:dyDescent="0.3">
      <c r="A73" s="250">
        <v>2020</v>
      </c>
      <c r="B73" s="244">
        <v>33.716216216216218</v>
      </c>
      <c r="C73" s="245">
        <v>46.666666666666664</v>
      </c>
      <c r="D73" s="244">
        <v>46.349206349206348</v>
      </c>
      <c r="E73" s="245">
        <v>63.749999999999993</v>
      </c>
      <c r="F73" s="244">
        <v>44.406779661016948</v>
      </c>
      <c r="G73" s="245">
        <v>43.454545454545453</v>
      </c>
      <c r="H73" s="244">
        <v>55.079365079365083</v>
      </c>
      <c r="I73" s="245">
        <v>48.979591836734691</v>
      </c>
      <c r="J73" s="244">
        <v>45.205479452054789</v>
      </c>
      <c r="K73" s="245">
        <v>70</v>
      </c>
      <c r="L73" s="244">
        <v>59.230769230769234</v>
      </c>
      <c r="M73" s="245">
        <v>72.857142857142847</v>
      </c>
      <c r="N73" s="244">
        <v>61.428571428571431</v>
      </c>
    </row>
    <row r="74" spans="1:16" x14ac:dyDescent="0.3">
      <c r="A74" s="250">
        <v>2021</v>
      </c>
      <c r="B74" s="246">
        <v>37.050359712230211</v>
      </c>
      <c r="C74" s="247">
        <v>49.117647058823529</v>
      </c>
      <c r="D74" s="246">
        <v>62.631578947368418</v>
      </c>
      <c r="E74" s="247">
        <v>57.999999999999993</v>
      </c>
      <c r="F74" s="246">
        <v>52.857142857142861</v>
      </c>
      <c r="G74" s="247">
        <v>42.1875</v>
      </c>
      <c r="H74" s="246">
        <v>46.92307692307692</v>
      </c>
      <c r="I74" s="247">
        <v>44</v>
      </c>
      <c r="J74" s="246">
        <v>40.408163265306122</v>
      </c>
      <c r="K74" s="247">
        <v>73.91304347826086</v>
      </c>
      <c r="L74" s="246">
        <v>53.333333333333336</v>
      </c>
      <c r="M74" s="247">
        <v>74.074074074074076</v>
      </c>
      <c r="N74" s="246">
        <v>62.222222222222221</v>
      </c>
    </row>
    <row r="75" spans="1:16" x14ac:dyDescent="0.3">
      <c r="A75" s="250">
        <v>2022</v>
      </c>
      <c r="B75" s="246">
        <v>38.31775700934579</v>
      </c>
      <c r="C75" s="248">
        <v>47.096774193548384</v>
      </c>
      <c r="D75" s="246">
        <v>43.913043478260875</v>
      </c>
      <c r="E75" s="248">
        <v>65.454545454545453</v>
      </c>
      <c r="F75" s="246">
        <v>45.714285714285715</v>
      </c>
      <c r="G75" s="248">
        <v>30.263157894736842</v>
      </c>
      <c r="H75" s="246">
        <v>33.4375</v>
      </c>
      <c r="I75" s="248">
        <v>33.80952380952381</v>
      </c>
      <c r="J75" s="246">
        <v>13.508771929824562</v>
      </c>
      <c r="K75" s="248">
        <v>70</v>
      </c>
      <c r="L75" s="246">
        <v>57.333333333333336</v>
      </c>
      <c r="M75" s="248">
        <v>76.666666666666671</v>
      </c>
      <c r="N75" s="246">
        <v>53.333333333333336</v>
      </c>
    </row>
    <row r="76" spans="1:16" x14ac:dyDescent="0.3">
      <c r="A76" s="250">
        <v>2023</v>
      </c>
      <c r="B76" s="246">
        <v>42.095238095238095</v>
      </c>
      <c r="C76" s="248">
        <v>47.692307692307693</v>
      </c>
      <c r="D76" s="246">
        <v>68.857142857142861</v>
      </c>
      <c r="E76" s="248">
        <v>77.391304347826079</v>
      </c>
      <c r="F76" s="246">
        <v>61.53846153846154</v>
      </c>
      <c r="G76" s="248">
        <v>60.909090909090914</v>
      </c>
      <c r="H76" s="246">
        <v>58.737864077669897</v>
      </c>
      <c r="I76" s="248">
        <v>54.054054054054056</v>
      </c>
      <c r="J76" s="246">
        <v>31.21495327102804</v>
      </c>
      <c r="K76" s="248">
        <v>62.941176470588232</v>
      </c>
      <c r="L76" s="246">
        <v>76.862745098039227</v>
      </c>
      <c r="M76" s="248">
        <v>67.87878787878789</v>
      </c>
      <c r="N76" s="246">
        <v>53.125</v>
      </c>
    </row>
    <row r="77" spans="1:16" x14ac:dyDescent="0.3">
      <c r="A77" s="250">
        <v>2024</v>
      </c>
      <c r="B77" s="246">
        <v>34.799999999999997</v>
      </c>
      <c r="C77" s="248">
        <v>57.999999999999993</v>
      </c>
      <c r="D77" s="246">
        <v>74.933333333333323</v>
      </c>
      <c r="E77" s="248">
        <v>72.631578947368425</v>
      </c>
      <c r="F77" s="246">
        <v>48.5</v>
      </c>
      <c r="G77" s="248">
        <v>62.553191489361701</v>
      </c>
      <c r="H77" s="246">
        <v>71.313131313131322</v>
      </c>
      <c r="I77" s="248">
        <v>61.714285714285708</v>
      </c>
      <c r="J77" s="246">
        <v>56.444444444444443</v>
      </c>
      <c r="K77" s="248">
        <v>68.285714285714278</v>
      </c>
      <c r="L77" s="246">
        <v>73.584905660377359</v>
      </c>
      <c r="M77" s="248">
        <v>69</v>
      </c>
      <c r="N77" s="246">
        <v>77</v>
      </c>
    </row>
    <row r="78" spans="1:16" x14ac:dyDescent="0.3">
      <c r="A78" s="250">
        <v>2025</v>
      </c>
      <c r="B78" s="246">
        <v>46.766467065868262</v>
      </c>
      <c r="C78" s="248">
        <v>50</v>
      </c>
      <c r="D78" s="246">
        <v>65.084745762711862</v>
      </c>
      <c r="E78" s="248">
        <v>58.333333333333336</v>
      </c>
      <c r="F78" s="246">
        <v>61.6</v>
      </c>
      <c r="G78" s="248">
        <v>45.764705882352942</v>
      </c>
      <c r="H78" s="246">
        <v>61.573033707865164</v>
      </c>
      <c r="I78" s="248">
        <v>61.05263157894737</v>
      </c>
      <c r="J78" s="246">
        <v>53.896103896103895</v>
      </c>
      <c r="K78" s="248">
        <v>52</v>
      </c>
      <c r="L78" s="246">
        <v>73.20754716981132</v>
      </c>
      <c r="M78" s="248">
        <v>90.909090909090907</v>
      </c>
      <c r="N78" s="246">
        <v>70.909090909090907</v>
      </c>
    </row>
  </sheetData>
  <mergeCells count="34">
    <mergeCell ref="A23:A24"/>
    <mergeCell ref="A63:A64"/>
    <mergeCell ref="A53:A54"/>
    <mergeCell ref="A43:A44"/>
    <mergeCell ref="A39:A40"/>
    <mergeCell ref="A59:A60"/>
    <mergeCell ref="A31:A32"/>
    <mergeCell ref="A49:A50"/>
    <mergeCell ref="A61:A62"/>
    <mergeCell ref="A51:A52"/>
    <mergeCell ref="A55:A56"/>
    <mergeCell ref="A57:A58"/>
    <mergeCell ref="A70:P70"/>
    <mergeCell ref="A33:A34"/>
    <mergeCell ref="A29:A30"/>
    <mergeCell ref="A47:A48"/>
    <mergeCell ref="A67:A68"/>
    <mergeCell ref="A65:A66"/>
    <mergeCell ref="A7:A8"/>
    <mergeCell ref="A45:A46"/>
    <mergeCell ref="A41:A42"/>
    <mergeCell ref="A1:Q1"/>
    <mergeCell ref="A27:A28"/>
    <mergeCell ref="A5:A6"/>
    <mergeCell ref="A3:Q3"/>
    <mergeCell ref="A17:A18"/>
    <mergeCell ref="A13:A14"/>
    <mergeCell ref="A19:A20"/>
    <mergeCell ref="A9:A10"/>
    <mergeCell ref="A15:A16"/>
    <mergeCell ref="A11:A12"/>
    <mergeCell ref="A25:A26"/>
    <mergeCell ref="A37:Q37"/>
    <mergeCell ref="A21:A22"/>
  </mergeCells>
  <conditionalFormatting sqref="K5:K34">
    <cfRule type="expression" dxfId="31" priority="27">
      <formula>AND(K5&gt;=60,J5&gt;0)</formula>
    </cfRule>
    <cfRule type="expression" dxfId="30" priority="28">
      <formula>AND(K5&lt;60,J5&gt;0)</formula>
    </cfRule>
  </conditionalFormatting>
  <conditionalFormatting sqref="K39:K68">
    <cfRule type="expression" dxfId="29" priority="29">
      <formula>AND(K39&gt;=60,K39&gt;0)</formula>
    </cfRule>
    <cfRule type="expression" dxfId="28" priority="30">
      <formula>AND(K39&lt;60,K39&gt;0)</formula>
    </cfRule>
  </conditionalFormatting>
  <conditionalFormatting sqref="L5:M34">
    <cfRule type="expression" dxfId="27" priority="18">
      <formula>K5&gt;=60</formula>
    </cfRule>
    <cfRule type="expression" dxfId="26" priority="19">
      <formula>AND(K5&lt;60,J5&gt;0)</formula>
    </cfRule>
  </conditionalFormatting>
  <conditionalFormatting sqref="M39:M68">
    <cfRule type="expression" dxfId="25" priority="16">
      <formula>L39&gt;=60</formula>
    </cfRule>
    <cfRule type="expression" dxfId="24" priority="17">
      <formula>AND(L39&lt;60,K39&gt;0)</formula>
    </cfRule>
  </conditionalFormatting>
  <conditionalFormatting sqref="P5:P34">
    <cfRule type="cellIs" dxfId="23" priority="8" operator="equal">
      <formula>"E-SATISFACTORY"</formula>
    </cfRule>
    <cfRule type="cellIs" dxfId="22" priority="9" operator="equal">
      <formula>"S-SUBSIDIARY"</formula>
    </cfRule>
    <cfRule type="cellIs" dxfId="21" priority="10" operator="equal">
      <formula>"F-FAIL"</formula>
    </cfRule>
    <cfRule type="cellIs" dxfId="20" priority="11" operator="equal">
      <formula>"D-AVERAGE"</formula>
    </cfRule>
    <cfRule type="cellIs" dxfId="19" priority="12" operator="equal">
      <formula>"C-GOOD"</formula>
    </cfRule>
    <cfRule type="cellIs" dxfId="18" priority="13" operator="equal">
      <formula>"A-EXCELLENT"</formula>
    </cfRule>
    <cfRule type="cellIs" dxfId="17" priority="14" operator="equal">
      <formula>"B-VERY GOOD"</formula>
    </cfRule>
  </conditionalFormatting>
  <conditionalFormatting sqref="P39:P68">
    <cfRule type="cellIs" dxfId="16" priority="1" operator="equal">
      <formula>"E-SATISFACTORY"</formula>
    </cfRule>
    <cfRule type="cellIs" dxfId="15" priority="2" operator="equal">
      <formula>"S-SUBSIDIARY"</formula>
    </cfRule>
    <cfRule type="cellIs" dxfId="14" priority="3" operator="equal">
      <formula>"F-FAIL"</formula>
    </cfRule>
    <cfRule type="cellIs" dxfId="13" priority="4" operator="equal">
      <formula>"D-AVERAGE"</formula>
    </cfRule>
    <cfRule type="cellIs" dxfId="12" priority="5" operator="equal">
      <formula>"C-GOOD"</formula>
    </cfRule>
    <cfRule type="cellIs" dxfId="11" priority="6" operator="equal">
      <formula>"A-EXCELLENT"</formula>
    </cfRule>
    <cfRule type="cellIs" dxfId="10" priority="7" operator="equal">
      <formula>"B-VERY GOOD"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95959"/>
  </sheetPr>
  <dimension ref="A1:F59"/>
  <sheetViews>
    <sheetView showGridLines="0" zoomScaleNormal="100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B22" sqref="B22:C30"/>
    </sheetView>
  </sheetViews>
  <sheetFormatPr defaultColWidth="8.6640625" defaultRowHeight="14.4" x14ac:dyDescent="0.3"/>
  <cols>
    <col min="1" max="1" width="2" style="210" customWidth="1"/>
    <col min="2" max="2" width="8.6640625" style="210" bestFit="1" customWidth="1"/>
    <col min="3" max="3" width="8.21875" style="210" bestFit="1" customWidth="1"/>
    <col min="4" max="4" width="6" style="210" bestFit="1" customWidth="1"/>
    <col min="5" max="5" width="18" style="210" customWidth="1"/>
    <col min="6" max="6" width="25" style="210" customWidth="1"/>
  </cols>
  <sheetData>
    <row r="1" spans="2:6" ht="30" customHeight="1" x14ac:dyDescent="0.3">
      <c r="B1" s="389" t="s">
        <v>433</v>
      </c>
      <c r="C1" s="423"/>
      <c r="D1" s="423"/>
      <c r="E1" s="423"/>
      <c r="F1" s="423"/>
    </row>
    <row r="3" spans="2:6" ht="21.75" customHeight="1" x14ac:dyDescent="0.3">
      <c r="B3" s="429" t="s">
        <v>434</v>
      </c>
      <c r="C3" s="423"/>
    </row>
    <row r="4" spans="2:6" ht="14.25" customHeight="1" x14ac:dyDescent="0.3">
      <c r="B4" s="27" t="s">
        <v>435</v>
      </c>
      <c r="C4" s="28" t="s">
        <v>436</v>
      </c>
    </row>
    <row r="5" spans="2:6" ht="14.25" customHeight="1" x14ac:dyDescent="0.3">
      <c r="B5" s="29" t="s">
        <v>437</v>
      </c>
      <c r="C5" s="28" t="s">
        <v>889</v>
      </c>
    </row>
    <row r="6" spans="2:6" ht="14.25" customHeight="1" x14ac:dyDescent="0.3">
      <c r="B6" s="30" t="s">
        <v>438</v>
      </c>
      <c r="C6" s="28" t="s">
        <v>890</v>
      </c>
    </row>
    <row r="7" spans="2:6" ht="14.25" customHeight="1" x14ac:dyDescent="0.3">
      <c r="B7" s="31" t="s">
        <v>439</v>
      </c>
      <c r="C7" s="28" t="s">
        <v>891</v>
      </c>
    </row>
    <row r="8" spans="2:6" ht="14.25" customHeight="1" x14ac:dyDescent="0.3">
      <c r="B8" s="32" t="s">
        <v>440</v>
      </c>
      <c r="C8" s="28" t="s">
        <v>441</v>
      </c>
    </row>
    <row r="10" spans="2:6" ht="21.75" customHeight="1" x14ac:dyDescent="0.3">
      <c r="B10" s="429" t="s">
        <v>442</v>
      </c>
      <c r="C10" s="423"/>
      <c r="D10" s="423"/>
      <c r="E10" s="423"/>
      <c r="F10" s="423"/>
    </row>
    <row r="11" spans="2:6" ht="18" customHeight="1" x14ac:dyDescent="0.3">
      <c r="B11" s="1" t="s">
        <v>9</v>
      </c>
      <c r="C11" s="1" t="s">
        <v>443</v>
      </c>
      <c r="D11" s="1" t="s">
        <v>444</v>
      </c>
      <c r="E11" s="1" t="s">
        <v>1</v>
      </c>
    </row>
    <row r="12" spans="2:6" ht="14.25" customHeight="1" x14ac:dyDescent="0.3">
      <c r="B12" s="33" t="s">
        <v>2</v>
      </c>
      <c r="C12" s="214" t="s">
        <v>445</v>
      </c>
      <c r="D12" s="428" t="s">
        <v>446</v>
      </c>
      <c r="E12" s="423"/>
      <c r="F12" s="427"/>
    </row>
    <row r="13" spans="2:6" ht="14.25" customHeight="1" x14ac:dyDescent="0.3">
      <c r="B13" s="34" t="s">
        <v>3</v>
      </c>
      <c r="C13" s="214" t="s">
        <v>447</v>
      </c>
      <c r="D13" s="428" t="s">
        <v>448</v>
      </c>
      <c r="E13" s="423"/>
      <c r="F13" s="427"/>
    </row>
    <row r="14" spans="2:6" ht="14.25" customHeight="1" x14ac:dyDescent="0.3">
      <c r="B14" s="35" t="s">
        <v>4</v>
      </c>
      <c r="C14" s="214" t="s">
        <v>449</v>
      </c>
      <c r="D14" s="428" t="s">
        <v>450</v>
      </c>
      <c r="E14" s="423"/>
      <c r="F14" s="427"/>
    </row>
    <row r="15" spans="2:6" ht="14.25" customHeight="1" x14ac:dyDescent="0.3">
      <c r="B15" s="30" t="s">
        <v>5</v>
      </c>
      <c r="C15" s="214" t="s">
        <v>451</v>
      </c>
      <c r="D15" s="428" t="s">
        <v>452</v>
      </c>
      <c r="E15" s="423"/>
      <c r="F15" s="427"/>
    </row>
    <row r="16" spans="2:6" ht="14.25" customHeight="1" x14ac:dyDescent="0.3">
      <c r="B16" s="36" t="s">
        <v>6</v>
      </c>
      <c r="C16" s="214" t="s">
        <v>453</v>
      </c>
      <c r="D16" s="428" t="s">
        <v>454</v>
      </c>
      <c r="E16" s="423"/>
      <c r="F16" s="427"/>
    </row>
    <row r="17" spans="2:6" ht="14.25" customHeight="1" x14ac:dyDescent="0.3">
      <c r="B17" s="37" t="s">
        <v>7</v>
      </c>
      <c r="C17" s="214" t="s">
        <v>455</v>
      </c>
      <c r="D17" s="428" t="s">
        <v>456</v>
      </c>
      <c r="E17" s="423"/>
      <c r="F17" s="427"/>
    </row>
    <row r="18" spans="2:6" ht="14.25" customHeight="1" x14ac:dyDescent="0.3">
      <c r="B18" s="32" t="s">
        <v>8</v>
      </c>
      <c r="C18" s="214" t="s">
        <v>457</v>
      </c>
      <c r="D18" s="428" t="s">
        <v>458</v>
      </c>
      <c r="E18" s="423"/>
      <c r="F18" s="427"/>
    </row>
    <row r="21" spans="2:6" ht="21.75" customHeight="1" x14ac:dyDescent="0.3">
      <c r="B21" s="429" t="s">
        <v>459</v>
      </c>
      <c r="C21" s="423"/>
      <c r="D21" s="423"/>
      <c r="E21" s="423"/>
      <c r="F21" s="423"/>
    </row>
    <row r="22" spans="2:6" x14ac:dyDescent="0.3">
      <c r="B22" s="183" t="s">
        <v>858</v>
      </c>
      <c r="C22" s="184" t="s">
        <v>20</v>
      </c>
      <c r="D22" s="162"/>
      <c r="E22" s="162"/>
      <c r="F22" s="162"/>
    </row>
    <row r="23" spans="2:6" x14ac:dyDescent="0.3">
      <c r="B23" s="375" t="s">
        <v>40</v>
      </c>
      <c r="C23" s="375" t="s">
        <v>41</v>
      </c>
      <c r="D23" s="162"/>
      <c r="E23" s="162"/>
      <c r="F23" s="162"/>
    </row>
    <row r="24" spans="2:6" x14ac:dyDescent="0.3">
      <c r="B24" s="375" t="s">
        <v>304</v>
      </c>
      <c r="C24" s="375" t="s">
        <v>895</v>
      </c>
      <c r="D24" s="162"/>
      <c r="E24" s="162"/>
      <c r="F24" s="162"/>
    </row>
    <row r="25" spans="2:6" x14ac:dyDescent="0.3">
      <c r="B25" s="375" t="s">
        <v>240</v>
      </c>
      <c r="C25" s="375" t="s">
        <v>896</v>
      </c>
      <c r="D25" s="162"/>
      <c r="E25" s="162"/>
      <c r="F25" s="162"/>
    </row>
    <row r="26" spans="2:6" x14ac:dyDescent="0.3">
      <c r="B26" s="375" t="s">
        <v>45</v>
      </c>
      <c r="C26" s="375" t="s">
        <v>41</v>
      </c>
      <c r="D26" s="162"/>
      <c r="E26" s="162"/>
      <c r="F26" s="162"/>
    </row>
    <row r="27" spans="2:6" x14ac:dyDescent="0.3">
      <c r="B27" s="375" t="s">
        <v>194</v>
      </c>
      <c r="C27" s="375" t="s">
        <v>896</v>
      </c>
      <c r="D27" s="162"/>
      <c r="E27" s="162"/>
      <c r="F27" s="162"/>
    </row>
    <row r="28" spans="2:6" x14ac:dyDescent="0.3">
      <c r="B28" s="375" t="s">
        <v>289</v>
      </c>
      <c r="C28" s="375" t="s">
        <v>896</v>
      </c>
      <c r="D28" s="162"/>
      <c r="E28" s="162"/>
      <c r="F28" s="162"/>
    </row>
    <row r="29" spans="2:6" x14ac:dyDescent="0.3">
      <c r="B29" s="375" t="s">
        <v>139</v>
      </c>
      <c r="C29" s="375" t="s">
        <v>895</v>
      </c>
      <c r="D29" s="162"/>
      <c r="E29" s="162"/>
      <c r="F29" s="162"/>
    </row>
    <row r="30" spans="2:6" x14ac:dyDescent="0.3">
      <c r="B30" s="375" t="s">
        <v>978</v>
      </c>
      <c r="C30" s="375" t="s">
        <v>896</v>
      </c>
      <c r="D30" s="162"/>
      <c r="E30" s="162"/>
      <c r="F30" s="162"/>
    </row>
    <row r="31" spans="2:6" ht="14.25" customHeight="1" x14ac:dyDescent="0.3">
      <c r="B31" s="183"/>
      <c r="C31" s="184"/>
      <c r="D31" s="162"/>
      <c r="E31" s="162"/>
      <c r="F31" s="162"/>
    </row>
    <row r="32" spans="2:6" ht="14.25" customHeight="1" x14ac:dyDescent="0.3">
      <c r="B32" s="183"/>
      <c r="C32" s="184"/>
      <c r="D32" s="162"/>
      <c r="E32" s="162"/>
      <c r="F32" s="162"/>
    </row>
    <row r="33" spans="2:6" ht="14.25" customHeight="1" x14ac:dyDescent="0.3">
      <c r="B33" s="183"/>
      <c r="C33" s="184"/>
      <c r="D33" s="162"/>
      <c r="E33" s="162"/>
      <c r="F33" s="162"/>
    </row>
    <row r="34" spans="2:6" ht="14.25" customHeight="1" x14ac:dyDescent="0.3">
      <c r="B34" s="183"/>
      <c r="C34" s="184"/>
      <c r="D34" s="162"/>
      <c r="E34" s="162"/>
      <c r="F34" s="162"/>
    </row>
    <row r="35" spans="2:6" ht="14.25" customHeight="1" x14ac:dyDescent="0.3">
      <c r="B35" s="183"/>
      <c r="C35" s="184"/>
      <c r="D35" s="162"/>
      <c r="E35" s="162"/>
      <c r="F35" s="162"/>
    </row>
    <row r="36" spans="2:6" ht="14.25" customHeight="1" x14ac:dyDescent="0.3">
      <c r="B36" s="183"/>
      <c r="C36" s="184"/>
      <c r="D36" s="162"/>
      <c r="E36" s="162"/>
      <c r="F36" s="162"/>
    </row>
    <row r="37" spans="2:6" ht="14.25" customHeight="1" x14ac:dyDescent="0.3">
      <c r="B37" s="183"/>
      <c r="C37" s="184"/>
      <c r="D37" s="162"/>
      <c r="E37" s="162"/>
      <c r="F37" s="162"/>
    </row>
    <row r="38" spans="2:6" ht="14.25" customHeight="1" x14ac:dyDescent="0.3">
      <c r="B38" s="183"/>
      <c r="C38" s="184"/>
      <c r="D38" s="162"/>
      <c r="E38" s="162"/>
      <c r="F38" s="162"/>
    </row>
    <row r="39" spans="2:6" ht="14.25" customHeight="1" x14ac:dyDescent="0.3">
      <c r="B39" s="183"/>
      <c r="C39" s="184"/>
      <c r="D39" s="162"/>
      <c r="E39" s="162"/>
      <c r="F39" s="162"/>
    </row>
    <row r="40" spans="2:6" ht="14.25" customHeight="1" x14ac:dyDescent="0.3">
      <c r="B40" s="183"/>
      <c r="C40" s="184"/>
      <c r="D40" s="162"/>
      <c r="E40" s="162"/>
      <c r="F40" s="162"/>
    </row>
    <row r="41" spans="2:6" ht="14.25" customHeight="1" x14ac:dyDescent="0.3">
      <c r="B41" s="183"/>
      <c r="C41" s="184"/>
      <c r="D41" s="162"/>
      <c r="E41" s="162"/>
      <c r="F41" s="162"/>
    </row>
    <row r="42" spans="2:6" ht="14.25" customHeight="1" x14ac:dyDescent="0.3">
      <c r="B42" s="183"/>
      <c r="C42" s="184"/>
      <c r="D42" s="162"/>
      <c r="E42" s="162"/>
      <c r="F42" s="162"/>
    </row>
    <row r="43" spans="2:6" ht="14.25" customHeight="1" x14ac:dyDescent="0.3">
      <c r="B43" s="183"/>
      <c r="C43" s="184"/>
      <c r="D43" s="162"/>
      <c r="E43" s="162"/>
      <c r="F43" s="162"/>
    </row>
    <row r="44" spans="2:6" ht="14.25" customHeight="1" x14ac:dyDescent="0.3">
      <c r="B44" s="183"/>
      <c r="C44" s="184"/>
      <c r="D44" s="162"/>
      <c r="E44" s="162"/>
      <c r="F44" s="162"/>
    </row>
    <row r="45" spans="2:6" ht="14.25" customHeight="1" x14ac:dyDescent="0.3">
      <c r="B45" s="183"/>
      <c r="C45" s="184"/>
      <c r="D45" s="162"/>
      <c r="E45" s="162"/>
      <c r="F45" s="162"/>
    </row>
    <row r="46" spans="2:6" ht="14.25" customHeight="1" x14ac:dyDescent="0.3">
      <c r="B46" s="183"/>
      <c r="C46" s="184"/>
      <c r="D46" s="162"/>
      <c r="E46" s="162"/>
      <c r="F46" s="162"/>
    </row>
    <row r="47" spans="2:6" ht="14.25" customHeight="1" x14ac:dyDescent="0.3">
      <c r="B47" s="183"/>
      <c r="C47" s="184"/>
      <c r="D47" s="162"/>
      <c r="E47" s="162"/>
      <c r="F47" s="162"/>
    </row>
    <row r="48" spans="2:6" ht="14.25" customHeight="1" x14ac:dyDescent="0.3">
      <c r="B48" s="183"/>
      <c r="C48" s="184"/>
      <c r="D48" s="162"/>
      <c r="E48" s="162"/>
      <c r="F48" s="162"/>
    </row>
    <row r="49" spans="2:6" ht="14.25" customHeight="1" x14ac:dyDescent="0.3">
      <c r="B49" s="183"/>
      <c r="C49" s="184"/>
      <c r="D49" s="162"/>
      <c r="E49" s="162"/>
      <c r="F49" s="162"/>
    </row>
    <row r="50" spans="2:6" ht="14.25" customHeight="1" x14ac:dyDescent="0.3">
      <c r="B50" s="183"/>
      <c r="C50" s="184"/>
      <c r="D50" s="162"/>
      <c r="E50" s="162"/>
      <c r="F50" s="162"/>
    </row>
    <row r="51" spans="2:6" ht="14.25" customHeight="1" x14ac:dyDescent="0.3">
      <c r="B51" s="183"/>
      <c r="C51" s="184"/>
      <c r="D51" s="162"/>
      <c r="E51" s="162"/>
      <c r="F51" s="162"/>
    </row>
    <row r="52" spans="2:6" ht="14.25" customHeight="1" x14ac:dyDescent="0.3">
      <c r="B52" s="183"/>
      <c r="C52" s="184"/>
      <c r="D52" s="162"/>
      <c r="E52" s="162"/>
      <c r="F52" s="162"/>
    </row>
    <row r="54" spans="2:6" ht="21.75" customHeight="1" x14ac:dyDescent="0.3">
      <c r="B54" s="429" t="s">
        <v>460</v>
      </c>
      <c r="C54" s="423"/>
      <c r="D54" s="423"/>
      <c r="E54" s="423"/>
      <c r="F54" s="423"/>
    </row>
    <row r="55" spans="2:6" ht="14.25" customHeight="1" x14ac:dyDescent="0.3">
      <c r="B55" s="426" t="s">
        <v>461</v>
      </c>
      <c r="C55" s="423"/>
      <c r="D55" s="423"/>
      <c r="E55" s="423"/>
      <c r="F55" s="427"/>
    </row>
    <row r="56" spans="2:6" ht="14.25" customHeight="1" x14ac:dyDescent="0.3">
      <c r="B56" s="426" t="s">
        <v>462</v>
      </c>
      <c r="C56" s="423"/>
      <c r="D56" s="423"/>
      <c r="E56" s="423"/>
      <c r="F56" s="427"/>
    </row>
    <row r="57" spans="2:6" ht="14.25" customHeight="1" x14ac:dyDescent="0.3">
      <c r="B57" s="426" t="s">
        <v>463</v>
      </c>
      <c r="C57" s="423"/>
      <c r="D57" s="423"/>
      <c r="E57" s="423"/>
      <c r="F57" s="427"/>
    </row>
    <row r="58" spans="2:6" ht="14.25" customHeight="1" x14ac:dyDescent="0.3">
      <c r="B58" s="426" t="s">
        <v>464</v>
      </c>
      <c r="C58" s="423"/>
      <c r="D58" s="423"/>
      <c r="E58" s="423"/>
      <c r="F58" s="427"/>
    </row>
    <row r="59" spans="2:6" ht="14.25" customHeight="1" x14ac:dyDescent="0.3">
      <c r="B59" s="426" t="s">
        <v>465</v>
      </c>
      <c r="C59" s="423"/>
      <c r="D59" s="423"/>
      <c r="E59" s="423"/>
      <c r="F59" s="427"/>
    </row>
  </sheetData>
  <mergeCells count="17">
    <mergeCell ref="B1:F1"/>
    <mergeCell ref="D15:F15"/>
    <mergeCell ref="B58:F58"/>
    <mergeCell ref="B57:F57"/>
    <mergeCell ref="B3:C3"/>
    <mergeCell ref="B10:F10"/>
    <mergeCell ref="B59:F59"/>
    <mergeCell ref="D12:F12"/>
    <mergeCell ref="D18:F18"/>
    <mergeCell ref="D17:F17"/>
    <mergeCell ref="D16:F16"/>
    <mergeCell ref="B21:F21"/>
    <mergeCell ref="B56:F56"/>
    <mergeCell ref="D13:F13"/>
    <mergeCell ref="B55:F55"/>
    <mergeCell ref="D14:F14"/>
    <mergeCell ref="B54:F54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9"/>
  <sheetViews>
    <sheetView showGridLines="0" zoomScaleNormal="100" workbookViewId="0">
      <pane ySplit="2" topLeftCell="A61" activePane="bottomLeft" state="frozen"/>
      <selection pane="bottomLeft" activeCell="M70" sqref="M70"/>
    </sheetView>
  </sheetViews>
  <sheetFormatPr defaultColWidth="8.6640625" defaultRowHeight="14.4" x14ac:dyDescent="0.3"/>
  <cols>
    <col min="1" max="1" width="3" style="210" customWidth="1"/>
    <col min="2" max="2" width="29.33203125" style="212" customWidth="1"/>
    <col min="3" max="3" width="10" style="210" customWidth="1"/>
    <col min="4" max="4" width="7.6640625" style="210" customWidth="1"/>
    <col min="5" max="5" width="6.88671875" style="210" customWidth="1"/>
    <col min="6" max="6" width="5.6640625" style="210" customWidth="1"/>
    <col min="7" max="7" width="6.88671875" style="210" customWidth="1"/>
    <col min="8" max="8" width="3.88671875" style="210" customWidth="1"/>
    <col min="9" max="9" width="8.88671875" style="210" customWidth="1"/>
  </cols>
  <sheetData>
    <row r="1" spans="1:9" ht="21.75" customHeight="1" x14ac:dyDescent="0.3">
      <c r="A1" s="434" t="s">
        <v>466</v>
      </c>
      <c r="B1" s="431"/>
      <c r="C1" s="431"/>
      <c r="D1" s="431"/>
      <c r="E1" s="431"/>
      <c r="F1" s="431"/>
      <c r="G1" s="431"/>
      <c r="H1" s="431"/>
      <c r="I1" s="431"/>
    </row>
    <row r="2" spans="1:9" ht="12.75" customHeight="1" x14ac:dyDescent="0.3">
      <c r="A2" s="433" t="s">
        <v>467</v>
      </c>
      <c r="B2" s="431"/>
      <c r="C2" s="431"/>
      <c r="D2" s="431"/>
      <c r="E2" s="431"/>
      <c r="F2" s="431"/>
      <c r="G2" s="431"/>
      <c r="H2" s="431"/>
      <c r="I2" s="431"/>
    </row>
    <row r="4" spans="1:9" ht="14.25" customHeight="1" x14ac:dyDescent="0.3">
      <c r="A4" s="432" t="s">
        <v>468</v>
      </c>
      <c r="B4" s="431"/>
      <c r="C4" s="431"/>
      <c r="D4" s="431"/>
      <c r="E4" s="431"/>
      <c r="F4" s="431"/>
      <c r="G4" s="431"/>
      <c r="H4" s="431"/>
      <c r="I4" s="431"/>
    </row>
    <row r="5" spans="1:9" ht="14.25" customHeight="1" x14ac:dyDescent="0.3">
      <c r="A5" s="8" t="s">
        <v>469</v>
      </c>
      <c r="B5" s="38" t="s">
        <v>18</v>
      </c>
      <c r="C5" s="8" t="s">
        <v>21</v>
      </c>
      <c r="D5" s="8" t="s">
        <v>353</v>
      </c>
      <c r="E5" s="8" t="s">
        <v>22</v>
      </c>
      <c r="F5" s="8" t="s">
        <v>470</v>
      </c>
      <c r="G5" s="8" t="s">
        <v>23</v>
      </c>
      <c r="H5" s="8" t="s">
        <v>22</v>
      </c>
      <c r="I5" s="8" t="s">
        <v>471</v>
      </c>
    </row>
    <row r="6" spans="1:9" ht="14.25" customHeight="1" x14ac:dyDescent="0.3">
      <c r="A6" s="9">
        <v>1</v>
      </c>
      <c r="B6" s="212" t="str" cm="1">
        <f t="array" ref="B6:I15">_xlfn.TAKE(
_xlfn.SORTBY(
_xlfn._xlws.FILTER(
_xlfn.CHOOSECOLS(
F6Results_2026[],
_xlfn.XMATCH("Full_Name",F6Results_2026[#Headers]),
_xlfn.XMATCH("Sex",F6Results_2026[#Headers]),
_xlfn.XMATCH("Group",F6Results_2026[#Headers]),
_xlfn.XMATCH("Comb",F6Results_2026[#Headers]),
_xlfn.XMATCH("Points",F6Results_2026[#Headers]),
_xlfn.XMATCH("Div",F6Results_2026[#Headers]),
_xlfn.XMATCH("Aggr_Pts",F6Results_2026[#Headers]),
_xlfn.XMATCH("From",F6Results_2026[#Headers])
),
ISNUMBER(F6Results_2026[Points])
),
_xlfn._xlws.FILTER(F6Results_2026[Aggr_Pts],ISNUMBER(F6Results_2026[Points])),
1,
_xlfn._xlws.FILTER(F6Results_2026[Points],ISNUMBER(F6Results_2026[Points])),-1
),
10
)</f>
        <v>MAGRETH JOFREY DAUDI</v>
      </c>
      <c r="C6" s="39" t="str">
        <v>F</v>
      </c>
      <c r="D6" s="40" t="str">
        <v>Arts</v>
      </c>
      <c r="E6" s="40" t="str">
        <v>HGK</v>
      </c>
      <c r="F6" s="40">
        <v>3</v>
      </c>
      <c r="G6" s="40" t="str">
        <v>I</v>
      </c>
      <c r="H6" s="40">
        <v>4</v>
      </c>
      <c r="I6" s="40" t="str">
        <v>ST.JUDE</v>
      </c>
    </row>
    <row r="7" spans="1:9" ht="14.25" customHeight="1" x14ac:dyDescent="0.3">
      <c r="A7" s="9">
        <v>2</v>
      </c>
      <c r="B7" s="41" t="str">
        <v>PASKALINA TARMO QAMARA</v>
      </c>
      <c r="C7" s="41" t="str">
        <v>F</v>
      </c>
      <c r="D7" s="42" t="str">
        <v>Arts</v>
      </c>
      <c r="E7" s="42" t="str">
        <v>HGK</v>
      </c>
      <c r="F7" s="42">
        <v>6</v>
      </c>
      <c r="G7" s="42" t="str">
        <v>I</v>
      </c>
      <c r="H7" s="42">
        <v>10</v>
      </c>
      <c r="I7" s="42" t="str">
        <v>ST.JUDE</v>
      </c>
    </row>
    <row r="8" spans="1:9" ht="14.25" customHeight="1" x14ac:dyDescent="0.3">
      <c r="A8" s="9">
        <v>3</v>
      </c>
      <c r="B8" s="39" t="str">
        <v>HAPPYNESS NIKODEMUS MATAYO</v>
      </c>
      <c r="C8" s="39" t="str">
        <v>F</v>
      </c>
      <c r="D8" s="40" t="str">
        <v>Arts</v>
      </c>
      <c r="E8" s="40" t="str">
        <v>HGK</v>
      </c>
      <c r="F8" s="40">
        <v>6</v>
      </c>
      <c r="G8" s="40" t="str">
        <v>I</v>
      </c>
      <c r="H8" s="40">
        <v>10</v>
      </c>
      <c r="I8" s="40" t="str">
        <v>ST.JUDE</v>
      </c>
    </row>
    <row r="9" spans="1:9" ht="14.25" customHeight="1" x14ac:dyDescent="0.3">
      <c r="A9" s="9">
        <v>4</v>
      </c>
      <c r="B9" s="41" t="str">
        <v>AGRIPINA PAULO ROBERT</v>
      </c>
      <c r="C9" s="41" t="str">
        <v>F</v>
      </c>
      <c r="D9" s="42" t="str">
        <v>Arts</v>
      </c>
      <c r="E9" s="42" t="str">
        <v>HGK</v>
      </c>
      <c r="F9" s="42">
        <v>6</v>
      </c>
      <c r="G9" s="42" t="str">
        <v>I</v>
      </c>
      <c r="H9" s="42">
        <v>10</v>
      </c>
      <c r="I9" s="42" t="str">
        <v>GVT</v>
      </c>
    </row>
    <row r="10" spans="1:9" ht="14.25" customHeight="1" x14ac:dyDescent="0.3">
      <c r="A10" s="9">
        <v>5</v>
      </c>
      <c r="B10" s="39" t="str">
        <v>JAMES BARAKA SIKAWA</v>
      </c>
      <c r="C10" s="39" t="str">
        <v>M</v>
      </c>
      <c r="D10" s="40" t="str">
        <v>Arts</v>
      </c>
      <c r="E10" s="40" t="str">
        <v>HGK</v>
      </c>
      <c r="F10" s="40">
        <v>7</v>
      </c>
      <c r="G10" s="40" t="str">
        <v>I</v>
      </c>
      <c r="H10" s="40">
        <v>11</v>
      </c>
      <c r="I10" s="40" t="str">
        <v>GVT</v>
      </c>
    </row>
    <row r="11" spans="1:9" ht="14.25" customHeight="1" x14ac:dyDescent="0.3">
      <c r="A11" s="9">
        <v>6</v>
      </c>
      <c r="B11" s="41" t="str">
        <v>SCOLA PETER NNKO</v>
      </c>
      <c r="C11" s="41" t="str">
        <v>F</v>
      </c>
      <c r="D11" s="42" t="str">
        <v>Arts</v>
      </c>
      <c r="E11" s="42" t="str">
        <v>HGK</v>
      </c>
      <c r="F11" s="42">
        <v>7</v>
      </c>
      <c r="G11" s="42" t="str">
        <v>I</v>
      </c>
      <c r="H11" s="42">
        <v>11</v>
      </c>
      <c r="I11" s="42" t="str">
        <v>ST.JUDE</v>
      </c>
    </row>
    <row r="12" spans="1:9" ht="14.25" customHeight="1" x14ac:dyDescent="0.3">
      <c r="A12" s="9">
        <v>7</v>
      </c>
      <c r="B12" s="39" t="str">
        <v>JOSEPH JOEL DANIEL</v>
      </c>
      <c r="C12" s="39" t="str">
        <v>M</v>
      </c>
      <c r="D12" s="40" t="str">
        <v>Arts</v>
      </c>
      <c r="E12" s="40" t="str">
        <v>HGK</v>
      </c>
      <c r="F12" s="40">
        <v>7</v>
      </c>
      <c r="G12" s="40" t="str">
        <v>I</v>
      </c>
      <c r="H12" s="40">
        <v>11</v>
      </c>
      <c r="I12" s="40" t="str">
        <v>GVT</v>
      </c>
    </row>
    <row r="13" spans="1:9" ht="14.25" customHeight="1" x14ac:dyDescent="0.3">
      <c r="A13" s="9">
        <v>8</v>
      </c>
      <c r="B13" s="41" t="str">
        <v>ARAFA BAKARI ABDALLAH</v>
      </c>
      <c r="C13" s="41" t="str">
        <v>F</v>
      </c>
      <c r="D13" s="42" t="str">
        <v>Arts</v>
      </c>
      <c r="E13" s="42" t="str">
        <v>HGK</v>
      </c>
      <c r="F13" s="42">
        <v>7</v>
      </c>
      <c r="G13" s="42" t="str">
        <v>I</v>
      </c>
      <c r="H13" s="42">
        <v>11</v>
      </c>
      <c r="I13" s="42" t="str">
        <v>GVT</v>
      </c>
    </row>
    <row r="14" spans="1:9" ht="14.25" customHeight="1" x14ac:dyDescent="0.3">
      <c r="A14" s="9">
        <v>9</v>
      </c>
      <c r="B14" s="39" t="str">
        <v>WEMA TLUWAY AMMI</v>
      </c>
      <c r="C14" s="39" t="str">
        <v>M</v>
      </c>
      <c r="D14" s="40" t="str">
        <v>Arts</v>
      </c>
      <c r="E14" s="40" t="str">
        <v>HGK</v>
      </c>
      <c r="F14" s="40">
        <v>7</v>
      </c>
      <c r="G14" s="40" t="str">
        <v>I</v>
      </c>
      <c r="H14" s="40">
        <v>11</v>
      </c>
      <c r="I14" s="40" t="str">
        <v>GVT</v>
      </c>
    </row>
    <row r="15" spans="1:9" ht="14.25" customHeight="1" x14ac:dyDescent="0.3">
      <c r="A15" s="9">
        <v>10</v>
      </c>
      <c r="B15" s="41" t="str">
        <v>FARAJA HEMED MSHANA</v>
      </c>
      <c r="C15" s="41" t="str">
        <v>F</v>
      </c>
      <c r="D15" s="42" t="str">
        <v>Arts</v>
      </c>
      <c r="E15" s="42" t="str">
        <v>HGK</v>
      </c>
      <c r="F15" s="42">
        <v>7</v>
      </c>
      <c r="G15" s="42" t="str">
        <v>I</v>
      </c>
      <c r="H15" s="42">
        <v>11</v>
      </c>
      <c r="I15" s="42" t="str">
        <v>GVT</v>
      </c>
    </row>
    <row r="17" spans="1:9" ht="19.5" customHeight="1" x14ac:dyDescent="0.3">
      <c r="A17" s="432" t="s">
        <v>472</v>
      </c>
      <c r="B17" s="431"/>
      <c r="C17" s="431"/>
      <c r="D17" s="431"/>
      <c r="E17" s="431"/>
      <c r="F17" s="431"/>
      <c r="G17" s="431"/>
      <c r="H17" s="431"/>
      <c r="I17" s="431"/>
    </row>
    <row r="18" spans="1:9" ht="18" customHeight="1" x14ac:dyDescent="0.3">
      <c r="A18" s="8" t="s">
        <v>469</v>
      </c>
      <c r="B18" s="38" t="s">
        <v>18</v>
      </c>
      <c r="C18" s="8" t="s">
        <v>21</v>
      </c>
      <c r="D18" s="8" t="s">
        <v>353</v>
      </c>
      <c r="E18" s="8" t="s">
        <v>22</v>
      </c>
      <c r="F18" s="8" t="s">
        <v>470</v>
      </c>
      <c r="G18" s="8" t="s">
        <v>23</v>
      </c>
      <c r="H18" s="8" t="s">
        <v>22</v>
      </c>
      <c r="I18" s="8" t="s">
        <v>471</v>
      </c>
    </row>
    <row r="19" spans="1:9" ht="15.75" customHeight="1" x14ac:dyDescent="0.3">
      <c r="A19" s="9">
        <v>1</v>
      </c>
      <c r="B19" s="39" t="str" cm="1">
        <f t="array" ref="B19:I28">_xlfn.TAKE(
_xlfn.SORTBY(
_xlfn._xlws.FILTER(
_xlfn.CHOOSECOLS(
F6Results_2026[],
_xlfn.XMATCH("Full_Name",F6Results_2026[#Headers]),
_xlfn.XMATCH("Sex",F6Results_2026[#Headers]),
_xlfn.XMATCH("Group",F6Results_2026[#Headers]),
_xlfn.XMATCH("Comb",F6Results_2026[#Headers]),
_xlfn.XMATCH("Points",F6Results_2026[#Headers]),
_xlfn.XMATCH("Div",F6Results_2026[#Headers]),
_xlfn.XMATCH("Aggr_Pts",F6Results_2026[#Headers]),
_xlfn.XMATCH("From",F6Results_2026[#Headers])
),
(UPPER(F6Results_2026[Group])="ARTS")*
(ISNUMBER(F6Results_2026[Points])),
""
),
_xlfn._xlws.FILTER(
F6Results_2026[Points],
(UPPER(F6Results_2026[Group])="ARTS")*
(ISNUMBER(F6Results_2026[Points])),
""
),1,
_xlfn._xlws.FILTER(
F6Results_2026[Aggr_Pts],
(UPPER(F6Results_2026[Group])="ARTS")*
(ISNUMBER(F6Results_2026[Points])),
""
),1
),
10
)</f>
        <v>MAGRETH JOFREY DAUDI</v>
      </c>
      <c r="C19" s="39" t="str">
        <v>F</v>
      </c>
      <c r="D19" s="40" t="str">
        <v>Arts</v>
      </c>
      <c r="E19" s="40" t="str">
        <v>HGK</v>
      </c>
      <c r="F19" s="40">
        <v>3</v>
      </c>
      <c r="G19" s="40" t="str">
        <v>I</v>
      </c>
      <c r="H19" s="40">
        <v>4</v>
      </c>
      <c r="I19" s="40" t="str">
        <v>ST.JUDE</v>
      </c>
    </row>
    <row r="20" spans="1:9" ht="15.75" customHeight="1" x14ac:dyDescent="0.3">
      <c r="A20" s="9">
        <v>2</v>
      </c>
      <c r="B20" s="41" t="str">
        <v>PASKALINA TARMO QAMARA</v>
      </c>
      <c r="C20" s="41" t="str">
        <v>F</v>
      </c>
      <c r="D20" s="42" t="str">
        <v>Arts</v>
      </c>
      <c r="E20" s="42" t="str">
        <v>HGK</v>
      </c>
      <c r="F20" s="42">
        <v>6</v>
      </c>
      <c r="G20" s="42" t="str">
        <v>I</v>
      </c>
      <c r="H20" s="42">
        <v>10</v>
      </c>
      <c r="I20" s="42" t="str">
        <v>ST.JUDE</v>
      </c>
    </row>
    <row r="21" spans="1:9" ht="15.75" customHeight="1" x14ac:dyDescent="0.3">
      <c r="A21" s="9">
        <v>3</v>
      </c>
      <c r="B21" s="39" t="str">
        <v>HAPPYNESS NIKODEMUS MATAYO</v>
      </c>
      <c r="C21" s="39" t="str">
        <v>F</v>
      </c>
      <c r="D21" s="40" t="str">
        <v>Arts</v>
      </c>
      <c r="E21" s="40" t="str">
        <v>HGK</v>
      </c>
      <c r="F21" s="40">
        <v>6</v>
      </c>
      <c r="G21" s="40" t="str">
        <v>I</v>
      </c>
      <c r="H21" s="40">
        <v>10</v>
      </c>
      <c r="I21" s="40" t="str">
        <v>ST.JUDE</v>
      </c>
    </row>
    <row r="22" spans="1:9" ht="15.75" customHeight="1" x14ac:dyDescent="0.3">
      <c r="A22" s="9">
        <v>4</v>
      </c>
      <c r="B22" s="41" t="str">
        <v>AGRIPINA PAULO ROBERT</v>
      </c>
      <c r="C22" s="41" t="str">
        <v>F</v>
      </c>
      <c r="D22" s="42" t="str">
        <v>Arts</v>
      </c>
      <c r="E22" s="42" t="str">
        <v>HGK</v>
      </c>
      <c r="F22" s="42">
        <v>6</v>
      </c>
      <c r="G22" s="42" t="str">
        <v>I</v>
      </c>
      <c r="H22" s="42">
        <v>10</v>
      </c>
      <c r="I22" s="42" t="str">
        <v>GVT</v>
      </c>
    </row>
    <row r="23" spans="1:9" ht="15.75" customHeight="1" x14ac:dyDescent="0.3">
      <c r="A23" s="9">
        <v>5</v>
      </c>
      <c r="B23" s="39" t="str">
        <v>JOAN JOSIA MSECHU</v>
      </c>
      <c r="C23" s="39" t="str">
        <v>F</v>
      </c>
      <c r="D23" s="40" t="str">
        <v>Arts</v>
      </c>
      <c r="E23" s="40" t="str">
        <v>HGK</v>
      </c>
      <c r="F23" s="40">
        <v>6</v>
      </c>
      <c r="G23" s="40" t="str">
        <v>I</v>
      </c>
      <c r="H23" s="40">
        <v>11</v>
      </c>
      <c r="I23" s="40" t="str">
        <v>ST.JUDE</v>
      </c>
    </row>
    <row r="24" spans="1:9" ht="15.75" customHeight="1" x14ac:dyDescent="0.3">
      <c r="A24" s="9">
        <v>6</v>
      </c>
      <c r="B24" s="41" t="str">
        <v>ZAMDA KASIMU KHALIFA</v>
      </c>
      <c r="C24" s="41" t="str">
        <v>F</v>
      </c>
      <c r="D24" s="42" t="str">
        <v>Arts</v>
      </c>
      <c r="E24" s="42" t="str">
        <v>HGK</v>
      </c>
      <c r="F24" s="42">
        <v>6</v>
      </c>
      <c r="G24" s="42" t="str">
        <v>I</v>
      </c>
      <c r="H24" s="42">
        <v>12</v>
      </c>
      <c r="I24" s="42" t="str">
        <v>GVT</v>
      </c>
    </row>
    <row r="25" spans="1:9" ht="15.75" customHeight="1" x14ac:dyDescent="0.3">
      <c r="A25" s="9">
        <v>7</v>
      </c>
      <c r="B25" s="39" t="str">
        <v>JAMES BARAKA SIKAWA</v>
      </c>
      <c r="C25" s="39" t="str">
        <v>M</v>
      </c>
      <c r="D25" s="40" t="str">
        <v>Arts</v>
      </c>
      <c r="E25" s="40" t="str">
        <v>HGK</v>
      </c>
      <c r="F25" s="40">
        <v>7</v>
      </c>
      <c r="G25" s="40" t="str">
        <v>I</v>
      </c>
      <c r="H25" s="40">
        <v>11</v>
      </c>
      <c r="I25" s="40" t="str">
        <v>GVT</v>
      </c>
    </row>
    <row r="26" spans="1:9" ht="15.75" customHeight="1" x14ac:dyDescent="0.3">
      <c r="A26" s="9">
        <v>8</v>
      </c>
      <c r="B26" s="41" t="str">
        <v>SCOLA PETER NNKO</v>
      </c>
      <c r="C26" s="41" t="str">
        <v>F</v>
      </c>
      <c r="D26" s="42" t="str">
        <v>Arts</v>
      </c>
      <c r="E26" s="42" t="str">
        <v>HGK</v>
      </c>
      <c r="F26" s="42">
        <v>7</v>
      </c>
      <c r="G26" s="42" t="str">
        <v>I</v>
      </c>
      <c r="H26" s="42">
        <v>11</v>
      </c>
      <c r="I26" s="42" t="str">
        <v>ST.JUDE</v>
      </c>
    </row>
    <row r="27" spans="1:9" ht="15.75" customHeight="1" x14ac:dyDescent="0.3">
      <c r="A27" s="9">
        <v>9</v>
      </c>
      <c r="B27" s="39" t="str">
        <v>JOSEPH JOEL DANIEL</v>
      </c>
      <c r="C27" s="39" t="str">
        <v>M</v>
      </c>
      <c r="D27" s="40" t="str">
        <v>Arts</v>
      </c>
      <c r="E27" s="40" t="str">
        <v>HGK</v>
      </c>
      <c r="F27" s="40">
        <v>7</v>
      </c>
      <c r="G27" s="40" t="str">
        <v>I</v>
      </c>
      <c r="H27" s="40">
        <v>11</v>
      </c>
      <c r="I27" s="40" t="str">
        <v>GVT</v>
      </c>
    </row>
    <row r="28" spans="1:9" ht="15.75" customHeight="1" x14ac:dyDescent="0.3">
      <c r="A28" s="9">
        <v>10</v>
      </c>
      <c r="B28" s="41" t="str">
        <v>ARAFA BAKARI ABDALLAH</v>
      </c>
      <c r="C28" s="41" t="str">
        <v>F</v>
      </c>
      <c r="D28" s="42" t="str">
        <v>Arts</v>
      </c>
      <c r="E28" s="42" t="str">
        <v>HGK</v>
      </c>
      <c r="F28" s="42">
        <v>7</v>
      </c>
      <c r="G28" s="42" t="str">
        <v>I</v>
      </c>
      <c r="H28" s="42">
        <v>11</v>
      </c>
      <c r="I28" s="42" t="str">
        <v>GVT</v>
      </c>
    </row>
    <row r="31" spans="1:9" ht="19.5" customHeight="1" x14ac:dyDescent="0.3">
      <c r="A31" s="435" t="s">
        <v>892</v>
      </c>
      <c r="B31" s="431"/>
      <c r="C31" s="431"/>
      <c r="D31" s="431"/>
      <c r="E31" s="431"/>
      <c r="F31" s="431"/>
      <c r="G31" s="431"/>
      <c r="H31" s="431"/>
      <c r="I31" s="431"/>
    </row>
    <row r="32" spans="1:9" ht="18" customHeight="1" x14ac:dyDescent="0.3">
      <c r="A32" s="8" t="s">
        <v>469</v>
      </c>
      <c r="B32" s="38" t="s">
        <v>15</v>
      </c>
      <c r="C32" s="8" t="s">
        <v>18</v>
      </c>
      <c r="D32" s="8" t="s">
        <v>19</v>
      </c>
      <c r="E32" s="8" t="s">
        <v>473</v>
      </c>
      <c r="F32" s="8" t="s">
        <v>21</v>
      </c>
      <c r="G32" s="8" t="s">
        <v>474</v>
      </c>
      <c r="H32" s="8" t="s">
        <v>22</v>
      </c>
      <c r="I32" s="8" t="s">
        <v>471</v>
      </c>
    </row>
    <row r="33" spans="1:9" ht="15.75" customHeight="1" x14ac:dyDescent="0.3">
      <c r="A33" s="43">
        <v>1</v>
      </c>
      <c r="B33" s="39" t="str" cm="1">
        <f t="array" ref="B33:I42">_xlfn.TAKE(
_xlfn.SORTBY(
_xlfn._xlws.FILTER(
_xlfn.CHOOSECOLS(
F6Results_2026[],
_xlfn.XMATCH("Full_Name",F6Results_2026[#Headers]),
_xlfn.XMATCH("Sex",F6Results_2026[#Headers]),
_xlfn.XMATCH("Group",F6Results_2026[#Headers]),
_xlfn.XMATCH("Comb",F6Results_2026[#Headers]),
_xlfn.XMATCH("Points",F6Results_2026[#Headers]),
_xlfn.XMATCH("Div",F6Results_2026[#Headers]),
_xlfn.XMATCH("Aggr_Pts",F6Results_2026[#Headers]),
_xlfn.XMATCH("From",F6Results_2026[#Headers])
),
(UPPER(F6Results_2026[Group])="Business")*
(ISNUMBER(F6Results_2026[Points])),
""
),
_xlfn._xlws.FILTER(
F6Results_2026[Points],
(UPPER(F6Results_2026[Group])="Business")*
(ISNUMBER(F6Results_2026[Points])),
""
),1,
_xlfn._xlws.FILTER(
F6Results_2026[Aggr_Pts],
(UPPER(F6Results_2026[Group])="Business")*
(ISNUMBER(F6Results_2026[Points])),
""
),1
),
10
)</f>
        <v>GLORIA GIDEON LUKUMAI</v>
      </c>
      <c r="C33" s="39" t="str">
        <v>F</v>
      </c>
      <c r="D33" s="40" t="str">
        <v>Business</v>
      </c>
      <c r="E33" s="40" t="str">
        <v>EGM</v>
      </c>
      <c r="F33" s="40">
        <v>8</v>
      </c>
      <c r="G33" s="40" t="str">
        <v>I</v>
      </c>
      <c r="H33" s="40">
        <v>13</v>
      </c>
      <c r="I33" s="40" t="str">
        <v>ST.JUDE</v>
      </c>
    </row>
    <row r="34" spans="1:9" ht="15.75" customHeight="1" x14ac:dyDescent="0.3">
      <c r="A34" s="43">
        <v>2</v>
      </c>
      <c r="B34" s="41" t="str">
        <v>ERICK DAVID MNANKA</v>
      </c>
      <c r="C34" s="41" t="str">
        <v>M</v>
      </c>
      <c r="D34" s="42" t="str">
        <v>Business</v>
      </c>
      <c r="E34" s="42" t="str">
        <v>EGM</v>
      </c>
      <c r="F34" s="42">
        <v>8</v>
      </c>
      <c r="G34" s="42" t="str">
        <v>I</v>
      </c>
      <c r="H34" s="42">
        <v>15</v>
      </c>
      <c r="I34" s="42" t="str">
        <v>ST.JUDE</v>
      </c>
    </row>
    <row r="35" spans="1:9" ht="15.75" customHeight="1" x14ac:dyDescent="0.3">
      <c r="A35" s="43">
        <v>3</v>
      </c>
      <c r="B35" s="39" t="str">
        <v>OMARI AYUBU MOHAMEDI</v>
      </c>
      <c r="C35" s="39" t="str">
        <v>M</v>
      </c>
      <c r="D35" s="40" t="str">
        <v>Business</v>
      </c>
      <c r="E35" s="40" t="str">
        <v>EGM</v>
      </c>
      <c r="F35" s="40">
        <v>9</v>
      </c>
      <c r="G35" s="40" t="str">
        <v>I</v>
      </c>
      <c r="H35" s="40">
        <v>14</v>
      </c>
      <c r="I35" s="40" t="str">
        <v>ST.JUDE</v>
      </c>
    </row>
    <row r="36" spans="1:9" ht="15.75" customHeight="1" x14ac:dyDescent="0.3">
      <c r="A36" s="43">
        <v>4</v>
      </c>
      <c r="B36" s="41" t="str">
        <v>ERICK DAUDI OLODI</v>
      </c>
      <c r="C36" s="41" t="str">
        <v>M</v>
      </c>
      <c r="D36" s="42" t="str">
        <v>Business</v>
      </c>
      <c r="E36" s="42" t="str">
        <v>EGM</v>
      </c>
      <c r="F36" s="42">
        <v>10</v>
      </c>
      <c r="G36" s="42" t="str">
        <v>II</v>
      </c>
      <c r="H36" s="42">
        <v>15</v>
      </c>
      <c r="I36" s="42" t="str">
        <v>ST.JUDE</v>
      </c>
    </row>
    <row r="37" spans="1:9" ht="15.75" customHeight="1" x14ac:dyDescent="0.3">
      <c r="A37" s="43">
        <v>5</v>
      </c>
      <c r="B37" s="39" t="str">
        <v>KENNEDY STEVEN KAWELE</v>
      </c>
      <c r="C37" s="39" t="str">
        <v>M</v>
      </c>
      <c r="D37" s="40" t="str">
        <v>Business</v>
      </c>
      <c r="E37" s="40" t="str">
        <v>EGM</v>
      </c>
      <c r="F37" s="40">
        <v>10</v>
      </c>
      <c r="G37" s="40" t="str">
        <v>II</v>
      </c>
      <c r="H37" s="40">
        <v>16</v>
      </c>
      <c r="I37" s="40" t="str">
        <v>ST.JUDE</v>
      </c>
    </row>
    <row r="38" spans="1:9" ht="15.75" customHeight="1" x14ac:dyDescent="0.3">
      <c r="A38" s="43">
        <v>6</v>
      </c>
      <c r="B38" s="41" t="str">
        <v>ANNA PETER HIDA</v>
      </c>
      <c r="C38" s="41" t="str">
        <v>F</v>
      </c>
      <c r="D38" s="42" t="str">
        <v>Business</v>
      </c>
      <c r="E38" s="42" t="str">
        <v>EGM</v>
      </c>
      <c r="F38" s="42">
        <v>11</v>
      </c>
      <c r="G38" s="42" t="str">
        <v>II</v>
      </c>
      <c r="H38" s="42">
        <v>15</v>
      </c>
      <c r="I38" s="42" t="str">
        <v>ST.JUDE</v>
      </c>
    </row>
    <row r="39" spans="1:9" ht="15.75" customHeight="1" x14ac:dyDescent="0.3">
      <c r="A39" s="43">
        <v>7</v>
      </c>
      <c r="B39" s="39" t="str">
        <v>ARNOLD ERNEST TSAKARA</v>
      </c>
      <c r="C39" s="39" t="str">
        <v>M</v>
      </c>
      <c r="D39" s="40" t="str">
        <v>Business</v>
      </c>
      <c r="E39" s="40" t="str">
        <v>EGM</v>
      </c>
      <c r="F39" s="40">
        <v>11</v>
      </c>
      <c r="G39" s="40" t="str">
        <v>II</v>
      </c>
      <c r="H39" s="40">
        <v>16</v>
      </c>
      <c r="I39" s="40" t="str">
        <v>ST.JUDE</v>
      </c>
    </row>
    <row r="40" spans="1:9" ht="15.75" customHeight="1" x14ac:dyDescent="0.3">
      <c r="A40" s="43">
        <v>8</v>
      </c>
      <c r="B40" s="41" t="str">
        <v>YASIR SHAFI MUNISI</v>
      </c>
      <c r="C40" s="41" t="str">
        <v>M</v>
      </c>
      <c r="D40" s="42" t="str">
        <v>Business</v>
      </c>
      <c r="E40" s="42" t="str">
        <v>EGM</v>
      </c>
      <c r="F40" s="42">
        <v>11</v>
      </c>
      <c r="G40" s="42" t="str">
        <v>II</v>
      </c>
      <c r="H40" s="42">
        <v>16</v>
      </c>
      <c r="I40" s="42" t="str">
        <v>ST.JUDE</v>
      </c>
    </row>
    <row r="41" spans="1:9" ht="15.75" customHeight="1" x14ac:dyDescent="0.3">
      <c r="A41" s="43">
        <v>9</v>
      </c>
      <c r="B41" s="39" t="str">
        <v>AMINA MOHAMMED HAMIS</v>
      </c>
      <c r="C41" s="39" t="str">
        <v>F</v>
      </c>
      <c r="D41" s="40" t="str">
        <v>Business</v>
      </c>
      <c r="E41" s="40" t="str">
        <v>EGM</v>
      </c>
      <c r="F41" s="40">
        <v>11</v>
      </c>
      <c r="G41" s="40" t="str">
        <v>II</v>
      </c>
      <c r="H41" s="40">
        <v>16</v>
      </c>
      <c r="I41" s="40" t="str">
        <v>ST.JUDE</v>
      </c>
    </row>
    <row r="42" spans="1:9" ht="15.75" customHeight="1" x14ac:dyDescent="0.3">
      <c r="A42" s="43">
        <v>10</v>
      </c>
      <c r="B42" s="41" t="str">
        <v>GWANTWA ASWILE KIBONA</v>
      </c>
      <c r="C42" s="41" t="str">
        <v>F</v>
      </c>
      <c r="D42" s="42" t="str">
        <v>Business</v>
      </c>
      <c r="E42" s="42" t="str">
        <v>EGM</v>
      </c>
      <c r="F42" s="42">
        <v>11</v>
      </c>
      <c r="G42" s="42" t="str">
        <v>II</v>
      </c>
      <c r="H42" s="42">
        <v>16</v>
      </c>
      <c r="I42" s="42" t="str">
        <v>ST.JUDE</v>
      </c>
    </row>
    <row r="45" spans="1:9" ht="19.5" customHeight="1" x14ac:dyDescent="0.3">
      <c r="A45" s="430" t="s">
        <v>475</v>
      </c>
      <c r="B45" s="431"/>
      <c r="C45" s="431"/>
      <c r="D45" s="431"/>
      <c r="E45" s="431"/>
      <c r="F45" s="431"/>
      <c r="G45" s="431"/>
      <c r="H45" s="431"/>
      <c r="I45" s="431"/>
    </row>
    <row r="46" spans="1:9" ht="18" customHeight="1" x14ac:dyDescent="0.3">
      <c r="A46" s="8" t="s">
        <v>469</v>
      </c>
      <c r="B46" s="38" t="s">
        <v>15</v>
      </c>
      <c r="C46" s="8" t="s">
        <v>18</v>
      </c>
      <c r="D46" s="8" t="s">
        <v>19</v>
      </c>
      <c r="E46" s="8" t="s">
        <v>473</v>
      </c>
      <c r="F46" s="8" t="s">
        <v>21</v>
      </c>
      <c r="G46" s="8" t="s">
        <v>474</v>
      </c>
      <c r="H46" s="8" t="s">
        <v>22</v>
      </c>
      <c r="I46" s="8" t="s">
        <v>471</v>
      </c>
    </row>
    <row r="47" spans="1:9" ht="15.75" customHeight="1" x14ac:dyDescent="0.3">
      <c r="A47" s="44">
        <v>1</v>
      </c>
      <c r="B47" s="39" t="str" cm="1">
        <f t="array" ref="B47:I56">_xlfn.TAKE(
_xlfn.SORTBY(
_xlfn._xlws.FILTER(
_xlfn.CHOOSECOLS(
F6Results_2026[],
_xlfn.XMATCH("Full_Name",F6Results_2026[#Headers]),
_xlfn.XMATCH("Sex",F6Results_2026[#Headers]),
_xlfn.XMATCH("Group",F6Results_2026[#Headers]),
_xlfn.XMATCH("Comb",F6Results_2026[#Headers]),
_xlfn.XMATCH("Points",F6Results_2026[#Headers]),
_xlfn.XMATCH("Div",F6Results_2026[#Headers]),
_xlfn.XMATCH("Aggr_Pts",F6Results_2026[#Headers]),
_xlfn.XMATCH("From",F6Results_2026[#Headers])
),
(UPPER(F6Results_2026[Group])="Business")*
(ISNUMBER(F6Results_2026[Points])),
""
),
_xlfn._xlws.FILTER(
F6Results_2026[Points],
(UPPER(F6Results_2026[Group])="Business")*
(ISNUMBER(F6Results_2026[Points])),
""
),1,
_xlfn._xlws.FILTER(
F6Results_2026[Aggr_Pts],
(UPPER(F6Results_2026[Group])="Business")*
(ISNUMBER(F6Results_2026[Points])),
""
),1
),
10
)</f>
        <v>GLORIA GIDEON LUKUMAI</v>
      </c>
      <c r="C47" s="39" t="str">
        <v>F</v>
      </c>
      <c r="D47" s="40" t="str">
        <v>Business</v>
      </c>
      <c r="E47" s="40" t="str">
        <v>EGM</v>
      </c>
      <c r="F47" s="40">
        <v>8</v>
      </c>
      <c r="G47" s="40" t="str">
        <v>I</v>
      </c>
      <c r="H47" s="40">
        <v>13</v>
      </c>
      <c r="I47" s="40" t="str">
        <v>ST.JUDE</v>
      </c>
    </row>
    <row r="48" spans="1:9" ht="15.75" customHeight="1" x14ac:dyDescent="0.3">
      <c r="A48" s="44">
        <v>2</v>
      </c>
      <c r="B48" s="41" t="str">
        <v>ERICK DAVID MNANKA</v>
      </c>
      <c r="C48" s="41" t="str">
        <v>M</v>
      </c>
      <c r="D48" s="42" t="str">
        <v>Business</v>
      </c>
      <c r="E48" s="42" t="str">
        <v>EGM</v>
      </c>
      <c r="F48" s="42">
        <v>8</v>
      </c>
      <c r="G48" s="42" t="str">
        <v>I</v>
      </c>
      <c r="H48" s="42">
        <v>15</v>
      </c>
      <c r="I48" s="42" t="str">
        <v>ST.JUDE</v>
      </c>
    </row>
    <row r="49" spans="1:9" ht="15.75" customHeight="1" x14ac:dyDescent="0.3">
      <c r="A49" s="44">
        <v>3</v>
      </c>
      <c r="B49" s="39" t="str">
        <v>OMARI AYUBU MOHAMEDI</v>
      </c>
      <c r="C49" s="39" t="str">
        <v>M</v>
      </c>
      <c r="D49" s="40" t="str">
        <v>Business</v>
      </c>
      <c r="E49" s="40" t="str">
        <v>EGM</v>
      </c>
      <c r="F49" s="40">
        <v>9</v>
      </c>
      <c r="G49" s="40" t="str">
        <v>I</v>
      </c>
      <c r="H49" s="40">
        <v>14</v>
      </c>
      <c r="I49" s="40" t="str">
        <v>ST.JUDE</v>
      </c>
    </row>
    <row r="50" spans="1:9" ht="15.75" customHeight="1" x14ac:dyDescent="0.3">
      <c r="A50" s="44">
        <v>4</v>
      </c>
      <c r="B50" s="41" t="str">
        <v>ERICK DAUDI OLODI</v>
      </c>
      <c r="C50" s="41" t="str">
        <v>M</v>
      </c>
      <c r="D50" s="42" t="str">
        <v>Business</v>
      </c>
      <c r="E50" s="42" t="str">
        <v>EGM</v>
      </c>
      <c r="F50" s="42">
        <v>10</v>
      </c>
      <c r="G50" s="42" t="str">
        <v>II</v>
      </c>
      <c r="H50" s="42">
        <v>15</v>
      </c>
      <c r="I50" s="42" t="str">
        <v>ST.JUDE</v>
      </c>
    </row>
    <row r="51" spans="1:9" ht="15.75" customHeight="1" x14ac:dyDescent="0.3">
      <c r="A51" s="44">
        <v>5</v>
      </c>
      <c r="B51" s="39" t="str">
        <v>KENNEDY STEVEN KAWELE</v>
      </c>
      <c r="C51" s="39" t="str">
        <v>M</v>
      </c>
      <c r="D51" s="40" t="str">
        <v>Business</v>
      </c>
      <c r="E51" s="40" t="str">
        <v>EGM</v>
      </c>
      <c r="F51" s="40">
        <v>10</v>
      </c>
      <c r="G51" s="40" t="str">
        <v>II</v>
      </c>
      <c r="H51" s="40">
        <v>16</v>
      </c>
      <c r="I51" s="40" t="str">
        <v>ST.JUDE</v>
      </c>
    </row>
    <row r="52" spans="1:9" ht="15.75" customHeight="1" x14ac:dyDescent="0.3">
      <c r="A52" s="44">
        <v>6</v>
      </c>
      <c r="B52" s="41" t="str">
        <v>ANNA PETER HIDA</v>
      </c>
      <c r="C52" s="41" t="str">
        <v>F</v>
      </c>
      <c r="D52" s="42" t="str">
        <v>Business</v>
      </c>
      <c r="E52" s="42" t="str">
        <v>EGM</v>
      </c>
      <c r="F52" s="42">
        <v>11</v>
      </c>
      <c r="G52" s="42" t="str">
        <v>II</v>
      </c>
      <c r="H52" s="42">
        <v>15</v>
      </c>
      <c r="I52" s="42" t="str">
        <v>ST.JUDE</v>
      </c>
    </row>
    <row r="53" spans="1:9" ht="15.75" customHeight="1" x14ac:dyDescent="0.3">
      <c r="A53" s="44">
        <v>7</v>
      </c>
      <c r="B53" s="39" t="str">
        <v>ARNOLD ERNEST TSAKARA</v>
      </c>
      <c r="C53" s="39" t="str">
        <v>M</v>
      </c>
      <c r="D53" s="40" t="str">
        <v>Business</v>
      </c>
      <c r="E53" s="40" t="str">
        <v>EGM</v>
      </c>
      <c r="F53" s="40">
        <v>11</v>
      </c>
      <c r="G53" s="40" t="str">
        <v>II</v>
      </c>
      <c r="H53" s="40">
        <v>16</v>
      </c>
      <c r="I53" s="40" t="str">
        <v>ST.JUDE</v>
      </c>
    </row>
    <row r="54" spans="1:9" ht="15.75" customHeight="1" x14ac:dyDescent="0.3">
      <c r="A54" s="44">
        <v>8</v>
      </c>
      <c r="B54" s="41" t="str">
        <v>YASIR SHAFI MUNISI</v>
      </c>
      <c r="C54" s="41" t="str">
        <v>M</v>
      </c>
      <c r="D54" s="42" t="str">
        <v>Business</v>
      </c>
      <c r="E54" s="42" t="str">
        <v>EGM</v>
      </c>
      <c r="F54" s="42">
        <v>11</v>
      </c>
      <c r="G54" s="42" t="str">
        <v>II</v>
      </c>
      <c r="H54" s="42">
        <v>16</v>
      </c>
      <c r="I54" s="42" t="str">
        <v>ST.JUDE</v>
      </c>
    </row>
    <row r="55" spans="1:9" ht="15.75" customHeight="1" x14ac:dyDescent="0.3">
      <c r="A55" s="44">
        <v>9</v>
      </c>
      <c r="B55" s="39" t="str">
        <v>AMINA MOHAMMED HAMIS</v>
      </c>
      <c r="C55" s="39" t="str">
        <v>F</v>
      </c>
      <c r="D55" s="40" t="str">
        <v>Business</v>
      </c>
      <c r="E55" s="40" t="str">
        <v>EGM</v>
      </c>
      <c r="F55" s="40">
        <v>11</v>
      </c>
      <c r="G55" s="40" t="str">
        <v>II</v>
      </c>
      <c r="H55" s="40">
        <v>16</v>
      </c>
      <c r="I55" s="40" t="str">
        <v>ST.JUDE</v>
      </c>
    </row>
    <row r="56" spans="1:9" ht="15.75" customHeight="1" x14ac:dyDescent="0.3">
      <c r="A56" s="44">
        <v>10</v>
      </c>
      <c r="B56" s="41" t="str">
        <v>GWANTWA ASWILE KIBONA</v>
      </c>
      <c r="C56" s="41" t="str">
        <v>F</v>
      </c>
      <c r="D56" s="42" t="str">
        <v>Business</v>
      </c>
      <c r="E56" s="42" t="str">
        <v>EGM</v>
      </c>
      <c r="F56" s="42">
        <v>11</v>
      </c>
      <c r="G56" s="42" t="str">
        <v>II</v>
      </c>
      <c r="H56" s="42">
        <v>16</v>
      </c>
      <c r="I56" s="42" t="str">
        <v>ST.JUDE</v>
      </c>
    </row>
    <row r="58" spans="1:9" ht="14.25" customHeight="1" x14ac:dyDescent="0.3">
      <c r="A58" s="430" t="s">
        <v>476</v>
      </c>
      <c r="B58" s="431"/>
      <c r="C58" s="431"/>
      <c r="D58" s="431"/>
      <c r="E58" s="431"/>
      <c r="F58" s="431"/>
      <c r="G58" s="431"/>
      <c r="H58" s="431"/>
      <c r="I58" s="431"/>
    </row>
    <row r="59" spans="1:9" ht="14.25" customHeight="1" x14ac:dyDescent="0.3">
      <c r="A59" s="8" t="s">
        <v>469</v>
      </c>
      <c r="B59" s="38" t="s">
        <v>15</v>
      </c>
      <c r="C59" s="8" t="s">
        <v>18</v>
      </c>
      <c r="D59" s="8" t="s">
        <v>19</v>
      </c>
      <c r="E59" s="8" t="s">
        <v>473</v>
      </c>
      <c r="F59" s="8" t="s">
        <v>21</v>
      </c>
      <c r="G59" s="8" t="s">
        <v>474</v>
      </c>
      <c r="H59" s="8" t="s">
        <v>22</v>
      </c>
      <c r="I59" s="8" t="s">
        <v>471</v>
      </c>
    </row>
    <row r="60" spans="1:9" ht="14.25" customHeight="1" x14ac:dyDescent="0.3">
      <c r="A60" s="44">
        <v>1</v>
      </c>
      <c r="B60" s="39" t="str" cm="1">
        <f t="array" ref="B60:I79">_xlfn.TAKE(
_xlfn.SORTBY(
_xlfn._xlws.FILTER(
_xlfn.CHOOSECOLS(
F6Results_2026[],
_xlfn.XMATCH("Full_Name",F6Results_2026[#Headers]),
_xlfn.XMATCH("Sex",F6Results_2026[#Headers]),
_xlfn.XMATCH("Group",F6Results_2026[#Headers]),
_xlfn.XMATCH("Comb",F6Results_2026[#Headers]),
_xlfn.XMATCH("Points",F6Results_2026[#Headers]),
_xlfn.XMATCH("Div",F6Results_2026[#Headers]),
_xlfn.XMATCH("Aggr_Pts",F6Results_2026[#Headers]),
_xlfn.XMATCH("From",F6Results_2026[#Headers])
),
ISNUMBER(F6Results_2026[Points])
),
_xlfn._xlws.FILTER(F6Results_2026[Aggr_Pts],ISNUMBER(F6Results_2026[Points])),
-1,
_xlfn._xlws.FILTER(F6Results_2026[Points],ISNUMBER(F6Results_2026[Points])),
1
),
20
)</f>
        <v>RASHIDI ABDILAH BEKO</v>
      </c>
      <c r="C60" s="39" t="str">
        <v>M</v>
      </c>
      <c r="D60" s="40" t="str">
        <v>Science</v>
      </c>
      <c r="E60" s="40" t="str">
        <v>PCB</v>
      </c>
      <c r="F60" s="40">
        <v>17</v>
      </c>
      <c r="G60" s="40" t="str">
        <v>III</v>
      </c>
      <c r="H60" s="40">
        <v>30</v>
      </c>
      <c r="I60" s="40" t="str">
        <v>GVT</v>
      </c>
    </row>
    <row r="61" spans="1:9" ht="14.25" customHeight="1" x14ac:dyDescent="0.3">
      <c r="A61" s="44">
        <v>2</v>
      </c>
      <c r="B61" s="41" t="str">
        <v>ALLEN HUSSEIN IDDI</v>
      </c>
      <c r="C61" s="41" t="str">
        <v>M</v>
      </c>
      <c r="D61" s="42" t="str">
        <v>Business</v>
      </c>
      <c r="E61" s="42" t="str">
        <v>ECA</v>
      </c>
      <c r="F61" s="42">
        <v>18</v>
      </c>
      <c r="G61" s="42" t="str">
        <v>IV</v>
      </c>
      <c r="H61" s="42">
        <v>30</v>
      </c>
      <c r="I61" s="42" t="str">
        <v>ST.JUDE</v>
      </c>
    </row>
    <row r="62" spans="1:9" ht="14.25" customHeight="1" x14ac:dyDescent="0.3">
      <c r="A62" s="44">
        <v>3</v>
      </c>
      <c r="B62" s="39" t="str">
        <v>HAPPYNESS JACOB LAZARO</v>
      </c>
      <c r="C62" s="39" t="str">
        <v>F</v>
      </c>
      <c r="D62" s="40" t="str">
        <v>Business</v>
      </c>
      <c r="E62" s="40" t="str">
        <v>ECA</v>
      </c>
      <c r="F62" s="40">
        <v>18</v>
      </c>
      <c r="G62" s="40" t="str">
        <v>IV</v>
      </c>
      <c r="H62" s="40">
        <v>29</v>
      </c>
      <c r="I62" s="40" t="str">
        <v>ST.JUDE</v>
      </c>
    </row>
    <row r="63" spans="1:9" ht="14.25" customHeight="1" x14ac:dyDescent="0.3">
      <c r="A63" s="44">
        <v>4</v>
      </c>
      <c r="B63" s="41" t="str">
        <v>DORKASIA DAUDI YEREMIA</v>
      </c>
      <c r="C63" s="41" t="str">
        <v>F</v>
      </c>
      <c r="D63" s="42" t="str">
        <v>Science</v>
      </c>
      <c r="E63" s="42" t="str">
        <v>PCB</v>
      </c>
      <c r="F63" s="42">
        <v>18</v>
      </c>
      <c r="G63" s="42" t="str">
        <v>IV</v>
      </c>
      <c r="H63" s="42">
        <v>29</v>
      </c>
      <c r="I63" s="42" t="str">
        <v>GVT</v>
      </c>
    </row>
    <row r="64" spans="1:9" ht="14.25" customHeight="1" x14ac:dyDescent="0.3">
      <c r="A64" s="44">
        <v>5</v>
      </c>
      <c r="B64" s="39" t="str">
        <v>GEOVIN STEVEN MACHA</v>
      </c>
      <c r="C64" s="39" t="str">
        <v>M</v>
      </c>
      <c r="D64" s="40" t="str">
        <v>Science</v>
      </c>
      <c r="E64" s="40" t="str">
        <v>PCB</v>
      </c>
      <c r="F64" s="40">
        <v>21</v>
      </c>
      <c r="G64" s="40" t="str">
        <v>O</v>
      </c>
      <c r="H64" s="40">
        <v>29</v>
      </c>
      <c r="I64" s="40" t="str">
        <v>ST.JUDE</v>
      </c>
    </row>
    <row r="65" spans="1:9" ht="14.25" customHeight="1" x14ac:dyDescent="0.3">
      <c r="A65" s="44">
        <v>6</v>
      </c>
      <c r="B65" s="41" t="str">
        <v>HIDAYA HAMISI KAYANDA</v>
      </c>
      <c r="C65" s="41" t="str">
        <v>F</v>
      </c>
      <c r="D65" s="42" t="str">
        <v>Business</v>
      </c>
      <c r="E65" s="42" t="str">
        <v>ECA</v>
      </c>
      <c r="F65" s="42">
        <v>21</v>
      </c>
      <c r="G65" s="42" t="str">
        <v>O</v>
      </c>
      <c r="H65" s="42">
        <v>29</v>
      </c>
      <c r="I65" s="42" t="str">
        <v>ST.JUDE</v>
      </c>
    </row>
    <row r="66" spans="1:9" ht="14.25" customHeight="1" x14ac:dyDescent="0.3">
      <c r="A66" s="44">
        <v>7</v>
      </c>
      <c r="B66" s="39" t="str">
        <v>IDAN SAMWEL MWENDA</v>
      </c>
      <c r="C66" s="39" t="str">
        <v>M</v>
      </c>
      <c r="D66" s="40" t="str">
        <v>Science</v>
      </c>
      <c r="E66" s="40" t="str">
        <v>PCB</v>
      </c>
      <c r="F66" s="40">
        <v>21</v>
      </c>
      <c r="G66" s="40" t="str">
        <v>O</v>
      </c>
      <c r="H66" s="40">
        <v>29</v>
      </c>
      <c r="I66" s="40" t="str">
        <v>GVT</v>
      </c>
    </row>
    <row r="67" spans="1:9" ht="14.25" customHeight="1" x14ac:dyDescent="0.3">
      <c r="A67" s="44">
        <v>8</v>
      </c>
      <c r="B67" s="41" t="str">
        <v>DANIEL ISAYA KIVUYO</v>
      </c>
      <c r="C67" s="41" t="str">
        <v>M</v>
      </c>
      <c r="D67" s="42" t="str">
        <v>Business</v>
      </c>
      <c r="E67" s="42" t="str">
        <v>ECA</v>
      </c>
      <c r="F67" s="42">
        <v>14</v>
      </c>
      <c r="G67" s="42" t="str">
        <v>III</v>
      </c>
      <c r="H67" s="42">
        <v>28</v>
      </c>
      <c r="I67" s="42" t="str">
        <v>ST.JUDE</v>
      </c>
    </row>
    <row r="68" spans="1:9" ht="14.25" customHeight="1" x14ac:dyDescent="0.3">
      <c r="A68" s="44">
        <v>9</v>
      </c>
      <c r="B68" s="39" t="str">
        <v>SHAFII ZUBERI MGAYA</v>
      </c>
      <c r="C68" s="39" t="str">
        <v>M</v>
      </c>
      <c r="D68" s="40" t="str">
        <v>Science</v>
      </c>
      <c r="E68" s="40" t="str">
        <v>PCB</v>
      </c>
      <c r="F68" s="40">
        <v>15</v>
      </c>
      <c r="G68" s="40" t="str">
        <v>III</v>
      </c>
      <c r="H68" s="40">
        <v>28</v>
      </c>
      <c r="I68" s="40" t="str">
        <v>GVT</v>
      </c>
    </row>
    <row r="69" spans="1:9" ht="14.25" customHeight="1" x14ac:dyDescent="0.3">
      <c r="A69" s="44">
        <v>10</v>
      </c>
      <c r="B69" s="41" t="str">
        <v>LOVENESS ABISHUA MPANDA</v>
      </c>
      <c r="C69" s="41" t="str">
        <v>F</v>
      </c>
      <c r="D69" s="42" t="str">
        <v>Science</v>
      </c>
      <c r="E69" s="42" t="str">
        <v>PCB</v>
      </c>
      <c r="F69" s="42">
        <v>16</v>
      </c>
      <c r="G69" s="42" t="str">
        <v>III</v>
      </c>
      <c r="H69" s="42">
        <v>28</v>
      </c>
      <c r="I69" s="42" t="str">
        <v>ST.JUDE</v>
      </c>
    </row>
    <row r="70" spans="1:9" ht="14.25" customHeight="1" x14ac:dyDescent="0.3">
      <c r="A70" s="44">
        <v>11</v>
      </c>
      <c r="B70" s="39" t="str">
        <v>NANCY GADIEL MBAGA</v>
      </c>
      <c r="C70" s="39" t="str">
        <v>F</v>
      </c>
      <c r="D70" s="40" t="str">
        <v>Science</v>
      </c>
      <c r="E70" s="40" t="str">
        <v>PCB</v>
      </c>
      <c r="F70" s="40">
        <v>16</v>
      </c>
      <c r="G70" s="40" t="str">
        <v>III</v>
      </c>
      <c r="H70" s="40">
        <v>28</v>
      </c>
      <c r="I70" s="40" t="str">
        <v>ST.JUDE</v>
      </c>
    </row>
    <row r="71" spans="1:9" ht="14.25" customHeight="1" x14ac:dyDescent="0.3">
      <c r="A71" s="44">
        <v>12</v>
      </c>
      <c r="B71" s="41" t="str">
        <v>VALERIA FABIAN MOLLEL</v>
      </c>
      <c r="C71" s="41" t="str">
        <v>F</v>
      </c>
      <c r="D71" s="42" t="str">
        <v>Science</v>
      </c>
      <c r="E71" s="42" t="str">
        <v>PCB</v>
      </c>
      <c r="F71" s="42">
        <v>16</v>
      </c>
      <c r="G71" s="42" t="str">
        <v>III</v>
      </c>
      <c r="H71" s="42">
        <v>28</v>
      </c>
      <c r="I71" s="42" t="str">
        <v>ST.JUDE</v>
      </c>
    </row>
    <row r="72" spans="1:9" ht="14.25" customHeight="1" x14ac:dyDescent="0.3">
      <c r="A72" s="44">
        <v>13</v>
      </c>
      <c r="B72" s="39" t="str">
        <v>IBRAHIM ANTHONY PAULO</v>
      </c>
      <c r="C72" s="39" t="str">
        <v>M</v>
      </c>
      <c r="D72" s="40" t="str">
        <v>Science</v>
      </c>
      <c r="E72" s="40" t="str">
        <v>CBA</v>
      </c>
      <c r="F72" s="40">
        <v>16</v>
      </c>
      <c r="G72" s="40" t="str">
        <v>III</v>
      </c>
      <c r="H72" s="40">
        <v>28</v>
      </c>
      <c r="I72" s="40" t="str">
        <v>GVT</v>
      </c>
    </row>
    <row r="73" spans="1:9" ht="14.25" customHeight="1" x14ac:dyDescent="0.3">
      <c r="A73" s="44">
        <v>14</v>
      </c>
      <c r="B73" s="41" t="str">
        <v>GODFREY FELIX KABERA</v>
      </c>
      <c r="C73" s="41" t="str">
        <v>M</v>
      </c>
      <c r="D73" s="42" t="str">
        <v>Science</v>
      </c>
      <c r="E73" s="42" t="str">
        <v>PCB</v>
      </c>
      <c r="F73" s="42">
        <v>21</v>
      </c>
      <c r="G73" s="42" t="str">
        <v>O</v>
      </c>
      <c r="H73" s="42">
        <v>28</v>
      </c>
      <c r="I73" s="42" t="str">
        <v>GVT</v>
      </c>
    </row>
    <row r="74" spans="1:9" ht="14.25" customHeight="1" x14ac:dyDescent="0.3">
      <c r="A74" s="44">
        <v>15</v>
      </c>
      <c r="B74" s="39" t="str">
        <v>AMBROSI CHRISTOPHER LALA</v>
      </c>
      <c r="C74" s="39" t="str">
        <v>M</v>
      </c>
      <c r="D74" s="40" t="str">
        <v>Business</v>
      </c>
      <c r="E74" s="40" t="str">
        <v>ECA</v>
      </c>
      <c r="F74" s="40">
        <v>14</v>
      </c>
      <c r="G74" s="40" t="str">
        <v>III</v>
      </c>
      <c r="H74" s="40">
        <v>27</v>
      </c>
      <c r="I74" s="40" t="str">
        <v>ST.JUDE</v>
      </c>
    </row>
    <row r="75" spans="1:9" ht="14.25" customHeight="1" x14ac:dyDescent="0.3">
      <c r="A75" s="44">
        <v>16</v>
      </c>
      <c r="B75" s="41" t="str">
        <v>ROSE DONATI LYIMO</v>
      </c>
      <c r="C75" s="41" t="str">
        <v>F</v>
      </c>
      <c r="D75" s="42" t="str">
        <v>Science</v>
      </c>
      <c r="E75" s="42" t="str">
        <v>PCB</v>
      </c>
      <c r="F75" s="42">
        <v>16</v>
      </c>
      <c r="G75" s="42" t="str">
        <v>III</v>
      </c>
      <c r="H75" s="42">
        <v>27</v>
      </c>
      <c r="I75" s="42" t="str">
        <v>ST.JUDE</v>
      </c>
    </row>
    <row r="76" spans="1:9" ht="14.25" customHeight="1" x14ac:dyDescent="0.3">
      <c r="A76" s="44">
        <v>17</v>
      </c>
      <c r="B76" s="39" t="str">
        <v>BARAKA ELIYA TIPPE</v>
      </c>
      <c r="C76" s="39" t="str">
        <v>M</v>
      </c>
      <c r="D76" s="40" t="str">
        <v>Science</v>
      </c>
      <c r="E76" s="40" t="str">
        <v>PCB</v>
      </c>
      <c r="F76" s="40">
        <v>17</v>
      </c>
      <c r="G76" s="40" t="str">
        <v>III</v>
      </c>
      <c r="H76" s="40">
        <v>27</v>
      </c>
      <c r="I76" s="40" t="str">
        <v>GVT</v>
      </c>
    </row>
    <row r="77" spans="1:9" ht="14.25" customHeight="1" x14ac:dyDescent="0.3">
      <c r="A77" s="44">
        <v>18</v>
      </c>
      <c r="B77" s="41" t="str">
        <v>RASHIDI NURDIN DHAHABU</v>
      </c>
      <c r="C77" s="41" t="str">
        <v>M</v>
      </c>
      <c r="D77" s="42" t="str">
        <v>Business</v>
      </c>
      <c r="E77" s="42" t="str">
        <v>ECA</v>
      </c>
      <c r="F77" s="42">
        <v>17</v>
      </c>
      <c r="G77" s="42" t="str">
        <v>III</v>
      </c>
      <c r="H77" s="42">
        <v>27</v>
      </c>
      <c r="I77" s="42" t="str">
        <v>ST.JUDE</v>
      </c>
    </row>
    <row r="78" spans="1:9" ht="14.25" customHeight="1" x14ac:dyDescent="0.3">
      <c r="A78" s="44">
        <v>19</v>
      </c>
      <c r="B78" s="39" t="str">
        <v>HIPOLITI JOHN JOAKIMU</v>
      </c>
      <c r="C78" s="39" t="str">
        <v>M</v>
      </c>
      <c r="D78" s="40" t="str">
        <v>Science</v>
      </c>
      <c r="E78" s="40" t="str">
        <v>PCB</v>
      </c>
      <c r="F78" s="40">
        <v>17</v>
      </c>
      <c r="G78" s="40" t="str">
        <v>III</v>
      </c>
      <c r="H78" s="40">
        <v>27</v>
      </c>
      <c r="I78" s="40" t="str">
        <v>GVT</v>
      </c>
    </row>
    <row r="79" spans="1:9" ht="14.25" customHeight="1" x14ac:dyDescent="0.3">
      <c r="A79" s="44">
        <v>20</v>
      </c>
      <c r="B79" s="41" t="str">
        <v>ANNA PRAYAGOD MBISE</v>
      </c>
      <c r="C79" s="41" t="str">
        <v>F</v>
      </c>
      <c r="D79" s="42" t="str">
        <v>Business</v>
      </c>
      <c r="E79" s="42" t="str">
        <v>ECA</v>
      </c>
      <c r="F79" s="42">
        <v>21</v>
      </c>
      <c r="G79" s="42" t="str">
        <v>O</v>
      </c>
      <c r="H79" s="42">
        <v>27</v>
      </c>
      <c r="I79" s="42" t="str">
        <v>ST.JUDE</v>
      </c>
    </row>
  </sheetData>
  <mergeCells count="7">
    <mergeCell ref="A58:I58"/>
    <mergeCell ref="A4:I4"/>
    <mergeCell ref="A2:I2"/>
    <mergeCell ref="A1:I1"/>
    <mergeCell ref="A17:I17"/>
    <mergeCell ref="A45:I45"/>
    <mergeCell ref="A31:I3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9"/>
  <sheetViews>
    <sheetView topLeftCell="A67" zoomScaleNormal="100" workbookViewId="0">
      <selection activeCell="T8" sqref="T8"/>
    </sheetView>
  </sheetViews>
  <sheetFormatPr defaultColWidth="8.6640625" defaultRowHeight="14.4" x14ac:dyDescent="0.3"/>
  <cols>
    <col min="1" max="1" width="6.77734375" style="210" customWidth="1"/>
    <col min="2" max="2" width="11.44140625" style="210" customWidth="1"/>
    <col min="3" max="3" width="5.5546875" style="210" customWidth="1"/>
    <col min="4" max="4" width="5.77734375" style="210" customWidth="1"/>
    <col min="5" max="6" width="5.5546875" style="210" customWidth="1"/>
    <col min="7" max="7" width="12" style="210" customWidth="1"/>
    <col min="8" max="8" width="6.109375" style="210" customWidth="1"/>
    <col min="9" max="10" width="5.5546875" style="210" customWidth="1"/>
    <col min="11" max="11" width="10.44140625" style="210" customWidth="1"/>
    <col min="12" max="12" width="5.77734375" style="210" customWidth="1"/>
    <col min="13" max="13" width="7" style="210" customWidth="1"/>
    <col min="14" max="14" width="7.109375" style="210" customWidth="1"/>
    <col min="15" max="15" width="6.44140625" style="210" customWidth="1"/>
    <col min="16" max="16" width="8.77734375" style="210" customWidth="1"/>
  </cols>
  <sheetData>
    <row r="1" spans="1:16" ht="30" customHeight="1" x14ac:dyDescent="0.3">
      <c r="A1" s="436" t="s">
        <v>481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</row>
    <row r="2" spans="1:16" ht="21.75" customHeight="1" x14ac:dyDescent="0.3">
      <c r="A2" s="53"/>
      <c r="B2" s="54" t="s">
        <v>477</v>
      </c>
      <c r="C2" s="443" t="s">
        <v>478</v>
      </c>
      <c r="D2" s="438"/>
      <c r="E2" s="439" t="s">
        <v>479</v>
      </c>
      <c r="F2" s="438"/>
      <c r="G2" s="55" t="s">
        <v>482</v>
      </c>
      <c r="H2" s="442" t="s">
        <v>483</v>
      </c>
      <c r="I2" s="438"/>
      <c r="J2" s="437" t="s">
        <v>484</v>
      </c>
      <c r="K2" s="438"/>
      <c r="L2" s="441" t="s">
        <v>480</v>
      </c>
      <c r="M2" s="438"/>
      <c r="N2" s="438"/>
      <c r="O2" s="53"/>
      <c r="P2" s="53"/>
    </row>
    <row r="3" spans="1:16" s="281" customFormat="1" ht="19.5" customHeight="1" x14ac:dyDescent="0.3">
      <c r="A3" s="440" t="s">
        <v>994</v>
      </c>
      <c r="B3" s="415"/>
      <c r="C3" s="415"/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</row>
    <row r="4" spans="1:16" s="281" customFormat="1" ht="18" customHeight="1" x14ac:dyDescent="0.3">
      <c r="A4" s="45" t="s">
        <v>486</v>
      </c>
      <c r="B4" s="56" t="s">
        <v>24</v>
      </c>
      <c r="C4" s="57" t="s">
        <v>25</v>
      </c>
      <c r="D4" s="57" t="s">
        <v>26</v>
      </c>
      <c r="E4" s="58" t="s">
        <v>27</v>
      </c>
      <c r="F4" s="58" t="s">
        <v>28</v>
      </c>
      <c r="G4" s="59" t="s">
        <v>29</v>
      </c>
      <c r="H4" s="60" t="s">
        <v>30</v>
      </c>
      <c r="I4" s="60" t="s">
        <v>31</v>
      </c>
      <c r="J4" s="61" t="s">
        <v>33</v>
      </c>
      <c r="K4" s="61" t="s">
        <v>34</v>
      </c>
      <c r="L4" s="62" t="s">
        <v>35</v>
      </c>
      <c r="M4" s="62" t="s">
        <v>36</v>
      </c>
      <c r="N4" s="62" t="s">
        <v>37</v>
      </c>
      <c r="O4" s="63" t="s">
        <v>350</v>
      </c>
      <c r="P4" s="63" t="s">
        <v>487</v>
      </c>
    </row>
    <row r="5" spans="1:16" s="281" customFormat="1" ht="15.75" customHeight="1" x14ac:dyDescent="0.3">
      <c r="A5" s="45" t="s">
        <v>2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5">
        <f t="shared" ref="O5:O12" si="0">SUM(B5:N5)</f>
        <v>0</v>
      </c>
      <c r="P5" s="66" t="str">
        <f>IF(O12=0,"",ROUND(O5/O12*100,2))</f>
        <v/>
      </c>
    </row>
    <row r="6" spans="1:16" s="281" customFormat="1" ht="15.75" customHeight="1" x14ac:dyDescent="0.3">
      <c r="A6" s="45" t="s">
        <v>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5">
        <f t="shared" si="0"/>
        <v>0</v>
      </c>
      <c r="P6" s="66" t="str">
        <f>IF(O12=0,"",ROUND(O6/O12*100,2))</f>
        <v/>
      </c>
    </row>
    <row r="7" spans="1:16" s="281" customFormat="1" ht="15.75" customHeight="1" x14ac:dyDescent="0.3">
      <c r="A7" s="45" t="s">
        <v>4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>
        <f t="shared" si="0"/>
        <v>0</v>
      </c>
      <c r="P7" s="66" t="str">
        <f>IF(O12=0,"",ROUND(O7/O12*100,2))</f>
        <v/>
      </c>
    </row>
    <row r="8" spans="1:16" s="281" customFormat="1" ht="15.75" customHeight="1" x14ac:dyDescent="0.3">
      <c r="A8" s="45" t="s">
        <v>5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5">
        <f t="shared" si="0"/>
        <v>0</v>
      </c>
      <c r="P8" s="66" t="str">
        <f>IF(O12=0,"",ROUND(O8/O12*100,2))</f>
        <v/>
      </c>
    </row>
    <row r="9" spans="1:16" s="281" customFormat="1" ht="15.75" customHeight="1" x14ac:dyDescent="0.3">
      <c r="A9" s="45" t="s">
        <v>6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5">
        <f t="shared" si="0"/>
        <v>0</v>
      </c>
      <c r="P9" s="66" t="str">
        <f>IF(O12=0,"",ROUND(O9/O12*100,2))</f>
        <v/>
      </c>
    </row>
    <row r="10" spans="1:16" s="281" customFormat="1" ht="15.75" customHeight="1" x14ac:dyDescent="0.3">
      <c r="A10" s="45" t="s">
        <v>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5">
        <f t="shared" si="0"/>
        <v>0</v>
      </c>
      <c r="P10" s="66" t="str">
        <f>IF(O12=0,"",ROUND(O10/O12*100,2))</f>
        <v/>
      </c>
    </row>
    <row r="11" spans="1:16" s="281" customFormat="1" ht="15.75" customHeight="1" x14ac:dyDescent="0.3">
      <c r="A11" s="45" t="s">
        <v>8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>
        <f t="shared" si="0"/>
        <v>0</v>
      </c>
      <c r="P11" s="66" t="str">
        <f>IF(O12=0,"",ROUND(O11/O12*100,2))</f>
        <v/>
      </c>
    </row>
    <row r="12" spans="1:16" s="281" customFormat="1" ht="18" customHeight="1" x14ac:dyDescent="0.3">
      <c r="A12" s="63" t="s">
        <v>350</v>
      </c>
      <c r="B12" s="65">
        <f t="shared" ref="B12:N12" si="1">SUM(B5:B11)</f>
        <v>0</v>
      </c>
      <c r="C12" s="65">
        <f t="shared" si="1"/>
        <v>0</v>
      </c>
      <c r="D12" s="65">
        <f t="shared" si="1"/>
        <v>0</v>
      </c>
      <c r="E12" s="65">
        <f t="shared" si="1"/>
        <v>0</v>
      </c>
      <c r="F12" s="65">
        <f t="shared" si="1"/>
        <v>0</v>
      </c>
      <c r="G12" s="65">
        <f t="shared" si="1"/>
        <v>0</v>
      </c>
      <c r="H12" s="65">
        <f t="shared" si="1"/>
        <v>0</v>
      </c>
      <c r="I12" s="65">
        <f t="shared" si="1"/>
        <v>0</v>
      </c>
      <c r="J12" s="65">
        <f t="shared" si="1"/>
        <v>0</v>
      </c>
      <c r="K12" s="65">
        <f t="shared" si="1"/>
        <v>0</v>
      </c>
      <c r="L12" s="65">
        <f t="shared" si="1"/>
        <v>0</v>
      </c>
      <c r="M12" s="65">
        <f t="shared" si="1"/>
        <v>0</v>
      </c>
      <c r="N12" s="65">
        <f t="shared" si="1"/>
        <v>0</v>
      </c>
      <c r="O12" s="63">
        <f t="shared" si="0"/>
        <v>0</v>
      </c>
      <c r="P12" s="53"/>
    </row>
    <row r="13" spans="1:16" s="281" customFormat="1" ht="18" customHeight="1" x14ac:dyDescent="0.3">
      <c r="A13" s="56" t="s">
        <v>347</v>
      </c>
      <c r="B13" s="68" t="str">
        <f t="shared" ref="B13:N13" si="2">IF(B12=0,"",ROUND((B5*5+B6*4+B7*3+B8*2+B9*1+B10*0.5)/(B12*5)*100,2))</f>
        <v/>
      </c>
      <c r="C13" s="68" t="str">
        <f t="shared" si="2"/>
        <v/>
      </c>
      <c r="D13" s="68" t="str">
        <f t="shared" si="2"/>
        <v/>
      </c>
      <c r="E13" s="68" t="str">
        <f t="shared" si="2"/>
        <v/>
      </c>
      <c r="F13" s="68" t="str">
        <f t="shared" si="2"/>
        <v/>
      </c>
      <c r="G13" s="68" t="str">
        <f t="shared" si="2"/>
        <v/>
      </c>
      <c r="H13" s="68" t="str">
        <f t="shared" si="2"/>
        <v/>
      </c>
      <c r="I13" s="68" t="str">
        <f t="shared" si="2"/>
        <v/>
      </c>
      <c r="J13" s="68" t="str">
        <f t="shared" si="2"/>
        <v/>
      </c>
      <c r="K13" s="68" t="str">
        <f t="shared" si="2"/>
        <v/>
      </c>
      <c r="L13" s="68" t="str">
        <f t="shared" si="2"/>
        <v/>
      </c>
      <c r="M13" s="68" t="str">
        <f t="shared" si="2"/>
        <v/>
      </c>
      <c r="N13" s="68" t="str">
        <f t="shared" si="2"/>
        <v/>
      </c>
      <c r="O13" s="69" t="str">
        <f>IFERROR(AVERAGEIF(B13:N13,"&gt;0"),"")</f>
        <v/>
      </c>
      <c r="P13" s="70" t="s">
        <v>488</v>
      </c>
    </row>
    <row r="14" spans="1:16" ht="19.5" customHeight="1" x14ac:dyDescent="0.3">
      <c r="A14" s="440" t="s">
        <v>485</v>
      </c>
      <c r="B14" s="415"/>
      <c r="C14" s="415"/>
      <c r="D14" s="415"/>
      <c r="E14" s="415"/>
      <c r="F14" s="415"/>
      <c r="G14" s="415"/>
      <c r="H14" s="415"/>
      <c r="I14" s="415"/>
      <c r="J14" s="415"/>
      <c r="K14" s="415"/>
      <c r="L14" s="415"/>
      <c r="M14" s="415"/>
      <c r="N14" s="415"/>
      <c r="O14" s="415"/>
      <c r="P14" s="415"/>
    </row>
    <row r="15" spans="1:16" ht="18" customHeight="1" x14ac:dyDescent="0.3">
      <c r="A15" s="45" t="s">
        <v>486</v>
      </c>
      <c r="B15" s="56" t="s">
        <v>24</v>
      </c>
      <c r="C15" s="57" t="s">
        <v>25</v>
      </c>
      <c r="D15" s="57" t="s">
        <v>26</v>
      </c>
      <c r="E15" s="58" t="s">
        <v>27</v>
      </c>
      <c r="F15" s="58" t="s">
        <v>28</v>
      </c>
      <c r="G15" s="59" t="s">
        <v>29</v>
      </c>
      <c r="H15" s="60" t="s">
        <v>30</v>
      </c>
      <c r="I15" s="60" t="s">
        <v>31</v>
      </c>
      <c r="J15" s="61" t="s">
        <v>33</v>
      </c>
      <c r="K15" s="61" t="s">
        <v>34</v>
      </c>
      <c r="L15" s="62" t="s">
        <v>35</v>
      </c>
      <c r="M15" s="62" t="s">
        <v>36</v>
      </c>
      <c r="N15" s="62" t="s">
        <v>37</v>
      </c>
      <c r="O15" s="63" t="s">
        <v>350</v>
      </c>
      <c r="P15" s="63" t="s">
        <v>487</v>
      </c>
    </row>
    <row r="16" spans="1:16" ht="15.75" customHeight="1" x14ac:dyDescent="0.3">
      <c r="A16" s="45" t="s">
        <v>2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7</v>
      </c>
      <c r="K16" s="64">
        <v>6</v>
      </c>
      <c r="L16" s="64">
        <v>1</v>
      </c>
      <c r="M16" s="64">
        <v>6</v>
      </c>
      <c r="N16" s="64">
        <v>1</v>
      </c>
      <c r="O16" s="65">
        <f t="shared" ref="O16:O23" si="3">SUM(B16:N16)</f>
        <v>21</v>
      </c>
      <c r="P16" s="66">
        <f>IF(O23=0,"",ROUND(O16/O23*100,2))</f>
        <v>2.82</v>
      </c>
    </row>
    <row r="17" spans="1:16" ht="15.75" customHeight="1" x14ac:dyDescent="0.3">
      <c r="A17" s="45" t="s">
        <v>3</v>
      </c>
      <c r="B17" s="67">
        <v>7</v>
      </c>
      <c r="C17" s="67">
        <v>1</v>
      </c>
      <c r="D17" s="67">
        <v>17</v>
      </c>
      <c r="E17" s="67">
        <v>1</v>
      </c>
      <c r="F17" s="67">
        <v>4</v>
      </c>
      <c r="G17" s="67">
        <v>4</v>
      </c>
      <c r="H17" s="67">
        <v>29</v>
      </c>
      <c r="I17" s="67">
        <v>16</v>
      </c>
      <c r="J17" s="67">
        <v>16</v>
      </c>
      <c r="K17" s="67">
        <v>13</v>
      </c>
      <c r="L17" s="67">
        <v>34</v>
      </c>
      <c r="M17" s="67">
        <v>5</v>
      </c>
      <c r="N17" s="67">
        <v>4</v>
      </c>
      <c r="O17" s="65">
        <f t="shared" si="3"/>
        <v>151</v>
      </c>
      <c r="P17" s="66">
        <f>IF(O23=0,"",ROUND(O17/O23*100,2))</f>
        <v>20.27</v>
      </c>
    </row>
    <row r="18" spans="1:16" ht="15.75" customHeight="1" x14ac:dyDescent="0.3">
      <c r="A18" s="45" t="s">
        <v>4</v>
      </c>
      <c r="B18" s="64">
        <v>66</v>
      </c>
      <c r="C18" s="64">
        <v>17</v>
      </c>
      <c r="D18" s="64">
        <v>40</v>
      </c>
      <c r="E18" s="64">
        <v>9</v>
      </c>
      <c r="F18" s="64">
        <v>19</v>
      </c>
      <c r="G18" s="64">
        <v>30</v>
      </c>
      <c r="H18" s="64">
        <v>41</v>
      </c>
      <c r="I18" s="64">
        <v>29</v>
      </c>
      <c r="J18" s="64">
        <v>20</v>
      </c>
      <c r="K18" s="64">
        <v>15</v>
      </c>
      <c r="L18" s="64">
        <v>17</v>
      </c>
      <c r="M18" s="64">
        <v>0</v>
      </c>
      <c r="N18" s="64">
        <v>6</v>
      </c>
      <c r="O18" s="65">
        <f t="shared" si="3"/>
        <v>309</v>
      </c>
      <c r="P18" s="66">
        <f>IF(O23=0,"",ROUND(O18/O23*100,2))</f>
        <v>41.48</v>
      </c>
    </row>
    <row r="19" spans="1:16" ht="15.75" customHeight="1" x14ac:dyDescent="0.3">
      <c r="A19" s="45" t="s">
        <v>5</v>
      </c>
      <c r="B19" s="67">
        <v>72</v>
      </c>
      <c r="C19" s="67">
        <v>14</v>
      </c>
      <c r="D19" s="67">
        <v>2</v>
      </c>
      <c r="E19" s="67">
        <v>2</v>
      </c>
      <c r="F19" s="67">
        <v>2</v>
      </c>
      <c r="G19" s="67">
        <v>38</v>
      </c>
      <c r="H19" s="67">
        <v>16</v>
      </c>
      <c r="I19" s="67">
        <v>11</v>
      </c>
      <c r="J19" s="67">
        <v>18</v>
      </c>
      <c r="K19" s="67">
        <v>14</v>
      </c>
      <c r="L19" s="67">
        <v>1</v>
      </c>
      <c r="M19" s="67">
        <v>0</v>
      </c>
      <c r="N19" s="67">
        <v>0</v>
      </c>
      <c r="O19" s="65">
        <f t="shared" si="3"/>
        <v>190</v>
      </c>
      <c r="P19" s="66">
        <f>IF(O23=0,"",ROUND(O19/O23*100,2))</f>
        <v>25.5</v>
      </c>
    </row>
    <row r="20" spans="1:16" ht="15.75" customHeight="1" x14ac:dyDescent="0.3">
      <c r="A20" s="45" t="s">
        <v>6</v>
      </c>
      <c r="B20" s="64">
        <v>19</v>
      </c>
      <c r="C20" s="64">
        <v>2</v>
      </c>
      <c r="D20" s="64">
        <v>0</v>
      </c>
      <c r="E20" s="64">
        <v>0</v>
      </c>
      <c r="F20" s="64">
        <v>0</v>
      </c>
      <c r="G20" s="64">
        <v>12</v>
      </c>
      <c r="H20" s="64">
        <v>3</v>
      </c>
      <c r="I20" s="64">
        <v>1</v>
      </c>
      <c r="J20" s="64">
        <v>11</v>
      </c>
      <c r="K20" s="64">
        <v>13</v>
      </c>
      <c r="L20" s="64">
        <v>0</v>
      </c>
      <c r="M20" s="64">
        <v>0</v>
      </c>
      <c r="N20" s="64">
        <v>0</v>
      </c>
      <c r="O20" s="65">
        <f t="shared" si="3"/>
        <v>61</v>
      </c>
      <c r="P20" s="66">
        <f>IF(O23=0,"",ROUND(O20/O23*100,2))</f>
        <v>8.19</v>
      </c>
    </row>
    <row r="21" spans="1:16" ht="15.75" customHeight="1" x14ac:dyDescent="0.3">
      <c r="A21" s="45" t="s">
        <v>7</v>
      </c>
      <c r="B21" s="67">
        <v>3</v>
      </c>
      <c r="C21" s="67">
        <v>0</v>
      </c>
      <c r="D21" s="67">
        <v>0</v>
      </c>
      <c r="E21" s="67">
        <v>0</v>
      </c>
      <c r="F21" s="67">
        <v>0</v>
      </c>
      <c r="G21" s="67">
        <v>1</v>
      </c>
      <c r="H21" s="67">
        <v>0</v>
      </c>
      <c r="I21" s="67">
        <v>0</v>
      </c>
      <c r="J21" s="67">
        <v>3</v>
      </c>
      <c r="K21" s="67">
        <v>2</v>
      </c>
      <c r="L21" s="67">
        <v>0</v>
      </c>
      <c r="M21" s="67">
        <v>0</v>
      </c>
      <c r="N21" s="67">
        <v>0</v>
      </c>
      <c r="O21" s="65">
        <f t="shared" si="3"/>
        <v>9</v>
      </c>
      <c r="P21" s="66">
        <f>IF(O23=0,"",ROUND(O21/O23*100,2))</f>
        <v>1.21</v>
      </c>
    </row>
    <row r="22" spans="1:16" ht="15.75" customHeight="1" x14ac:dyDescent="0.3">
      <c r="A22" s="45" t="s">
        <v>8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2</v>
      </c>
      <c r="K22" s="64">
        <v>2</v>
      </c>
      <c r="L22" s="64">
        <v>0</v>
      </c>
      <c r="M22" s="64">
        <v>0</v>
      </c>
      <c r="N22" s="64">
        <v>0</v>
      </c>
      <c r="O22" s="65">
        <f t="shared" si="3"/>
        <v>4</v>
      </c>
      <c r="P22" s="66">
        <f>IF(O23=0,"",ROUND(O22/O23*100,2))</f>
        <v>0.54</v>
      </c>
    </row>
    <row r="23" spans="1:16" ht="18" customHeight="1" x14ac:dyDescent="0.3">
      <c r="A23" s="63" t="s">
        <v>350</v>
      </c>
      <c r="B23" s="65">
        <f t="shared" ref="B23:N23" si="4">SUM(B16:B22)</f>
        <v>167</v>
      </c>
      <c r="C23" s="65">
        <f t="shared" si="4"/>
        <v>34</v>
      </c>
      <c r="D23" s="65">
        <f t="shared" si="4"/>
        <v>59</v>
      </c>
      <c r="E23" s="65">
        <f t="shared" si="4"/>
        <v>12</v>
      </c>
      <c r="F23" s="65">
        <f t="shared" si="4"/>
        <v>25</v>
      </c>
      <c r="G23" s="65">
        <f t="shared" si="4"/>
        <v>85</v>
      </c>
      <c r="H23" s="65">
        <f t="shared" si="4"/>
        <v>89</v>
      </c>
      <c r="I23" s="65">
        <f t="shared" si="4"/>
        <v>57</v>
      </c>
      <c r="J23" s="65">
        <f t="shared" si="4"/>
        <v>77</v>
      </c>
      <c r="K23" s="65">
        <f t="shared" si="4"/>
        <v>65</v>
      </c>
      <c r="L23" s="65">
        <f t="shared" si="4"/>
        <v>53</v>
      </c>
      <c r="M23" s="65">
        <f t="shared" si="4"/>
        <v>11</v>
      </c>
      <c r="N23" s="65">
        <f t="shared" si="4"/>
        <v>11</v>
      </c>
      <c r="O23" s="63">
        <f t="shared" si="3"/>
        <v>745</v>
      </c>
      <c r="P23" s="53"/>
    </row>
    <row r="24" spans="1:16" ht="18" customHeight="1" x14ac:dyDescent="0.3">
      <c r="A24" s="56" t="s">
        <v>347</v>
      </c>
      <c r="B24" s="68">
        <f t="shared" ref="B24:N24" si="5">IF(B23=0,"",ROUND((B16*5+B17*4+B18*3+B19*2+B20*1+B21*0.5)/(B23*5)*100,2))</f>
        <v>46.77</v>
      </c>
      <c r="C24" s="68">
        <f t="shared" si="5"/>
        <v>50</v>
      </c>
      <c r="D24" s="68">
        <f t="shared" si="5"/>
        <v>65.08</v>
      </c>
      <c r="E24" s="68">
        <f t="shared" si="5"/>
        <v>58.33</v>
      </c>
      <c r="F24" s="68">
        <f t="shared" si="5"/>
        <v>61.6</v>
      </c>
      <c r="G24" s="68">
        <f t="shared" si="5"/>
        <v>45.76</v>
      </c>
      <c r="H24" s="68">
        <f t="shared" si="5"/>
        <v>61.57</v>
      </c>
      <c r="I24" s="68">
        <f t="shared" si="5"/>
        <v>61.05</v>
      </c>
      <c r="J24" s="68">
        <f t="shared" si="5"/>
        <v>53.9</v>
      </c>
      <c r="K24" s="68">
        <f t="shared" si="5"/>
        <v>52</v>
      </c>
      <c r="L24" s="68">
        <f t="shared" si="5"/>
        <v>73.209999999999994</v>
      </c>
      <c r="M24" s="68">
        <f t="shared" si="5"/>
        <v>90.91</v>
      </c>
      <c r="N24" s="68">
        <f t="shared" si="5"/>
        <v>70.91</v>
      </c>
      <c r="O24" s="69">
        <f>IFERROR(AVERAGEIF(B24:N24,"&gt;0"),"")</f>
        <v>60.85307692307692</v>
      </c>
      <c r="P24" s="70" t="s">
        <v>488</v>
      </c>
    </row>
    <row r="25" spans="1:16" ht="19.5" customHeight="1" x14ac:dyDescent="0.3">
      <c r="A25" s="440" t="s">
        <v>489</v>
      </c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</row>
    <row r="26" spans="1:16" ht="18" customHeight="1" x14ac:dyDescent="0.3">
      <c r="A26" s="45" t="s">
        <v>486</v>
      </c>
      <c r="B26" s="56" t="s">
        <v>24</v>
      </c>
      <c r="C26" s="57" t="s">
        <v>25</v>
      </c>
      <c r="D26" s="57" t="s">
        <v>26</v>
      </c>
      <c r="E26" s="58" t="s">
        <v>27</v>
      </c>
      <c r="F26" s="58" t="s">
        <v>28</v>
      </c>
      <c r="G26" s="59" t="s">
        <v>29</v>
      </c>
      <c r="H26" s="60" t="s">
        <v>30</v>
      </c>
      <c r="I26" s="60" t="s">
        <v>31</v>
      </c>
      <c r="J26" s="61" t="s">
        <v>33</v>
      </c>
      <c r="K26" s="61" t="s">
        <v>34</v>
      </c>
      <c r="L26" s="62" t="s">
        <v>35</v>
      </c>
      <c r="M26" s="62" t="s">
        <v>36</v>
      </c>
      <c r="N26" s="62" t="s">
        <v>37</v>
      </c>
      <c r="O26" s="63" t="s">
        <v>350</v>
      </c>
      <c r="P26" s="63" t="s">
        <v>487</v>
      </c>
    </row>
    <row r="27" spans="1:16" ht="15.75" customHeight="1" x14ac:dyDescent="0.3">
      <c r="A27" s="45" t="s">
        <v>2</v>
      </c>
      <c r="B27" s="64">
        <v>0</v>
      </c>
      <c r="C27" s="64">
        <v>0</v>
      </c>
      <c r="D27" s="64">
        <v>1</v>
      </c>
      <c r="E27" s="64">
        <v>1</v>
      </c>
      <c r="F27" s="64">
        <v>0</v>
      </c>
      <c r="G27" s="64">
        <v>0</v>
      </c>
      <c r="H27" s="64">
        <v>7</v>
      </c>
      <c r="I27" s="64">
        <v>0</v>
      </c>
      <c r="J27" s="64">
        <v>2</v>
      </c>
      <c r="K27" s="64">
        <v>9</v>
      </c>
      <c r="L27" s="64">
        <v>4</v>
      </c>
      <c r="M27" s="64">
        <v>0</v>
      </c>
      <c r="N27" s="64">
        <v>4</v>
      </c>
      <c r="O27" s="65">
        <f t="shared" ref="O27:O34" si="6">SUM(B27:N27)</f>
        <v>28</v>
      </c>
      <c r="P27" s="66">
        <f>IF(O34=0,"",ROUND(O27/O34*100,2))</f>
        <v>3.15</v>
      </c>
    </row>
    <row r="28" spans="1:16" ht="15.75" customHeight="1" x14ac:dyDescent="0.3">
      <c r="A28" s="45" t="s">
        <v>3</v>
      </c>
      <c r="B28" s="67">
        <v>0</v>
      </c>
      <c r="C28" s="67">
        <v>5</v>
      </c>
      <c r="D28" s="67">
        <v>54</v>
      </c>
      <c r="E28" s="67">
        <v>11</v>
      </c>
      <c r="F28" s="67">
        <v>0</v>
      </c>
      <c r="G28" s="67">
        <v>28</v>
      </c>
      <c r="H28" s="67">
        <v>50</v>
      </c>
      <c r="I28" s="67">
        <v>16</v>
      </c>
      <c r="J28" s="67">
        <v>23</v>
      </c>
      <c r="K28" s="67">
        <v>26</v>
      </c>
      <c r="L28" s="67">
        <v>29</v>
      </c>
      <c r="M28" s="67">
        <v>10</v>
      </c>
      <c r="N28" s="67">
        <v>12</v>
      </c>
      <c r="O28" s="65">
        <f t="shared" si="6"/>
        <v>264</v>
      </c>
      <c r="P28" s="66">
        <f>IF(O34=0,"",ROUND(O28/O34*100,2))</f>
        <v>29.66</v>
      </c>
    </row>
    <row r="29" spans="1:16" ht="15.75" customHeight="1" x14ac:dyDescent="0.3">
      <c r="A29" s="45" t="s">
        <v>4</v>
      </c>
      <c r="B29" s="64">
        <v>12</v>
      </c>
      <c r="C29" s="64">
        <v>27</v>
      </c>
      <c r="D29" s="64">
        <v>20</v>
      </c>
      <c r="E29" s="64">
        <v>6</v>
      </c>
      <c r="F29" s="64">
        <v>19</v>
      </c>
      <c r="G29" s="64">
        <v>52</v>
      </c>
      <c r="H29" s="64">
        <v>34</v>
      </c>
      <c r="I29" s="64">
        <v>44</v>
      </c>
      <c r="J29" s="64">
        <v>32</v>
      </c>
      <c r="K29" s="64">
        <v>21</v>
      </c>
      <c r="L29" s="64">
        <v>19</v>
      </c>
      <c r="M29" s="64">
        <v>9</v>
      </c>
      <c r="N29" s="64">
        <v>2</v>
      </c>
      <c r="O29" s="65">
        <f t="shared" si="6"/>
        <v>297</v>
      </c>
      <c r="P29" s="66">
        <f>IF(O34=0,"",ROUND(O29/O34*100,2))</f>
        <v>33.369999999999997</v>
      </c>
    </row>
    <row r="30" spans="1:16" ht="15.75" customHeight="1" x14ac:dyDescent="0.3">
      <c r="A30" s="45" t="s">
        <v>5</v>
      </c>
      <c r="B30" s="67">
        <v>126</v>
      </c>
      <c r="C30" s="67">
        <v>7</v>
      </c>
      <c r="D30" s="67">
        <v>0</v>
      </c>
      <c r="E30" s="67">
        <v>1</v>
      </c>
      <c r="F30" s="67">
        <v>19</v>
      </c>
      <c r="G30" s="67">
        <v>12</v>
      </c>
      <c r="H30" s="67">
        <v>8</v>
      </c>
      <c r="I30" s="67">
        <v>10</v>
      </c>
      <c r="J30" s="67">
        <v>23</v>
      </c>
      <c r="K30" s="67">
        <v>13</v>
      </c>
      <c r="L30" s="67">
        <v>1</v>
      </c>
      <c r="M30" s="67">
        <v>1</v>
      </c>
      <c r="N30" s="67">
        <v>1</v>
      </c>
      <c r="O30" s="65">
        <f t="shared" si="6"/>
        <v>222</v>
      </c>
      <c r="P30" s="66">
        <f>IF(O34=0,"",ROUND(O30/O34*100,2))</f>
        <v>24.94</v>
      </c>
    </row>
    <row r="31" spans="1:16" ht="15.75" customHeight="1" x14ac:dyDescent="0.3">
      <c r="A31" s="45" t="s">
        <v>6</v>
      </c>
      <c r="B31" s="64">
        <v>59</v>
      </c>
      <c r="C31" s="64">
        <v>1</v>
      </c>
      <c r="D31" s="64">
        <v>0</v>
      </c>
      <c r="E31" s="64">
        <v>0</v>
      </c>
      <c r="F31" s="64">
        <v>2</v>
      </c>
      <c r="G31" s="64">
        <v>2</v>
      </c>
      <c r="H31" s="64">
        <v>0</v>
      </c>
      <c r="I31" s="64">
        <v>0</v>
      </c>
      <c r="J31" s="64">
        <v>10</v>
      </c>
      <c r="K31" s="64">
        <v>1</v>
      </c>
      <c r="L31" s="64">
        <v>0</v>
      </c>
      <c r="M31" s="64">
        <v>0</v>
      </c>
      <c r="N31" s="64">
        <v>1</v>
      </c>
      <c r="O31" s="65">
        <f t="shared" si="6"/>
        <v>76</v>
      </c>
      <c r="P31" s="66">
        <f>IF(O34=0,"",ROUND(O31/O34*100,2))</f>
        <v>8.5399999999999991</v>
      </c>
    </row>
    <row r="32" spans="1:16" ht="15.75" customHeight="1" x14ac:dyDescent="0.3">
      <c r="A32" s="45" t="s">
        <v>7</v>
      </c>
      <c r="B32" s="67">
        <v>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7">
        <v>0</v>
      </c>
      <c r="O32" s="65">
        <f t="shared" si="6"/>
        <v>2</v>
      </c>
      <c r="P32" s="66">
        <f>IF(O34=0,"",ROUND(O32/O34*100,2))</f>
        <v>0.22</v>
      </c>
    </row>
    <row r="33" spans="1:16" ht="15.75" customHeight="1" x14ac:dyDescent="0.3">
      <c r="A33" s="45" t="s">
        <v>8</v>
      </c>
      <c r="B33" s="64">
        <v>1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5">
        <f t="shared" si="6"/>
        <v>1</v>
      </c>
      <c r="P33" s="66">
        <f>IF(O34=0,"",ROUND(O33/O34*100,2))</f>
        <v>0.11</v>
      </c>
    </row>
    <row r="34" spans="1:16" ht="18" customHeight="1" x14ac:dyDescent="0.3">
      <c r="A34" s="63" t="s">
        <v>350</v>
      </c>
      <c r="B34" s="65">
        <f t="shared" ref="B34:N34" si="7">SUM(B27:B33)</f>
        <v>200</v>
      </c>
      <c r="C34" s="65">
        <f t="shared" si="7"/>
        <v>40</v>
      </c>
      <c r="D34" s="65">
        <f t="shared" si="7"/>
        <v>75</v>
      </c>
      <c r="E34" s="65">
        <f t="shared" si="7"/>
        <v>19</v>
      </c>
      <c r="F34" s="65">
        <f t="shared" si="7"/>
        <v>40</v>
      </c>
      <c r="G34" s="65">
        <f t="shared" si="7"/>
        <v>94</v>
      </c>
      <c r="H34" s="65">
        <f t="shared" si="7"/>
        <v>99</v>
      </c>
      <c r="I34" s="65">
        <f t="shared" si="7"/>
        <v>70</v>
      </c>
      <c r="J34" s="65">
        <f t="shared" si="7"/>
        <v>90</v>
      </c>
      <c r="K34" s="65">
        <f t="shared" si="7"/>
        <v>70</v>
      </c>
      <c r="L34" s="65">
        <f t="shared" si="7"/>
        <v>53</v>
      </c>
      <c r="M34" s="65">
        <f t="shared" si="7"/>
        <v>20</v>
      </c>
      <c r="N34" s="65">
        <f t="shared" si="7"/>
        <v>20</v>
      </c>
      <c r="O34" s="63">
        <f t="shared" si="6"/>
        <v>890</v>
      </c>
      <c r="P34" s="53"/>
    </row>
    <row r="35" spans="1:16" ht="18" customHeight="1" x14ac:dyDescent="0.3">
      <c r="A35" s="56" t="s">
        <v>347</v>
      </c>
      <c r="B35" s="68">
        <f t="shared" ref="B35:N35" si="8">IF(B34=0,"",ROUND((B27*5+B28*4+B29*3+B30*2+B31*1+B32*0.5)/(B34*5)*100,2))</f>
        <v>34.799999999999997</v>
      </c>
      <c r="C35" s="68">
        <f t="shared" si="8"/>
        <v>58</v>
      </c>
      <c r="D35" s="68">
        <f t="shared" si="8"/>
        <v>74.930000000000007</v>
      </c>
      <c r="E35" s="68">
        <f t="shared" si="8"/>
        <v>72.63</v>
      </c>
      <c r="F35" s="68">
        <f t="shared" si="8"/>
        <v>48.5</v>
      </c>
      <c r="G35" s="68">
        <f t="shared" si="8"/>
        <v>62.55</v>
      </c>
      <c r="H35" s="68">
        <f t="shared" si="8"/>
        <v>71.31</v>
      </c>
      <c r="I35" s="68">
        <f t="shared" si="8"/>
        <v>61.71</v>
      </c>
      <c r="J35" s="68">
        <f t="shared" si="8"/>
        <v>56.44</v>
      </c>
      <c r="K35" s="68">
        <f t="shared" si="8"/>
        <v>68.290000000000006</v>
      </c>
      <c r="L35" s="68">
        <f t="shared" si="8"/>
        <v>73.58</v>
      </c>
      <c r="M35" s="68">
        <f t="shared" si="8"/>
        <v>69</v>
      </c>
      <c r="N35" s="68">
        <f t="shared" si="8"/>
        <v>77</v>
      </c>
      <c r="O35" s="69">
        <f>IFERROR(AVERAGEIF(B35:N35,"&gt;0"),"")</f>
        <v>63.74923076923077</v>
      </c>
      <c r="P35" s="70" t="s">
        <v>488</v>
      </c>
    </row>
    <row r="36" spans="1:16" ht="19.5" customHeight="1" x14ac:dyDescent="0.3">
      <c r="A36" s="440" t="s">
        <v>490</v>
      </c>
      <c r="B36" s="415"/>
      <c r="C36" s="415"/>
      <c r="D36" s="415"/>
      <c r="E36" s="415"/>
      <c r="F36" s="415"/>
      <c r="G36" s="415"/>
      <c r="H36" s="415"/>
      <c r="I36" s="415"/>
      <c r="J36" s="415"/>
      <c r="K36" s="415"/>
      <c r="L36" s="415"/>
      <c r="M36" s="415"/>
      <c r="N36" s="415"/>
      <c r="O36" s="415"/>
      <c r="P36" s="415"/>
    </row>
    <row r="37" spans="1:16" ht="18" customHeight="1" x14ac:dyDescent="0.3">
      <c r="A37" s="45" t="s">
        <v>486</v>
      </c>
      <c r="B37" s="56" t="s">
        <v>24</v>
      </c>
      <c r="C37" s="57" t="s">
        <v>25</v>
      </c>
      <c r="D37" s="57" t="s">
        <v>26</v>
      </c>
      <c r="E37" s="58" t="s">
        <v>27</v>
      </c>
      <c r="F37" s="58" t="s">
        <v>28</v>
      </c>
      <c r="G37" s="59" t="s">
        <v>29</v>
      </c>
      <c r="H37" s="60" t="s">
        <v>30</v>
      </c>
      <c r="I37" s="60" t="s">
        <v>31</v>
      </c>
      <c r="J37" s="61" t="s">
        <v>33</v>
      </c>
      <c r="K37" s="61" t="s">
        <v>34</v>
      </c>
      <c r="L37" s="62" t="s">
        <v>35</v>
      </c>
      <c r="M37" s="62" t="s">
        <v>36</v>
      </c>
      <c r="N37" s="62" t="s">
        <v>37</v>
      </c>
      <c r="O37" s="63" t="s">
        <v>350</v>
      </c>
      <c r="P37" s="63" t="s">
        <v>487</v>
      </c>
    </row>
    <row r="38" spans="1:16" ht="15.75" customHeight="1" x14ac:dyDescent="0.3">
      <c r="A38" s="45" t="s">
        <v>2</v>
      </c>
      <c r="B38" s="64">
        <v>0</v>
      </c>
      <c r="C38" s="64">
        <v>0</v>
      </c>
      <c r="D38" s="64">
        <v>4</v>
      </c>
      <c r="E38" s="64">
        <v>4</v>
      </c>
      <c r="F38" s="64">
        <v>0</v>
      </c>
      <c r="G38" s="64">
        <v>7</v>
      </c>
      <c r="H38" s="64">
        <v>4</v>
      </c>
      <c r="I38" s="64">
        <v>0</v>
      </c>
      <c r="J38" s="64">
        <v>0</v>
      </c>
      <c r="K38" s="64">
        <v>11</v>
      </c>
      <c r="L38" s="64">
        <v>5</v>
      </c>
      <c r="M38" s="64">
        <v>0</v>
      </c>
      <c r="N38" s="64">
        <v>1</v>
      </c>
      <c r="O38" s="65">
        <f t="shared" ref="O38:O45" si="9">SUM(B38:N38)</f>
        <v>36</v>
      </c>
      <c r="P38" s="66">
        <f>IF(O45=0,"",ROUND(O38/O45*100,2))</f>
        <v>3.81</v>
      </c>
    </row>
    <row r="39" spans="1:16" ht="15.75" customHeight="1" x14ac:dyDescent="0.3">
      <c r="A39" s="45" t="s">
        <v>3</v>
      </c>
      <c r="B39" s="67">
        <v>0</v>
      </c>
      <c r="C39" s="67">
        <v>6</v>
      </c>
      <c r="D39" s="67">
        <v>29</v>
      </c>
      <c r="E39" s="67">
        <v>13</v>
      </c>
      <c r="F39" s="67">
        <v>8</v>
      </c>
      <c r="G39" s="67">
        <v>27</v>
      </c>
      <c r="H39" s="67">
        <v>25</v>
      </c>
      <c r="I39" s="67">
        <v>9</v>
      </c>
      <c r="J39" s="67">
        <v>11</v>
      </c>
      <c r="K39" s="67">
        <v>5</v>
      </c>
      <c r="L39" s="67">
        <v>33</v>
      </c>
      <c r="M39" s="67">
        <v>14</v>
      </c>
      <c r="N39" s="67">
        <v>4</v>
      </c>
      <c r="O39" s="65">
        <f t="shared" si="9"/>
        <v>184</v>
      </c>
      <c r="P39" s="66">
        <f>IF(O45=0,"",ROUND(O39/O45*100,2))</f>
        <v>19.45</v>
      </c>
    </row>
    <row r="40" spans="1:16" ht="15.75" customHeight="1" x14ac:dyDescent="0.3">
      <c r="A40" s="45" t="s">
        <v>4</v>
      </c>
      <c r="B40" s="64">
        <v>51</v>
      </c>
      <c r="C40" s="64">
        <v>19</v>
      </c>
      <c r="D40" s="64">
        <v>32</v>
      </c>
      <c r="E40" s="64">
        <v>5</v>
      </c>
      <c r="F40" s="64">
        <v>40</v>
      </c>
      <c r="G40" s="64">
        <v>26</v>
      </c>
      <c r="H40" s="64">
        <v>40</v>
      </c>
      <c r="I40" s="64">
        <v>40</v>
      </c>
      <c r="J40" s="64">
        <v>17</v>
      </c>
      <c r="K40" s="64">
        <v>19</v>
      </c>
      <c r="L40" s="64">
        <v>13</v>
      </c>
      <c r="M40" s="64">
        <v>18</v>
      </c>
      <c r="N40" s="64">
        <v>12</v>
      </c>
      <c r="O40" s="65">
        <f t="shared" si="9"/>
        <v>332</v>
      </c>
      <c r="P40" s="66">
        <f>IF(O45=0,"",ROUND(O40/O45*100,2))</f>
        <v>35.1</v>
      </c>
    </row>
    <row r="41" spans="1:16" ht="15.75" customHeight="1" x14ac:dyDescent="0.3">
      <c r="A41" s="45" t="s">
        <v>5</v>
      </c>
      <c r="B41" s="67">
        <v>130</v>
      </c>
      <c r="C41" s="67">
        <v>17</v>
      </c>
      <c r="D41" s="67">
        <v>4</v>
      </c>
      <c r="E41" s="67">
        <v>1</v>
      </c>
      <c r="F41" s="67">
        <v>4</v>
      </c>
      <c r="G41" s="67">
        <v>20</v>
      </c>
      <c r="H41" s="67">
        <v>29</v>
      </c>
      <c r="I41" s="67">
        <v>19</v>
      </c>
      <c r="J41" s="67">
        <v>18</v>
      </c>
      <c r="K41" s="67">
        <v>13</v>
      </c>
      <c r="L41" s="67">
        <v>0</v>
      </c>
      <c r="M41" s="67">
        <v>1</v>
      </c>
      <c r="N41" s="67">
        <v>13</v>
      </c>
      <c r="O41" s="65">
        <f t="shared" si="9"/>
        <v>269</v>
      </c>
      <c r="P41" s="66">
        <f>IF(O45=0,"",ROUND(O41/O45*100,2))</f>
        <v>28.44</v>
      </c>
    </row>
    <row r="42" spans="1:16" ht="15.75" customHeight="1" x14ac:dyDescent="0.3">
      <c r="A42" s="45" t="s">
        <v>6</v>
      </c>
      <c r="B42" s="64">
        <v>29</v>
      </c>
      <c r="C42" s="64">
        <v>9</v>
      </c>
      <c r="D42" s="64">
        <v>1</v>
      </c>
      <c r="E42" s="64">
        <v>0</v>
      </c>
      <c r="F42" s="64">
        <v>0</v>
      </c>
      <c r="G42" s="64">
        <v>7</v>
      </c>
      <c r="H42" s="64">
        <v>4</v>
      </c>
      <c r="I42" s="64">
        <v>6</v>
      </c>
      <c r="J42" s="64">
        <v>30</v>
      </c>
      <c r="K42" s="64">
        <v>2</v>
      </c>
      <c r="L42" s="64">
        <v>0</v>
      </c>
      <c r="M42" s="64">
        <v>0</v>
      </c>
      <c r="N42" s="64">
        <v>2</v>
      </c>
      <c r="O42" s="65">
        <f t="shared" si="9"/>
        <v>90</v>
      </c>
      <c r="P42" s="66">
        <f>IF(O45=0,"",ROUND(O42/O45*100,2))</f>
        <v>9.51</v>
      </c>
    </row>
    <row r="43" spans="1:16" ht="15.75" customHeight="1" x14ac:dyDescent="0.3">
      <c r="A43" s="45" t="s">
        <v>7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1</v>
      </c>
      <c r="I43" s="67">
        <v>0</v>
      </c>
      <c r="J43" s="67">
        <v>12</v>
      </c>
      <c r="K43" s="67">
        <v>1</v>
      </c>
      <c r="L43" s="67">
        <v>0</v>
      </c>
      <c r="M43" s="67">
        <v>0</v>
      </c>
      <c r="N43" s="67">
        <v>0</v>
      </c>
      <c r="O43" s="65">
        <f t="shared" si="9"/>
        <v>14</v>
      </c>
      <c r="P43" s="66">
        <f>IF(O45=0,"",ROUND(O43/O45*100,2))</f>
        <v>1.48</v>
      </c>
    </row>
    <row r="44" spans="1:16" ht="15.75" customHeight="1" x14ac:dyDescent="0.3">
      <c r="A44" s="45" t="s">
        <v>8</v>
      </c>
      <c r="B44" s="64">
        <v>0</v>
      </c>
      <c r="C44" s="64">
        <v>1</v>
      </c>
      <c r="D44" s="64">
        <v>0</v>
      </c>
      <c r="E44" s="64">
        <v>0</v>
      </c>
      <c r="F44" s="64">
        <v>0</v>
      </c>
      <c r="G44" s="64">
        <v>1</v>
      </c>
      <c r="H44" s="64">
        <v>0</v>
      </c>
      <c r="I44" s="64">
        <v>0</v>
      </c>
      <c r="J44" s="64">
        <v>19</v>
      </c>
      <c r="K44" s="64">
        <v>0</v>
      </c>
      <c r="L44" s="64">
        <v>0</v>
      </c>
      <c r="M44" s="64">
        <v>0</v>
      </c>
      <c r="N44" s="64">
        <v>0</v>
      </c>
      <c r="O44" s="65">
        <f t="shared" si="9"/>
        <v>21</v>
      </c>
      <c r="P44" s="66">
        <f>IF(O45=0,"",ROUND(O44/O45*100,2))</f>
        <v>2.2200000000000002</v>
      </c>
    </row>
    <row r="45" spans="1:16" ht="18" customHeight="1" x14ac:dyDescent="0.3">
      <c r="A45" s="63" t="s">
        <v>350</v>
      </c>
      <c r="B45" s="65">
        <f t="shared" ref="B45:N45" si="10">SUM(B38:B44)</f>
        <v>210</v>
      </c>
      <c r="C45" s="65">
        <f t="shared" si="10"/>
        <v>52</v>
      </c>
      <c r="D45" s="65">
        <f t="shared" si="10"/>
        <v>70</v>
      </c>
      <c r="E45" s="65">
        <f t="shared" si="10"/>
        <v>23</v>
      </c>
      <c r="F45" s="65">
        <f t="shared" si="10"/>
        <v>52</v>
      </c>
      <c r="G45" s="65">
        <f t="shared" si="10"/>
        <v>88</v>
      </c>
      <c r="H45" s="65">
        <f t="shared" si="10"/>
        <v>103</v>
      </c>
      <c r="I45" s="65">
        <f t="shared" si="10"/>
        <v>74</v>
      </c>
      <c r="J45" s="65">
        <f t="shared" si="10"/>
        <v>107</v>
      </c>
      <c r="K45" s="65">
        <f t="shared" si="10"/>
        <v>51</v>
      </c>
      <c r="L45" s="65">
        <f t="shared" si="10"/>
        <v>51</v>
      </c>
      <c r="M45" s="65">
        <f t="shared" si="10"/>
        <v>33</v>
      </c>
      <c r="N45" s="65">
        <f t="shared" si="10"/>
        <v>32</v>
      </c>
      <c r="O45" s="63">
        <f t="shared" si="9"/>
        <v>946</v>
      </c>
      <c r="P45" s="53"/>
    </row>
    <row r="46" spans="1:16" ht="18" customHeight="1" x14ac:dyDescent="0.3">
      <c r="A46" s="56" t="s">
        <v>347</v>
      </c>
      <c r="B46" s="68">
        <f t="shared" ref="B46:N46" si="11">IF(B45=0,"",ROUND((B38*5+B39*4+B40*3+B41*2+B42*1+B43*0.5)/(B45*5)*100,2))</f>
        <v>42.1</v>
      </c>
      <c r="C46" s="68">
        <f t="shared" si="11"/>
        <v>47.69</v>
      </c>
      <c r="D46" s="68">
        <f t="shared" si="11"/>
        <v>68.86</v>
      </c>
      <c r="E46" s="68">
        <f t="shared" si="11"/>
        <v>77.39</v>
      </c>
      <c r="F46" s="68">
        <f t="shared" si="11"/>
        <v>61.54</v>
      </c>
      <c r="G46" s="68">
        <f t="shared" si="11"/>
        <v>60.91</v>
      </c>
      <c r="H46" s="68">
        <f t="shared" si="11"/>
        <v>58.74</v>
      </c>
      <c r="I46" s="68">
        <f t="shared" si="11"/>
        <v>54.05</v>
      </c>
      <c r="J46" s="68">
        <f t="shared" si="11"/>
        <v>31.21</v>
      </c>
      <c r="K46" s="68">
        <f t="shared" si="11"/>
        <v>62.94</v>
      </c>
      <c r="L46" s="68">
        <f t="shared" si="11"/>
        <v>76.86</v>
      </c>
      <c r="M46" s="68">
        <f t="shared" si="11"/>
        <v>67.88</v>
      </c>
      <c r="N46" s="68">
        <f t="shared" si="11"/>
        <v>53.13</v>
      </c>
      <c r="O46" s="69">
        <f>IFERROR(AVERAGEIF(B46:N46,"&gt;0"),"")</f>
        <v>58.715384615384622</v>
      </c>
      <c r="P46" s="70" t="s">
        <v>488</v>
      </c>
    </row>
    <row r="47" spans="1:16" ht="19.5" customHeight="1" x14ac:dyDescent="0.3">
      <c r="A47" s="440" t="s">
        <v>491</v>
      </c>
      <c r="B47" s="415"/>
      <c r="C47" s="415"/>
      <c r="D47" s="415"/>
      <c r="E47" s="415"/>
      <c r="F47" s="415"/>
      <c r="G47" s="415"/>
      <c r="H47" s="415"/>
      <c r="I47" s="415"/>
      <c r="J47" s="415"/>
      <c r="K47" s="415"/>
      <c r="L47" s="415"/>
      <c r="M47" s="415"/>
      <c r="N47" s="415"/>
      <c r="O47" s="415"/>
      <c r="P47" s="415"/>
    </row>
    <row r="48" spans="1:16" ht="18" customHeight="1" x14ac:dyDescent="0.3">
      <c r="A48" s="45" t="s">
        <v>486</v>
      </c>
      <c r="B48" s="56" t="s">
        <v>24</v>
      </c>
      <c r="C48" s="57" t="s">
        <v>25</v>
      </c>
      <c r="D48" s="57" t="s">
        <v>26</v>
      </c>
      <c r="E48" s="58" t="s">
        <v>27</v>
      </c>
      <c r="F48" s="58" t="s">
        <v>28</v>
      </c>
      <c r="G48" s="59" t="s">
        <v>29</v>
      </c>
      <c r="H48" s="60" t="s">
        <v>30</v>
      </c>
      <c r="I48" s="60" t="s">
        <v>31</v>
      </c>
      <c r="J48" s="61" t="s">
        <v>33</v>
      </c>
      <c r="K48" s="61" t="s">
        <v>34</v>
      </c>
      <c r="L48" s="62" t="s">
        <v>35</v>
      </c>
      <c r="M48" s="62" t="s">
        <v>36</v>
      </c>
      <c r="N48" s="62" t="s">
        <v>37</v>
      </c>
      <c r="O48" s="63" t="s">
        <v>350</v>
      </c>
      <c r="P48" s="63" t="s">
        <v>487</v>
      </c>
    </row>
    <row r="49" spans="1:16" ht="15.75" customHeight="1" x14ac:dyDescent="0.3">
      <c r="A49" s="45" t="s">
        <v>2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5</v>
      </c>
      <c r="L49" s="64">
        <v>0</v>
      </c>
      <c r="M49" s="64">
        <v>1</v>
      </c>
      <c r="N49" s="64">
        <v>0</v>
      </c>
      <c r="O49" s="65">
        <f t="shared" ref="O49:O56" si="12">SUM(B49:N49)</f>
        <v>6</v>
      </c>
      <c r="P49" s="66">
        <f>IF(O56=0,"",ROUND(O49/O56*100,2))</f>
        <v>1.24</v>
      </c>
    </row>
    <row r="50" spans="1:16" ht="15.75" customHeight="1" x14ac:dyDescent="0.3">
      <c r="A50" s="45" t="s">
        <v>3</v>
      </c>
      <c r="B50" s="67">
        <v>1</v>
      </c>
      <c r="C50" s="67">
        <v>0</v>
      </c>
      <c r="D50" s="67">
        <v>0</v>
      </c>
      <c r="E50" s="67">
        <v>3</v>
      </c>
      <c r="F50" s="67">
        <v>1</v>
      </c>
      <c r="G50" s="67">
        <v>1</v>
      </c>
      <c r="H50" s="67">
        <v>2</v>
      </c>
      <c r="I50" s="67">
        <v>0</v>
      </c>
      <c r="J50" s="67">
        <v>2</v>
      </c>
      <c r="K50" s="67">
        <v>5</v>
      </c>
      <c r="L50" s="67">
        <v>2</v>
      </c>
      <c r="M50" s="67">
        <v>8</v>
      </c>
      <c r="N50" s="67">
        <v>2</v>
      </c>
      <c r="O50" s="65">
        <f t="shared" si="12"/>
        <v>27</v>
      </c>
      <c r="P50" s="66">
        <f>IF(O56=0,"",ROUND(O50/O56*100,2))</f>
        <v>5.57</v>
      </c>
    </row>
    <row r="51" spans="1:16" ht="15.75" customHeight="1" x14ac:dyDescent="0.3">
      <c r="A51" s="45" t="s">
        <v>4</v>
      </c>
      <c r="B51" s="64">
        <v>17</v>
      </c>
      <c r="C51" s="64">
        <v>13</v>
      </c>
      <c r="D51" s="64">
        <v>13</v>
      </c>
      <c r="E51" s="64">
        <v>8</v>
      </c>
      <c r="F51" s="64">
        <v>7</v>
      </c>
      <c r="G51" s="64">
        <v>4</v>
      </c>
      <c r="H51" s="64">
        <v>9</v>
      </c>
      <c r="I51" s="64">
        <v>5</v>
      </c>
      <c r="J51" s="64">
        <v>1</v>
      </c>
      <c r="K51" s="64">
        <v>8</v>
      </c>
      <c r="L51" s="64">
        <v>9</v>
      </c>
      <c r="M51" s="64">
        <v>3</v>
      </c>
      <c r="N51" s="64">
        <v>6</v>
      </c>
      <c r="O51" s="65">
        <f t="shared" si="12"/>
        <v>103</v>
      </c>
      <c r="P51" s="66">
        <f>IF(O56=0,"",ROUND(O51/O56*100,2))</f>
        <v>21.24</v>
      </c>
    </row>
    <row r="52" spans="1:16" ht="15.75" customHeight="1" x14ac:dyDescent="0.3">
      <c r="A52" s="45" t="s">
        <v>5</v>
      </c>
      <c r="B52" s="67">
        <v>62</v>
      </c>
      <c r="C52" s="67">
        <v>16</v>
      </c>
      <c r="D52" s="67">
        <v>29</v>
      </c>
      <c r="E52" s="67">
        <v>0</v>
      </c>
      <c r="F52" s="67">
        <v>19</v>
      </c>
      <c r="G52" s="67">
        <v>13</v>
      </c>
      <c r="H52" s="67">
        <v>22</v>
      </c>
      <c r="I52" s="67">
        <v>19</v>
      </c>
      <c r="J52" s="67">
        <v>3</v>
      </c>
      <c r="K52" s="67">
        <v>4</v>
      </c>
      <c r="L52" s="67">
        <v>4</v>
      </c>
      <c r="M52" s="67">
        <v>0</v>
      </c>
      <c r="N52" s="67">
        <v>2</v>
      </c>
      <c r="O52" s="65">
        <f t="shared" si="12"/>
        <v>193</v>
      </c>
      <c r="P52" s="66">
        <f>IF(O56=0,"",ROUND(O52/O56*100,2))</f>
        <v>39.79</v>
      </c>
    </row>
    <row r="53" spans="1:16" ht="15.75" customHeight="1" x14ac:dyDescent="0.3">
      <c r="A53" s="45" t="s">
        <v>6</v>
      </c>
      <c r="B53" s="64">
        <v>25</v>
      </c>
      <c r="C53" s="64">
        <v>2</v>
      </c>
      <c r="D53" s="64">
        <v>4</v>
      </c>
      <c r="E53" s="64">
        <v>0</v>
      </c>
      <c r="F53" s="64">
        <v>1</v>
      </c>
      <c r="G53" s="64">
        <v>13</v>
      </c>
      <c r="H53" s="64">
        <v>26</v>
      </c>
      <c r="I53" s="64">
        <v>18</v>
      </c>
      <c r="J53" s="64">
        <v>16</v>
      </c>
      <c r="K53" s="64">
        <v>0</v>
      </c>
      <c r="L53" s="64">
        <v>0</v>
      </c>
      <c r="M53" s="64">
        <v>0</v>
      </c>
      <c r="N53" s="64">
        <v>2</v>
      </c>
      <c r="O53" s="65">
        <f t="shared" si="12"/>
        <v>107</v>
      </c>
      <c r="P53" s="66">
        <f>IF(O56=0,"",ROUND(O53/O56*100,2))</f>
        <v>22.06</v>
      </c>
    </row>
    <row r="54" spans="1:16" ht="15.75" customHeight="1" x14ac:dyDescent="0.3">
      <c r="A54" s="45" t="s">
        <v>7</v>
      </c>
      <c r="B54" s="67">
        <v>2</v>
      </c>
      <c r="C54" s="67">
        <v>0</v>
      </c>
      <c r="D54" s="67">
        <v>0</v>
      </c>
      <c r="E54" s="67">
        <v>0</v>
      </c>
      <c r="F54" s="67">
        <v>0</v>
      </c>
      <c r="G54" s="67">
        <v>5</v>
      </c>
      <c r="H54" s="67">
        <v>4</v>
      </c>
      <c r="I54" s="67">
        <v>0</v>
      </c>
      <c r="J54" s="67">
        <v>11</v>
      </c>
      <c r="K54" s="67">
        <v>0</v>
      </c>
      <c r="L54" s="67">
        <v>0</v>
      </c>
      <c r="M54" s="67">
        <v>0</v>
      </c>
      <c r="N54" s="67">
        <v>0</v>
      </c>
      <c r="O54" s="65">
        <f t="shared" si="12"/>
        <v>22</v>
      </c>
      <c r="P54" s="66">
        <f>IF(O56=0,"",ROUND(O54/O56*100,2))</f>
        <v>4.54</v>
      </c>
    </row>
    <row r="55" spans="1:16" ht="15.75" customHeight="1" x14ac:dyDescent="0.3">
      <c r="A55" s="45" t="s">
        <v>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2</v>
      </c>
      <c r="H55" s="64">
        <v>1</v>
      </c>
      <c r="I55" s="64">
        <v>0</v>
      </c>
      <c r="J55" s="64">
        <v>24</v>
      </c>
      <c r="K55" s="64">
        <v>0</v>
      </c>
      <c r="L55" s="64">
        <v>0</v>
      </c>
      <c r="M55" s="64">
        <v>0</v>
      </c>
      <c r="N55" s="64">
        <v>0</v>
      </c>
      <c r="O55" s="65">
        <f t="shared" si="12"/>
        <v>27</v>
      </c>
      <c r="P55" s="66">
        <f>IF(O56=0,"",ROUND(O55/O56*100,2))</f>
        <v>5.57</v>
      </c>
    </row>
    <row r="56" spans="1:16" ht="18" customHeight="1" x14ac:dyDescent="0.3">
      <c r="A56" s="63" t="s">
        <v>350</v>
      </c>
      <c r="B56" s="65">
        <f t="shared" ref="B56:N56" si="13">SUM(B49:B55)</f>
        <v>107</v>
      </c>
      <c r="C56" s="65">
        <f t="shared" si="13"/>
        <v>31</v>
      </c>
      <c r="D56" s="65">
        <f t="shared" si="13"/>
        <v>46</v>
      </c>
      <c r="E56" s="65">
        <f t="shared" si="13"/>
        <v>11</v>
      </c>
      <c r="F56" s="65">
        <f t="shared" si="13"/>
        <v>28</v>
      </c>
      <c r="G56" s="65">
        <f t="shared" si="13"/>
        <v>38</v>
      </c>
      <c r="H56" s="65">
        <f t="shared" si="13"/>
        <v>64</v>
      </c>
      <c r="I56" s="65">
        <f t="shared" si="13"/>
        <v>42</v>
      </c>
      <c r="J56" s="65">
        <f t="shared" si="13"/>
        <v>57</v>
      </c>
      <c r="K56" s="65">
        <f t="shared" si="13"/>
        <v>22</v>
      </c>
      <c r="L56" s="65">
        <f t="shared" si="13"/>
        <v>15</v>
      </c>
      <c r="M56" s="65">
        <f t="shared" si="13"/>
        <v>12</v>
      </c>
      <c r="N56" s="65">
        <f t="shared" si="13"/>
        <v>12</v>
      </c>
      <c r="O56" s="63">
        <f t="shared" si="12"/>
        <v>485</v>
      </c>
      <c r="P56" s="53"/>
    </row>
    <row r="57" spans="1:16" ht="18" customHeight="1" x14ac:dyDescent="0.3">
      <c r="A57" s="56" t="s">
        <v>347</v>
      </c>
      <c r="B57" s="68">
        <f t="shared" ref="B57:N57" si="14">IF(B56=0,"",ROUND((B49*5+B50*4+B51*3+B52*2+B53*1+B54*0.5)/(B56*5)*100,2))</f>
        <v>38.32</v>
      </c>
      <c r="C57" s="68">
        <f t="shared" si="14"/>
        <v>47.1</v>
      </c>
      <c r="D57" s="68">
        <f t="shared" si="14"/>
        <v>43.91</v>
      </c>
      <c r="E57" s="68">
        <f t="shared" si="14"/>
        <v>65.45</v>
      </c>
      <c r="F57" s="68">
        <f t="shared" si="14"/>
        <v>45.71</v>
      </c>
      <c r="G57" s="68">
        <f t="shared" si="14"/>
        <v>30.26</v>
      </c>
      <c r="H57" s="68">
        <f t="shared" si="14"/>
        <v>33.44</v>
      </c>
      <c r="I57" s="68">
        <f t="shared" si="14"/>
        <v>33.81</v>
      </c>
      <c r="J57" s="68">
        <f t="shared" si="14"/>
        <v>13.51</v>
      </c>
      <c r="K57" s="68">
        <f t="shared" si="14"/>
        <v>70</v>
      </c>
      <c r="L57" s="68">
        <f t="shared" si="14"/>
        <v>57.33</v>
      </c>
      <c r="M57" s="68">
        <f t="shared" si="14"/>
        <v>76.67</v>
      </c>
      <c r="N57" s="68">
        <f t="shared" si="14"/>
        <v>53.33</v>
      </c>
      <c r="O57" s="69">
        <f>IFERROR(AVERAGEIF(B57:N57,"&gt;0"),"")</f>
        <v>46.833846153846153</v>
      </c>
      <c r="P57" s="70" t="s">
        <v>488</v>
      </c>
    </row>
    <row r="58" spans="1:16" ht="19.5" customHeight="1" x14ac:dyDescent="0.3">
      <c r="A58" s="440" t="s">
        <v>492</v>
      </c>
      <c r="B58" s="415"/>
      <c r="C58" s="415"/>
      <c r="D58" s="415"/>
      <c r="E58" s="415"/>
      <c r="F58" s="415"/>
      <c r="G58" s="415"/>
      <c r="H58" s="415"/>
      <c r="I58" s="415"/>
      <c r="J58" s="415"/>
      <c r="K58" s="415"/>
      <c r="L58" s="415"/>
      <c r="M58" s="415"/>
      <c r="N58" s="415"/>
      <c r="O58" s="415"/>
      <c r="P58" s="415"/>
    </row>
    <row r="59" spans="1:16" ht="18" customHeight="1" x14ac:dyDescent="0.3">
      <c r="A59" s="45" t="s">
        <v>486</v>
      </c>
      <c r="B59" s="56" t="s">
        <v>24</v>
      </c>
      <c r="C59" s="57" t="s">
        <v>25</v>
      </c>
      <c r="D59" s="57" t="s">
        <v>26</v>
      </c>
      <c r="E59" s="58" t="s">
        <v>27</v>
      </c>
      <c r="F59" s="58" t="s">
        <v>28</v>
      </c>
      <c r="G59" s="59" t="s">
        <v>29</v>
      </c>
      <c r="H59" s="60" t="s">
        <v>30</v>
      </c>
      <c r="I59" s="60" t="s">
        <v>31</v>
      </c>
      <c r="J59" s="61" t="s">
        <v>33</v>
      </c>
      <c r="K59" s="61" t="s">
        <v>34</v>
      </c>
      <c r="L59" s="62" t="s">
        <v>35</v>
      </c>
      <c r="M59" s="62" t="s">
        <v>36</v>
      </c>
      <c r="N59" s="62" t="s">
        <v>37</v>
      </c>
      <c r="O59" s="63" t="s">
        <v>350</v>
      </c>
      <c r="P59" s="63" t="s">
        <v>487</v>
      </c>
    </row>
    <row r="60" spans="1:16" ht="15.75" customHeight="1" x14ac:dyDescent="0.3">
      <c r="A60" s="45" t="s">
        <v>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2</v>
      </c>
      <c r="K60" s="64">
        <v>4</v>
      </c>
      <c r="L60" s="64">
        <v>0</v>
      </c>
      <c r="M60" s="64">
        <v>0</v>
      </c>
      <c r="N60" s="64">
        <v>1</v>
      </c>
      <c r="O60" s="65">
        <f t="shared" ref="O60:O67" si="15">SUM(B60:N60)</f>
        <v>7</v>
      </c>
      <c r="P60" s="66">
        <f>IF(O67=0,"",ROUND(O60/O67*100,2))</f>
        <v>1.07</v>
      </c>
    </row>
    <row r="61" spans="1:16" ht="15.75" customHeight="1" x14ac:dyDescent="0.3">
      <c r="A61" s="45" t="s">
        <v>3</v>
      </c>
      <c r="B61" s="67">
        <v>0</v>
      </c>
      <c r="C61" s="67">
        <v>0</v>
      </c>
      <c r="D61" s="67">
        <v>9</v>
      </c>
      <c r="E61" s="67">
        <v>3</v>
      </c>
      <c r="F61" s="67">
        <v>4</v>
      </c>
      <c r="G61" s="67">
        <v>6</v>
      </c>
      <c r="H61" s="67">
        <v>8</v>
      </c>
      <c r="I61" s="67">
        <v>2</v>
      </c>
      <c r="J61" s="67">
        <v>14</v>
      </c>
      <c r="K61" s="67">
        <v>10</v>
      </c>
      <c r="L61" s="67">
        <v>2</v>
      </c>
      <c r="M61" s="67">
        <v>19</v>
      </c>
      <c r="N61" s="67">
        <v>7</v>
      </c>
      <c r="O61" s="65">
        <f t="shared" si="15"/>
        <v>84</v>
      </c>
      <c r="P61" s="66">
        <f>IF(O67=0,"",ROUND(O61/O67*100,2))</f>
        <v>12.84</v>
      </c>
    </row>
    <row r="62" spans="1:16" ht="15.75" customHeight="1" x14ac:dyDescent="0.3">
      <c r="A62" s="45" t="s">
        <v>4</v>
      </c>
      <c r="B62" s="64">
        <v>16</v>
      </c>
      <c r="C62" s="64">
        <v>18</v>
      </c>
      <c r="D62" s="64">
        <v>25</v>
      </c>
      <c r="E62" s="64">
        <v>3</v>
      </c>
      <c r="F62" s="64">
        <v>10</v>
      </c>
      <c r="G62" s="64">
        <v>13</v>
      </c>
      <c r="H62" s="64">
        <v>26</v>
      </c>
      <c r="I62" s="64">
        <v>13</v>
      </c>
      <c r="J62" s="64">
        <v>14</v>
      </c>
      <c r="K62" s="64">
        <v>7</v>
      </c>
      <c r="L62" s="64">
        <v>18</v>
      </c>
      <c r="M62" s="64">
        <v>8</v>
      </c>
      <c r="N62" s="64">
        <v>14</v>
      </c>
      <c r="O62" s="65">
        <f t="shared" si="15"/>
        <v>185</v>
      </c>
      <c r="P62" s="66">
        <f>IF(O67=0,"",ROUND(O62/O67*100,2))</f>
        <v>28.29</v>
      </c>
    </row>
    <row r="63" spans="1:16" ht="15.75" customHeight="1" x14ac:dyDescent="0.3">
      <c r="A63" s="45" t="s">
        <v>5</v>
      </c>
      <c r="B63" s="67">
        <v>87</v>
      </c>
      <c r="C63" s="67">
        <v>14</v>
      </c>
      <c r="D63" s="67">
        <v>4</v>
      </c>
      <c r="E63" s="67">
        <v>4</v>
      </c>
      <c r="F63" s="67">
        <v>14</v>
      </c>
      <c r="G63" s="67">
        <v>28</v>
      </c>
      <c r="H63" s="67">
        <v>30</v>
      </c>
      <c r="I63" s="67">
        <v>34</v>
      </c>
      <c r="J63" s="67">
        <v>30</v>
      </c>
      <c r="K63" s="67">
        <v>2</v>
      </c>
      <c r="L63" s="67">
        <v>13</v>
      </c>
      <c r="M63" s="67">
        <v>0</v>
      </c>
      <c r="N63" s="67">
        <v>4</v>
      </c>
      <c r="O63" s="65">
        <f t="shared" si="15"/>
        <v>264</v>
      </c>
      <c r="P63" s="66">
        <f>IF(O67=0,"",ROUND(O63/O67*100,2))</f>
        <v>40.369999999999997</v>
      </c>
    </row>
    <row r="64" spans="1:16" ht="15.75" customHeight="1" x14ac:dyDescent="0.3">
      <c r="A64" s="45" t="s">
        <v>6</v>
      </c>
      <c r="B64" s="64">
        <v>35</v>
      </c>
      <c r="C64" s="64">
        <v>1</v>
      </c>
      <c r="D64" s="64">
        <v>0</v>
      </c>
      <c r="E64" s="64">
        <v>0</v>
      </c>
      <c r="F64" s="64">
        <v>0</v>
      </c>
      <c r="G64" s="64">
        <v>15</v>
      </c>
      <c r="H64" s="64">
        <v>13</v>
      </c>
      <c r="I64" s="64">
        <v>6</v>
      </c>
      <c r="J64" s="64">
        <v>26</v>
      </c>
      <c r="K64" s="64">
        <v>0</v>
      </c>
      <c r="L64" s="64">
        <v>0</v>
      </c>
      <c r="M64" s="64">
        <v>0</v>
      </c>
      <c r="N64" s="64">
        <v>1</v>
      </c>
      <c r="O64" s="65">
        <f t="shared" si="15"/>
        <v>97</v>
      </c>
      <c r="P64" s="66">
        <f>IF(O67=0,"",ROUND(O64/O67*100,2))</f>
        <v>14.83</v>
      </c>
    </row>
    <row r="65" spans="1:16" ht="15.75" customHeight="1" x14ac:dyDescent="0.3">
      <c r="A65" s="45" t="s">
        <v>7</v>
      </c>
      <c r="B65" s="67">
        <v>1</v>
      </c>
      <c r="C65" s="67">
        <v>1</v>
      </c>
      <c r="D65" s="67">
        <v>0</v>
      </c>
      <c r="E65" s="67">
        <v>0</v>
      </c>
      <c r="F65" s="67">
        <v>0</v>
      </c>
      <c r="G65" s="67">
        <v>2</v>
      </c>
      <c r="H65" s="67">
        <v>0</v>
      </c>
      <c r="I65" s="67">
        <v>0</v>
      </c>
      <c r="J65" s="67">
        <v>8</v>
      </c>
      <c r="K65" s="67">
        <v>0</v>
      </c>
      <c r="L65" s="67">
        <v>0</v>
      </c>
      <c r="M65" s="67">
        <v>0</v>
      </c>
      <c r="N65" s="67">
        <v>0</v>
      </c>
      <c r="O65" s="65">
        <f t="shared" si="15"/>
        <v>12</v>
      </c>
      <c r="P65" s="66">
        <f>IF(O67=0,"",ROUND(O65/O67*100,2))</f>
        <v>1.83</v>
      </c>
    </row>
    <row r="66" spans="1:16" ht="15.75" customHeight="1" x14ac:dyDescent="0.3">
      <c r="A66" s="45" t="s">
        <v>8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1</v>
      </c>
      <c r="I66" s="64">
        <v>0</v>
      </c>
      <c r="J66" s="64">
        <v>4</v>
      </c>
      <c r="K66" s="64">
        <v>0</v>
      </c>
      <c r="L66" s="64">
        <v>0</v>
      </c>
      <c r="M66" s="64">
        <v>0</v>
      </c>
      <c r="N66" s="64">
        <v>0</v>
      </c>
      <c r="O66" s="65">
        <f t="shared" si="15"/>
        <v>5</v>
      </c>
      <c r="P66" s="66">
        <f>IF(O67=0,"",ROUND(O66/O67*100,2))</f>
        <v>0.76</v>
      </c>
    </row>
    <row r="67" spans="1:16" ht="18" customHeight="1" x14ac:dyDescent="0.3">
      <c r="A67" s="63" t="s">
        <v>350</v>
      </c>
      <c r="B67" s="65">
        <f t="shared" ref="B67:N67" si="16">SUM(B60:B66)</f>
        <v>139</v>
      </c>
      <c r="C67" s="65">
        <f t="shared" si="16"/>
        <v>34</v>
      </c>
      <c r="D67" s="65">
        <f t="shared" si="16"/>
        <v>38</v>
      </c>
      <c r="E67" s="65">
        <f t="shared" si="16"/>
        <v>10</v>
      </c>
      <c r="F67" s="65">
        <f t="shared" si="16"/>
        <v>28</v>
      </c>
      <c r="G67" s="65">
        <f t="shared" si="16"/>
        <v>64</v>
      </c>
      <c r="H67" s="65">
        <f t="shared" si="16"/>
        <v>78</v>
      </c>
      <c r="I67" s="65">
        <f t="shared" si="16"/>
        <v>55</v>
      </c>
      <c r="J67" s="65">
        <f t="shared" si="16"/>
        <v>98</v>
      </c>
      <c r="K67" s="65">
        <f t="shared" si="16"/>
        <v>23</v>
      </c>
      <c r="L67" s="65">
        <f t="shared" si="16"/>
        <v>33</v>
      </c>
      <c r="M67" s="65">
        <f t="shared" si="16"/>
        <v>27</v>
      </c>
      <c r="N67" s="65">
        <f t="shared" si="16"/>
        <v>27</v>
      </c>
      <c r="O67" s="63">
        <f t="shared" si="15"/>
        <v>654</v>
      </c>
      <c r="P67" s="53"/>
    </row>
    <row r="68" spans="1:16" ht="18" customHeight="1" x14ac:dyDescent="0.3">
      <c r="A68" s="56" t="s">
        <v>347</v>
      </c>
      <c r="B68" s="68">
        <f t="shared" ref="B68:N68" si="17">IF(B67=0,"",ROUND((B60*5+B61*4+B62*3+B63*2+B64*1+B65*0.5)/(B67*5)*100,2))</f>
        <v>37.049999999999997</v>
      </c>
      <c r="C68" s="68">
        <f t="shared" si="17"/>
        <v>49.12</v>
      </c>
      <c r="D68" s="68">
        <f t="shared" si="17"/>
        <v>62.63</v>
      </c>
      <c r="E68" s="68">
        <f t="shared" si="17"/>
        <v>58</v>
      </c>
      <c r="F68" s="68">
        <f t="shared" si="17"/>
        <v>52.86</v>
      </c>
      <c r="G68" s="68">
        <f t="shared" si="17"/>
        <v>42.19</v>
      </c>
      <c r="H68" s="68">
        <f t="shared" si="17"/>
        <v>46.92</v>
      </c>
      <c r="I68" s="68">
        <f t="shared" si="17"/>
        <v>44</v>
      </c>
      <c r="J68" s="68">
        <f t="shared" si="17"/>
        <v>40.409999999999997</v>
      </c>
      <c r="K68" s="68">
        <f t="shared" si="17"/>
        <v>73.91</v>
      </c>
      <c r="L68" s="68">
        <f t="shared" si="17"/>
        <v>53.33</v>
      </c>
      <c r="M68" s="68">
        <f t="shared" si="17"/>
        <v>74.069999999999993</v>
      </c>
      <c r="N68" s="68">
        <f t="shared" si="17"/>
        <v>62.22</v>
      </c>
      <c r="O68" s="69">
        <f>IFERROR(AVERAGEIF(B68:N68,"&gt;0"),"")</f>
        <v>53.593076923076929</v>
      </c>
      <c r="P68" s="70" t="s">
        <v>488</v>
      </c>
    </row>
    <row r="69" spans="1:16" ht="19.5" customHeight="1" x14ac:dyDescent="0.3">
      <c r="A69" s="440" t="s">
        <v>493</v>
      </c>
      <c r="B69" s="415"/>
      <c r="C69" s="415"/>
      <c r="D69" s="415"/>
      <c r="E69" s="415"/>
      <c r="F69" s="415"/>
      <c r="G69" s="415"/>
      <c r="H69" s="415"/>
      <c r="I69" s="415"/>
      <c r="J69" s="415"/>
      <c r="K69" s="415"/>
      <c r="L69" s="415"/>
      <c r="M69" s="415"/>
      <c r="N69" s="415"/>
      <c r="O69" s="415"/>
      <c r="P69" s="415"/>
    </row>
    <row r="70" spans="1:16" ht="18" customHeight="1" x14ac:dyDescent="0.3">
      <c r="A70" s="45" t="s">
        <v>486</v>
      </c>
      <c r="B70" s="56" t="s">
        <v>24</v>
      </c>
      <c r="C70" s="57" t="s">
        <v>25</v>
      </c>
      <c r="D70" s="57" t="s">
        <v>26</v>
      </c>
      <c r="E70" s="58" t="s">
        <v>27</v>
      </c>
      <c r="F70" s="58" t="s">
        <v>28</v>
      </c>
      <c r="G70" s="59" t="s">
        <v>29</v>
      </c>
      <c r="H70" s="60" t="s">
        <v>30</v>
      </c>
      <c r="I70" s="60" t="s">
        <v>31</v>
      </c>
      <c r="J70" s="61" t="s">
        <v>33</v>
      </c>
      <c r="K70" s="61" t="s">
        <v>34</v>
      </c>
      <c r="L70" s="62" t="s">
        <v>35</v>
      </c>
      <c r="M70" s="62" t="s">
        <v>36</v>
      </c>
      <c r="N70" s="62" t="s">
        <v>37</v>
      </c>
      <c r="O70" s="63" t="s">
        <v>350</v>
      </c>
      <c r="P70" s="63" t="s">
        <v>487</v>
      </c>
    </row>
    <row r="71" spans="1:16" ht="15.75" customHeight="1" x14ac:dyDescent="0.3">
      <c r="A71" s="45" t="s">
        <v>2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1</v>
      </c>
      <c r="I71" s="64">
        <v>0</v>
      </c>
      <c r="J71" s="64">
        <v>6</v>
      </c>
      <c r="K71" s="64">
        <v>2</v>
      </c>
      <c r="L71" s="64">
        <v>0</v>
      </c>
      <c r="M71" s="64">
        <v>0</v>
      </c>
      <c r="N71" s="64">
        <v>0</v>
      </c>
      <c r="O71" s="65">
        <f t="shared" ref="O71:O78" si="18">SUM(B71:N71)</f>
        <v>9</v>
      </c>
      <c r="P71" s="66">
        <f>IF(O78=0,"",ROUND(O71/O78*100,2))</f>
        <v>1.37</v>
      </c>
    </row>
    <row r="72" spans="1:16" ht="15.75" customHeight="1" x14ac:dyDescent="0.3">
      <c r="A72" s="45" t="s">
        <v>3</v>
      </c>
      <c r="B72" s="67">
        <v>0</v>
      </c>
      <c r="C72" s="67">
        <v>0</v>
      </c>
      <c r="D72" s="67">
        <v>1</v>
      </c>
      <c r="E72" s="67">
        <v>5</v>
      </c>
      <c r="F72" s="67">
        <v>0</v>
      </c>
      <c r="G72" s="67">
        <v>4</v>
      </c>
      <c r="H72" s="67">
        <v>16</v>
      </c>
      <c r="I72" s="67">
        <v>4</v>
      </c>
      <c r="J72" s="67">
        <v>4</v>
      </c>
      <c r="K72" s="67">
        <v>7</v>
      </c>
      <c r="L72" s="67">
        <v>2</v>
      </c>
      <c r="M72" s="67">
        <v>9</v>
      </c>
      <c r="N72" s="67">
        <v>6</v>
      </c>
      <c r="O72" s="65">
        <f t="shared" si="18"/>
        <v>58</v>
      </c>
      <c r="P72" s="66">
        <f>IF(O78=0,"",ROUND(O72/O78*100,2))</f>
        <v>8.84</v>
      </c>
    </row>
    <row r="73" spans="1:16" ht="15.75" customHeight="1" x14ac:dyDescent="0.3">
      <c r="A73" s="45" t="s">
        <v>4</v>
      </c>
      <c r="B73" s="64">
        <v>9</v>
      </c>
      <c r="C73" s="64">
        <v>20</v>
      </c>
      <c r="D73" s="64">
        <v>22</v>
      </c>
      <c r="E73" s="64">
        <v>9</v>
      </c>
      <c r="F73" s="64">
        <v>19</v>
      </c>
      <c r="G73" s="64">
        <v>17</v>
      </c>
      <c r="H73" s="64">
        <v>19</v>
      </c>
      <c r="I73" s="64">
        <v>20</v>
      </c>
      <c r="J73" s="64">
        <v>19</v>
      </c>
      <c r="K73" s="64">
        <v>5</v>
      </c>
      <c r="L73" s="64">
        <v>21</v>
      </c>
      <c r="M73" s="64">
        <v>5</v>
      </c>
      <c r="N73" s="64">
        <v>4</v>
      </c>
      <c r="O73" s="65">
        <f t="shared" si="18"/>
        <v>189</v>
      </c>
      <c r="P73" s="66">
        <f>IF(O78=0,"",ROUND(O73/O78*100,2))</f>
        <v>28.81</v>
      </c>
    </row>
    <row r="74" spans="1:16" ht="15.75" customHeight="1" x14ac:dyDescent="0.3">
      <c r="A74" s="45" t="s">
        <v>5</v>
      </c>
      <c r="B74" s="67">
        <v>85</v>
      </c>
      <c r="C74" s="67">
        <v>40</v>
      </c>
      <c r="D74" s="67">
        <v>36</v>
      </c>
      <c r="E74" s="67">
        <v>2</v>
      </c>
      <c r="F74" s="67">
        <v>34</v>
      </c>
      <c r="G74" s="67">
        <v>20</v>
      </c>
      <c r="H74" s="67">
        <v>21</v>
      </c>
      <c r="I74" s="67">
        <v>20</v>
      </c>
      <c r="J74" s="67">
        <v>23</v>
      </c>
      <c r="K74" s="67">
        <v>1</v>
      </c>
      <c r="L74" s="67">
        <v>3</v>
      </c>
      <c r="M74" s="67">
        <v>0</v>
      </c>
      <c r="N74" s="67">
        <v>3</v>
      </c>
      <c r="O74" s="65">
        <f t="shared" si="18"/>
        <v>288</v>
      </c>
      <c r="P74" s="66">
        <f>IF(O78=0,"",ROUND(O74/O78*100,2))</f>
        <v>43.9</v>
      </c>
    </row>
    <row r="75" spans="1:16" ht="15.75" customHeight="1" x14ac:dyDescent="0.3">
      <c r="A75" s="45" t="s">
        <v>6</v>
      </c>
      <c r="B75" s="64">
        <v>51</v>
      </c>
      <c r="C75" s="64">
        <v>0</v>
      </c>
      <c r="D75" s="64">
        <v>4</v>
      </c>
      <c r="E75" s="64">
        <v>0</v>
      </c>
      <c r="F75" s="64">
        <v>6</v>
      </c>
      <c r="G75" s="64">
        <v>11</v>
      </c>
      <c r="H75" s="64">
        <v>5</v>
      </c>
      <c r="I75" s="64">
        <v>3</v>
      </c>
      <c r="J75" s="64">
        <v>13</v>
      </c>
      <c r="K75" s="64">
        <v>1</v>
      </c>
      <c r="L75" s="64">
        <v>0</v>
      </c>
      <c r="M75" s="64">
        <v>0</v>
      </c>
      <c r="N75" s="64">
        <v>1</v>
      </c>
      <c r="O75" s="65">
        <f t="shared" si="18"/>
        <v>95</v>
      </c>
      <c r="P75" s="66">
        <f>IF(O78=0,"",ROUND(O75/O78*100,2))</f>
        <v>14.48</v>
      </c>
    </row>
    <row r="76" spans="1:16" ht="15.75" customHeight="1" x14ac:dyDescent="0.3">
      <c r="A76" s="45" t="s">
        <v>7</v>
      </c>
      <c r="B76" s="67">
        <v>3</v>
      </c>
      <c r="C76" s="67">
        <v>0</v>
      </c>
      <c r="D76" s="67">
        <v>0</v>
      </c>
      <c r="E76" s="67">
        <v>0</v>
      </c>
      <c r="F76" s="67">
        <v>0</v>
      </c>
      <c r="G76" s="67">
        <v>3</v>
      </c>
      <c r="H76" s="67">
        <v>1</v>
      </c>
      <c r="I76" s="67">
        <v>2</v>
      </c>
      <c r="J76" s="67">
        <v>6</v>
      </c>
      <c r="K76" s="67">
        <v>0</v>
      </c>
      <c r="L76" s="67">
        <v>0</v>
      </c>
      <c r="M76" s="67">
        <v>0</v>
      </c>
      <c r="N76" s="67">
        <v>0</v>
      </c>
      <c r="O76" s="65">
        <f t="shared" si="18"/>
        <v>15</v>
      </c>
      <c r="P76" s="66">
        <f>IF(O78=0,"",ROUND(O76/O78*100,2))</f>
        <v>2.29</v>
      </c>
    </row>
    <row r="77" spans="1:16" ht="15.75" customHeight="1" x14ac:dyDescent="0.3">
      <c r="A77" s="45" t="s">
        <v>8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2</v>
      </c>
      <c r="K77" s="64">
        <v>0</v>
      </c>
      <c r="L77" s="64">
        <v>0</v>
      </c>
      <c r="M77" s="64">
        <v>0</v>
      </c>
      <c r="N77" s="64">
        <v>0</v>
      </c>
      <c r="O77" s="65">
        <f t="shared" si="18"/>
        <v>2</v>
      </c>
      <c r="P77" s="66">
        <f>IF(O78=0,"",ROUND(O77/O78*100,2))</f>
        <v>0.3</v>
      </c>
    </row>
    <row r="78" spans="1:16" ht="18" customHeight="1" x14ac:dyDescent="0.3">
      <c r="A78" s="63" t="s">
        <v>350</v>
      </c>
      <c r="B78" s="65">
        <f t="shared" ref="B78:N78" si="19">SUM(B71:B77)</f>
        <v>148</v>
      </c>
      <c r="C78" s="65">
        <f t="shared" si="19"/>
        <v>60</v>
      </c>
      <c r="D78" s="65">
        <f t="shared" si="19"/>
        <v>63</v>
      </c>
      <c r="E78" s="65">
        <f t="shared" si="19"/>
        <v>16</v>
      </c>
      <c r="F78" s="65">
        <f t="shared" si="19"/>
        <v>59</v>
      </c>
      <c r="G78" s="65">
        <f t="shared" si="19"/>
        <v>55</v>
      </c>
      <c r="H78" s="65">
        <f t="shared" si="19"/>
        <v>63</v>
      </c>
      <c r="I78" s="65">
        <f t="shared" si="19"/>
        <v>49</v>
      </c>
      <c r="J78" s="65">
        <f t="shared" si="19"/>
        <v>73</v>
      </c>
      <c r="K78" s="65">
        <f t="shared" si="19"/>
        <v>16</v>
      </c>
      <c r="L78" s="65">
        <f t="shared" si="19"/>
        <v>26</v>
      </c>
      <c r="M78" s="65">
        <f t="shared" si="19"/>
        <v>14</v>
      </c>
      <c r="N78" s="65">
        <f t="shared" si="19"/>
        <v>14</v>
      </c>
      <c r="O78" s="63">
        <f t="shared" si="18"/>
        <v>656</v>
      </c>
      <c r="P78" s="53"/>
    </row>
    <row r="79" spans="1:16" ht="18" customHeight="1" x14ac:dyDescent="0.3">
      <c r="A79" s="56" t="s">
        <v>347</v>
      </c>
      <c r="B79" s="68">
        <f t="shared" ref="B79:N79" si="20">IF(B78=0,"",ROUND((B71*5+B72*4+B73*3+B74*2+B75*1+B76*0.5)/(B78*5)*100,2))</f>
        <v>33.72</v>
      </c>
      <c r="C79" s="68">
        <f t="shared" si="20"/>
        <v>46.67</v>
      </c>
      <c r="D79" s="68">
        <f t="shared" si="20"/>
        <v>46.35</v>
      </c>
      <c r="E79" s="68">
        <f t="shared" si="20"/>
        <v>63.75</v>
      </c>
      <c r="F79" s="68">
        <f t="shared" si="20"/>
        <v>44.41</v>
      </c>
      <c r="G79" s="68">
        <f t="shared" si="20"/>
        <v>43.45</v>
      </c>
      <c r="H79" s="68">
        <f t="shared" si="20"/>
        <v>55.08</v>
      </c>
      <c r="I79" s="68">
        <f t="shared" si="20"/>
        <v>48.98</v>
      </c>
      <c r="J79" s="68">
        <f t="shared" si="20"/>
        <v>45.21</v>
      </c>
      <c r="K79" s="68">
        <f t="shared" si="20"/>
        <v>70</v>
      </c>
      <c r="L79" s="68">
        <f t="shared" si="20"/>
        <v>59.23</v>
      </c>
      <c r="M79" s="68">
        <f t="shared" si="20"/>
        <v>72.86</v>
      </c>
      <c r="N79" s="68">
        <f t="shared" si="20"/>
        <v>61.43</v>
      </c>
      <c r="O79" s="69">
        <f>IFERROR(AVERAGEIF(B79:N79,"&gt;0"),"")</f>
        <v>53.164615384615381</v>
      </c>
      <c r="P79" s="70" t="s">
        <v>488</v>
      </c>
    </row>
  </sheetData>
  <mergeCells count="13">
    <mergeCell ref="A1:P1"/>
    <mergeCell ref="J2:K2"/>
    <mergeCell ref="E2:F2"/>
    <mergeCell ref="A69:P69"/>
    <mergeCell ref="A14:P14"/>
    <mergeCell ref="L2:N2"/>
    <mergeCell ref="A36:P36"/>
    <mergeCell ref="A58:P58"/>
    <mergeCell ref="H2:I2"/>
    <mergeCell ref="A47:P47"/>
    <mergeCell ref="C2:D2"/>
    <mergeCell ref="A25:P25"/>
    <mergeCell ref="A3:P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7"/>
  <sheetViews>
    <sheetView topLeftCell="A8" zoomScaleNormal="100" workbookViewId="0">
      <selection sqref="A1:C17"/>
    </sheetView>
  </sheetViews>
  <sheetFormatPr defaultColWidth="8.6640625" defaultRowHeight="14.4" x14ac:dyDescent="0.3"/>
  <cols>
    <col min="1" max="1" width="14.5546875" style="210" customWidth="1"/>
    <col min="2" max="2" width="16" style="210" customWidth="1"/>
    <col min="3" max="3" width="30" style="210" customWidth="1"/>
  </cols>
  <sheetData>
    <row r="1" spans="1:3" ht="18" customHeight="1" x14ac:dyDescent="0.3">
      <c r="A1" s="436" t="s">
        <v>494</v>
      </c>
      <c r="B1" s="415"/>
      <c r="C1" s="415"/>
    </row>
    <row r="2" spans="1:3" ht="18" customHeight="1" x14ac:dyDescent="0.3">
      <c r="A2" s="178" t="s">
        <v>887</v>
      </c>
      <c r="B2" s="178" t="s">
        <v>888</v>
      </c>
      <c r="C2" s="179" t="s">
        <v>857</v>
      </c>
    </row>
    <row r="3" spans="1:3" ht="16.5" customHeight="1" x14ac:dyDescent="0.3">
      <c r="A3" s="71" t="s">
        <v>863</v>
      </c>
      <c r="B3" s="46" t="s">
        <v>477</v>
      </c>
      <c r="C3" s="176" t="s">
        <v>407</v>
      </c>
    </row>
    <row r="4" spans="1:3" ht="16.5" customHeight="1" x14ac:dyDescent="0.3">
      <c r="A4" s="72" t="s">
        <v>864</v>
      </c>
      <c r="B4" s="47" t="s">
        <v>478</v>
      </c>
      <c r="C4" s="176" t="s">
        <v>408</v>
      </c>
    </row>
    <row r="5" spans="1:3" ht="16.5" customHeight="1" x14ac:dyDescent="0.3">
      <c r="A5" s="72" t="s">
        <v>865</v>
      </c>
      <c r="B5" s="47" t="s">
        <v>478</v>
      </c>
      <c r="C5" s="176" t="s">
        <v>409</v>
      </c>
    </row>
    <row r="6" spans="1:3" ht="16.5" customHeight="1" x14ac:dyDescent="0.3">
      <c r="A6" s="73" t="s">
        <v>866</v>
      </c>
      <c r="B6" s="48" t="s">
        <v>479</v>
      </c>
      <c r="C6" s="176" t="s">
        <v>410</v>
      </c>
    </row>
    <row r="7" spans="1:3" ht="16.5" customHeight="1" x14ac:dyDescent="0.3">
      <c r="A7" s="73" t="s">
        <v>867</v>
      </c>
      <c r="B7" s="48" t="s">
        <v>479</v>
      </c>
      <c r="C7" s="176" t="s">
        <v>495</v>
      </c>
    </row>
    <row r="8" spans="1:3" ht="16.5" customHeight="1" x14ac:dyDescent="0.3">
      <c r="A8" s="74" t="s">
        <v>868</v>
      </c>
      <c r="B8" s="49" t="s">
        <v>482</v>
      </c>
      <c r="C8" s="176" t="s">
        <v>412</v>
      </c>
    </row>
    <row r="9" spans="1:3" ht="16.5" customHeight="1" x14ac:dyDescent="0.3">
      <c r="A9" s="75" t="s">
        <v>869</v>
      </c>
      <c r="B9" s="50" t="s">
        <v>289</v>
      </c>
      <c r="C9" s="176" t="s">
        <v>413</v>
      </c>
    </row>
    <row r="10" spans="1:3" ht="16.5" customHeight="1" x14ac:dyDescent="0.3">
      <c r="A10" s="75" t="s">
        <v>870</v>
      </c>
      <c r="B10" s="50" t="s">
        <v>289</v>
      </c>
      <c r="C10" s="176" t="s">
        <v>414</v>
      </c>
    </row>
    <row r="11" spans="1:3" ht="16.5" customHeight="1" x14ac:dyDescent="0.3">
      <c r="A11" t="s">
        <v>871</v>
      </c>
      <c r="B11" s="212" t="s">
        <v>289</v>
      </c>
      <c r="C11" s="177" t="s">
        <v>415</v>
      </c>
    </row>
    <row r="12" spans="1:3" ht="16.5" customHeight="1" x14ac:dyDescent="0.3">
      <c r="A12" s="76" t="s">
        <v>872</v>
      </c>
      <c r="B12" s="51" t="s">
        <v>886</v>
      </c>
      <c r="C12" s="176" t="s">
        <v>496</v>
      </c>
    </row>
    <row r="13" spans="1:3" ht="16.5" customHeight="1" x14ac:dyDescent="0.3">
      <c r="A13" s="76" t="s">
        <v>873</v>
      </c>
      <c r="B13" s="51" t="s">
        <v>886</v>
      </c>
      <c r="C13" s="176" t="s">
        <v>497</v>
      </c>
    </row>
    <row r="14" spans="1:3" ht="16.5" customHeight="1" x14ac:dyDescent="0.3">
      <c r="A14" t="s">
        <v>874</v>
      </c>
      <c r="B14" s="51" t="s">
        <v>886</v>
      </c>
      <c r="C14" s="177" t="s">
        <v>417</v>
      </c>
    </row>
    <row r="15" spans="1:3" ht="16.5" customHeight="1" x14ac:dyDescent="0.3">
      <c r="A15" s="77" t="s">
        <v>875</v>
      </c>
      <c r="B15" s="52" t="s">
        <v>480</v>
      </c>
      <c r="C15" s="176" t="s">
        <v>418</v>
      </c>
    </row>
    <row r="16" spans="1:3" x14ac:dyDescent="0.3">
      <c r="A16" s="77" t="s">
        <v>876</v>
      </c>
      <c r="B16" s="52" t="s">
        <v>480</v>
      </c>
      <c r="C16" s="176" t="s">
        <v>419</v>
      </c>
    </row>
    <row r="17" spans="1:3" x14ac:dyDescent="0.3">
      <c r="A17" s="180" t="s">
        <v>877</v>
      </c>
      <c r="B17" s="181" t="s">
        <v>480</v>
      </c>
      <c r="C17" s="182" t="s">
        <v>420</v>
      </c>
    </row>
  </sheetData>
  <mergeCells count="1">
    <mergeCell ref="A1:C1"/>
  </mergeCell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210"/>
  <sheetViews>
    <sheetView topLeftCell="D1" workbookViewId="0">
      <pane ySplit="9" topLeftCell="A202" activePane="bottomLeft" state="frozen"/>
      <selection pane="bottomLeft" activeCell="I10" sqref="I10:I210"/>
    </sheetView>
  </sheetViews>
  <sheetFormatPr defaultColWidth="7.33203125" defaultRowHeight="14.4" outlineLevelCol="1" x14ac:dyDescent="0.3"/>
  <cols>
    <col min="1" max="1" width="15.5546875" style="210" bestFit="1" customWidth="1"/>
    <col min="2" max="2" width="15.5546875" style="210" customWidth="1"/>
    <col min="3" max="3" width="32.5546875" style="210" bestFit="1" customWidth="1"/>
    <col min="4" max="4" width="7.5546875" style="210" bestFit="1" customWidth="1"/>
    <col min="5" max="5" width="10" style="210" bestFit="1" customWidth="1"/>
    <col min="6" max="6" width="7.88671875" style="210" bestFit="1" customWidth="1"/>
    <col min="7" max="7" width="7.5546875" style="210" bestFit="1" customWidth="1"/>
    <col min="8" max="8" width="10.88671875" style="210" bestFit="1" customWidth="1"/>
    <col min="9" max="9" width="9.33203125" style="210" bestFit="1" customWidth="1"/>
    <col min="10" max="10" width="7.88671875" style="210" bestFit="1" customWidth="1"/>
    <col min="11" max="11" width="10.21875" style="210" bestFit="1" customWidth="1"/>
    <col min="12" max="22" width="7.33203125" style="210" customWidth="1"/>
    <col min="23" max="23" width="11.109375" style="210" bestFit="1" customWidth="1"/>
    <col min="24" max="26" width="7.33203125" style="210" customWidth="1"/>
    <col min="27" max="27" width="7.88671875" style="210" bestFit="1" customWidth="1"/>
    <col min="28" max="29" width="7.44140625" style="210" bestFit="1" customWidth="1"/>
    <col min="30" max="45" width="7.33203125" style="210" customWidth="1" outlineLevel="1"/>
    <col min="46" max="53" width="7.88671875" style="210" bestFit="1" customWidth="1" outlineLevel="1"/>
    <col min="54" max="54" width="7.33203125" style="210" customWidth="1"/>
    <col min="55" max="55" width="4.44140625" style="210" bestFit="1" customWidth="1"/>
    <col min="56" max="56" width="7.33203125" style="210" customWidth="1"/>
    <col min="57" max="16384" width="7.33203125" style="210"/>
  </cols>
  <sheetData>
    <row r="1" spans="1:55" x14ac:dyDescent="0.3">
      <c r="A1" s="445" t="s">
        <v>498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  <c r="W1" s="415"/>
      <c r="X1" s="415"/>
      <c r="Y1" s="415"/>
      <c r="Z1" s="415"/>
      <c r="AA1" s="415"/>
      <c r="AB1" s="415"/>
      <c r="AC1" s="415"/>
      <c r="AD1" s="415"/>
      <c r="AE1" s="415"/>
      <c r="AF1" s="415"/>
      <c r="AG1" s="415"/>
      <c r="AH1" s="415"/>
      <c r="AI1" s="415"/>
      <c r="AJ1" s="415"/>
      <c r="AK1" s="415"/>
      <c r="AL1" s="415"/>
      <c r="AM1" s="415"/>
      <c r="AN1" s="415"/>
      <c r="AO1" s="415"/>
      <c r="AP1" s="415"/>
      <c r="AQ1" s="415"/>
      <c r="AR1" s="415"/>
      <c r="AS1" s="415"/>
      <c r="AT1" s="415"/>
      <c r="AU1" s="415"/>
      <c r="AV1" s="415"/>
      <c r="AW1" s="415"/>
      <c r="AX1" s="415"/>
      <c r="AY1" s="415"/>
      <c r="AZ1" s="415"/>
      <c r="BA1" s="415"/>
    </row>
    <row r="2" spans="1:55" s="162" customFormat="1" x14ac:dyDescent="0.3">
      <c r="A2" s="79"/>
      <c r="B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/>
      <c r="AY2" s="79"/>
      <c r="AZ2" s="79"/>
      <c r="BA2" s="79"/>
    </row>
    <row r="3" spans="1:55" ht="13.8" customHeight="1" thickBot="1" x14ac:dyDescent="0.35">
      <c r="A3" s="80"/>
      <c r="B3" s="80"/>
      <c r="K3" s="444" t="s">
        <v>499</v>
      </c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81"/>
      <c r="AD3" s="81"/>
      <c r="AE3" s="81"/>
      <c r="AF3" s="81"/>
      <c r="AG3" s="81"/>
      <c r="AH3" s="81"/>
      <c r="AI3" s="81"/>
      <c r="AJ3" s="81"/>
      <c r="AK3" s="80"/>
      <c r="AL3" s="80"/>
      <c r="AM3" s="80"/>
      <c r="AN3" s="80"/>
      <c r="AO3" s="82"/>
    </row>
    <row r="4" spans="1:55" ht="15" customHeight="1" thickBot="1" x14ac:dyDescent="0.35">
      <c r="K4" s="83" t="s">
        <v>22</v>
      </c>
      <c r="L4" s="84" t="s">
        <v>10</v>
      </c>
      <c r="M4" s="84" t="s">
        <v>11</v>
      </c>
      <c r="N4" s="84" t="s">
        <v>12</v>
      </c>
      <c r="O4" s="84" t="s">
        <v>13</v>
      </c>
      <c r="P4" s="84" t="s">
        <v>351</v>
      </c>
      <c r="Q4" s="84" t="s">
        <v>500</v>
      </c>
      <c r="R4" s="84" t="s">
        <v>501</v>
      </c>
      <c r="S4" s="84" t="s">
        <v>352</v>
      </c>
      <c r="T4" s="84" t="s">
        <v>502</v>
      </c>
      <c r="U4" s="84" t="s">
        <v>503</v>
      </c>
      <c r="V4" s="85" t="s">
        <v>345</v>
      </c>
      <c r="W4" s="85" t="s">
        <v>346</v>
      </c>
      <c r="X4" s="86"/>
      <c r="Y4" s="87"/>
      <c r="Z4" s="88"/>
      <c r="AA4" s="89"/>
      <c r="AB4" s="89"/>
      <c r="AD4" s="81"/>
      <c r="AE4" s="81"/>
      <c r="AF4" s="81"/>
      <c r="AG4" s="81"/>
      <c r="AH4" s="81"/>
      <c r="AI4" s="81"/>
      <c r="AJ4" s="81"/>
      <c r="BC4" s="90">
        <f>U5/R5</f>
        <v>0.17241379310344829</v>
      </c>
    </row>
    <row r="5" spans="1:55" ht="15" customHeight="1" thickBot="1" x14ac:dyDescent="0.35">
      <c r="K5" s="83" t="s">
        <v>504</v>
      </c>
      <c r="L5" s="91">
        <f>COUNTIFS(tblF42023[SEX],"M",tblF42023[DIVISION],"I")</f>
        <v>75</v>
      </c>
      <c r="M5" s="91">
        <f>COUNTIFS(tblF42023[SEX],"M",tblF42023[DIVISION],"II")</f>
        <v>12</v>
      </c>
      <c r="N5" s="91">
        <f>COUNTIFS(tblF42023[SEX],"M",tblF42023[DIVISION],"III")</f>
        <v>0</v>
      </c>
      <c r="O5" s="91">
        <f>COUNTIFS(tblF42023[SEX],"M",tblF42023[DIVISION],"IV")</f>
        <v>0</v>
      </c>
      <c r="P5" s="91">
        <f>COUNTIFS(tblF42023[SEX],"M",tblF42023[DIVISION],"O")</f>
        <v>0</v>
      </c>
      <c r="Q5" s="91">
        <f>COUNTIFS(tblF42023[SEX],"M",tblF42023[DIVISION],"ABS")</f>
        <v>0</v>
      </c>
      <c r="R5" s="91">
        <f>SUM(L5:P5)</f>
        <v>87</v>
      </c>
      <c r="S5" s="231">
        <f>((L5)/(R5)*100)</f>
        <v>86.206896551724128</v>
      </c>
      <c r="T5" s="231">
        <f>AVERAGEIFS(tblF42023[POINTS], tblF42023[SEX], "M")</f>
        <v>11.885057471264368</v>
      </c>
      <c r="U5" s="91">
        <f>COUNTIFS(tblF42023[SEX],"M",tblF42023[POINTS],"&lt;=7")</f>
        <v>15</v>
      </c>
      <c r="V5" s="232"/>
      <c r="W5" s="92"/>
      <c r="X5" s="92"/>
      <c r="Y5" s="92"/>
      <c r="Z5" s="92"/>
      <c r="AD5" s="162"/>
      <c r="AE5" s="162"/>
      <c r="AF5" s="162"/>
      <c r="AG5" s="162"/>
      <c r="AH5" s="162"/>
      <c r="AI5" s="162"/>
      <c r="AJ5" s="162" t="str">
        <f t="array" ref="AJ5:AU5">tblF42023[[#Headers],[HKL]:[CBA]]</f>
        <v>HKL</v>
      </c>
      <c r="AK5" t="str">
        <v>HGE</v>
      </c>
      <c r="AL5" t="str">
        <v>CBG</v>
      </c>
      <c r="AM5" t="str">
        <v>ECM</v>
      </c>
      <c r="AN5" t="str">
        <v>HGL</v>
      </c>
      <c r="AO5" t="str">
        <v>HGK</v>
      </c>
      <c r="AP5" t="str">
        <v>EGM</v>
      </c>
      <c r="AQ5" t="str">
        <v>EBUAC</v>
      </c>
      <c r="AR5" t="str">
        <v>PCB</v>
      </c>
      <c r="AS5" t="str">
        <v>PCM</v>
      </c>
      <c r="AT5" t="str">
        <v>PMC</v>
      </c>
      <c r="AU5" t="str">
        <v>CBA</v>
      </c>
      <c r="BC5" s="90">
        <f>U6/R6</f>
        <v>0.23684210526315788</v>
      </c>
    </row>
    <row r="6" spans="1:55" ht="15" customHeight="1" thickBot="1" x14ac:dyDescent="0.35">
      <c r="K6" s="83" t="s">
        <v>505</v>
      </c>
      <c r="L6" s="93">
        <f>COUNTIFS(tblF42023[SEX],"F",tblF42023[DIVISION],"I")</f>
        <v>111</v>
      </c>
      <c r="M6" s="93">
        <f>COUNTIFS(tblF42023[SEX],"F",tblF42023[DIVISION],"II")</f>
        <v>2</v>
      </c>
      <c r="N6" s="93">
        <f>COUNTIFS(tblF42023[SEX],"F",tblF42023[DIVISION],"III")</f>
        <v>1</v>
      </c>
      <c r="O6" s="93">
        <f>COUNTIFS(tblF42023[SEX],"F",tblF42023[DIVISION],"IV")</f>
        <v>0</v>
      </c>
      <c r="P6" s="93">
        <f>COUNTIFS(tblF42023[SEX],"F",tblF42023[DIVISION],"O")</f>
        <v>0</v>
      </c>
      <c r="Q6" s="93">
        <f>COUNTIFS(tblF42023[SEX],"F",tblF42023[DIVISION],"ABS")</f>
        <v>0</v>
      </c>
      <c r="R6" s="93">
        <f>SUM(L6:P6)</f>
        <v>114</v>
      </c>
      <c r="S6" s="233">
        <f>((L6)/(R6)*100)</f>
        <v>97.368421052631575</v>
      </c>
      <c r="T6" s="233">
        <f>AVERAGEIFS(tblF42023[POINTS], tblF42023[SEX], "F")</f>
        <v>11.087719298245615</v>
      </c>
      <c r="U6" s="91">
        <f>COUNTIFS(tblF42023[SEX],"F",tblF42023[POINTS],"&lt;=7")</f>
        <v>27</v>
      </c>
      <c r="V6" s="234"/>
      <c r="W6" s="94"/>
      <c r="X6" s="94"/>
      <c r="Y6" s="94"/>
      <c r="Z6" s="94"/>
    </row>
    <row r="7" spans="1:55" s="95" customFormat="1" ht="15" customHeight="1" thickBot="1" x14ac:dyDescent="0.35">
      <c r="K7" s="96" t="s">
        <v>506</v>
      </c>
      <c r="L7" s="93">
        <f t="shared" ref="L7:R7" si="0">SUM(L5:L6)</f>
        <v>186</v>
      </c>
      <c r="M7" s="93">
        <f t="shared" si="0"/>
        <v>14</v>
      </c>
      <c r="N7" s="93">
        <f t="shared" si="0"/>
        <v>1</v>
      </c>
      <c r="O7" s="93">
        <f t="shared" si="0"/>
        <v>0</v>
      </c>
      <c r="P7" s="93">
        <f t="shared" si="0"/>
        <v>0</v>
      </c>
      <c r="Q7" s="93">
        <f t="shared" si="0"/>
        <v>0</v>
      </c>
      <c r="R7" s="93">
        <f t="shared" si="0"/>
        <v>201</v>
      </c>
      <c r="S7" s="233">
        <f>AVERAGE(S5:S6)</f>
        <v>91.787658802177845</v>
      </c>
      <c r="T7" s="233">
        <f>AVERAGE(T5:T6)</f>
        <v>11.486388384754992</v>
      </c>
      <c r="U7" s="91">
        <f>COUNTIF(tblF42023[POINTS],"&lt;=7")</f>
        <v>42</v>
      </c>
      <c r="V7" s="234"/>
      <c r="W7" s="94"/>
      <c r="X7" s="94"/>
      <c r="Y7" s="94"/>
      <c r="Z7" s="94"/>
    </row>
    <row r="8" spans="1:55" s="95" customFormat="1" x14ac:dyDescent="0.3">
      <c r="K8" s="97"/>
      <c r="L8" s="97"/>
      <c r="M8" s="97"/>
      <c r="N8" s="97"/>
      <c r="O8" s="97"/>
      <c r="P8" s="97"/>
      <c r="Q8" s="97"/>
      <c r="R8" s="97"/>
      <c r="S8" s="97"/>
      <c r="T8" s="235"/>
      <c r="U8" s="235"/>
      <c r="V8" s="236"/>
      <c r="W8" s="236"/>
      <c r="X8" s="98"/>
      <c r="Y8" s="98"/>
      <c r="Z8" s="98"/>
      <c r="AA8" s="98"/>
      <c r="AB8" s="98"/>
    </row>
    <row r="9" spans="1:55" ht="102" customHeight="1" x14ac:dyDescent="0.3">
      <c r="A9" s="99" t="s">
        <v>507</v>
      </c>
      <c r="B9" s="99" t="s">
        <v>798</v>
      </c>
      <c r="C9" s="99" t="s">
        <v>508</v>
      </c>
      <c r="D9" s="100" t="s">
        <v>21</v>
      </c>
      <c r="E9" s="99" t="s">
        <v>23</v>
      </c>
      <c r="F9" s="101" t="s">
        <v>509</v>
      </c>
      <c r="G9" s="100" t="s">
        <v>510</v>
      </c>
      <c r="H9" s="99" t="s">
        <v>473</v>
      </c>
      <c r="I9" s="102" t="s">
        <v>511</v>
      </c>
      <c r="J9" s="101" t="s">
        <v>16</v>
      </c>
      <c r="K9" s="103" t="s">
        <v>512</v>
      </c>
      <c r="L9" s="103" t="s">
        <v>25</v>
      </c>
      <c r="M9" s="103" t="s">
        <v>513</v>
      </c>
      <c r="N9" s="103" t="s">
        <v>27</v>
      </c>
      <c r="O9" s="103" t="s">
        <v>28</v>
      </c>
      <c r="P9" s="103" t="s">
        <v>514</v>
      </c>
      <c r="Q9" s="103" t="s">
        <v>515</v>
      </c>
      <c r="R9" s="103" t="s">
        <v>36</v>
      </c>
      <c r="S9" s="103" t="s">
        <v>516</v>
      </c>
      <c r="T9" s="103" t="s">
        <v>517</v>
      </c>
      <c r="U9" s="103" t="s">
        <v>518</v>
      </c>
      <c r="V9" s="103" t="s">
        <v>32</v>
      </c>
      <c r="W9" s="103" t="s">
        <v>30</v>
      </c>
      <c r="X9" s="103" t="s">
        <v>519</v>
      </c>
      <c r="Y9" s="103" t="s">
        <v>29</v>
      </c>
      <c r="Z9" s="103" t="s">
        <v>520</v>
      </c>
      <c r="AA9" s="168" t="s">
        <v>799</v>
      </c>
      <c r="AB9" s="104" t="s">
        <v>474</v>
      </c>
      <c r="AC9" s="105" t="s">
        <v>521</v>
      </c>
      <c r="AD9" s="106" t="s">
        <v>522</v>
      </c>
      <c r="AE9" s="107" t="s">
        <v>523</v>
      </c>
      <c r="AF9" s="106" t="s">
        <v>524</v>
      </c>
      <c r="AG9" s="106" t="s">
        <v>525</v>
      </c>
      <c r="AH9" s="108" t="s">
        <v>45</v>
      </c>
      <c r="AI9" s="108" t="s">
        <v>40</v>
      </c>
      <c r="AJ9" s="109" t="s">
        <v>139</v>
      </c>
      <c r="AK9" s="110" t="s">
        <v>526</v>
      </c>
      <c r="AL9" s="108" t="s">
        <v>240</v>
      </c>
      <c r="AM9" s="108" t="s">
        <v>194</v>
      </c>
      <c r="AN9" s="111" t="s">
        <v>527</v>
      </c>
      <c r="AO9" s="112" t="s">
        <v>289</v>
      </c>
      <c r="AP9" s="113" t="s">
        <v>786</v>
      </c>
      <c r="AQ9" s="113" t="s">
        <v>787</v>
      </c>
      <c r="AR9" s="114" t="s">
        <v>788</v>
      </c>
      <c r="AS9" s="115" t="s">
        <v>789</v>
      </c>
      <c r="AT9" s="116" t="s">
        <v>790</v>
      </c>
      <c r="AU9" s="116" t="s">
        <v>791</v>
      </c>
      <c r="AV9" s="116" t="s">
        <v>792</v>
      </c>
      <c r="AW9" s="116" t="s">
        <v>793</v>
      </c>
      <c r="AX9" s="116" t="s">
        <v>794</v>
      </c>
      <c r="AY9" s="116" t="s">
        <v>795</v>
      </c>
      <c r="AZ9" s="116" t="s">
        <v>796</v>
      </c>
      <c r="BA9" s="116" t="s">
        <v>797</v>
      </c>
    </row>
    <row r="10" spans="1:55" x14ac:dyDescent="0.3">
      <c r="A10" s="173" t="s">
        <v>528</v>
      </c>
      <c r="B10" s="173"/>
      <c r="C10" s="171" t="s">
        <v>529</v>
      </c>
      <c r="D10" s="172" t="s">
        <v>84</v>
      </c>
      <c r="E10" s="172" t="s">
        <v>42</v>
      </c>
      <c r="F10" s="117" t="str">
        <f>_xlfn.XLOOKUP(tblF42023[[#This Row],[FULL_NAME]],F6Results_2026[Full_Name],F6Results_2026[Comb],"",0,1)</f>
        <v/>
      </c>
      <c r="G10" s="117"/>
      <c r="H1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" s="173" t="s">
        <v>530</v>
      </c>
      <c r="J10" s="173">
        <v>2025</v>
      </c>
      <c r="K10" s="173" t="s">
        <v>3</v>
      </c>
      <c r="L10" s="173" t="s">
        <v>3</v>
      </c>
      <c r="M10" s="173" t="s">
        <v>2</v>
      </c>
      <c r="N10" s="173" t="s">
        <v>3</v>
      </c>
      <c r="O10" s="173" t="s">
        <v>4</v>
      </c>
      <c r="P10" s="173"/>
      <c r="Q10" s="173"/>
      <c r="R10" s="173"/>
      <c r="S10" s="173"/>
      <c r="T10" s="173" t="s">
        <v>2</v>
      </c>
      <c r="U10" s="173"/>
      <c r="V10" s="173"/>
      <c r="W10" s="173" t="s">
        <v>3</v>
      </c>
      <c r="X10" s="173" t="s">
        <v>3</v>
      </c>
      <c r="Y10" s="173" t="s">
        <v>4</v>
      </c>
      <c r="Z10" s="118" t="s">
        <v>2</v>
      </c>
      <c r="AA10" s="119">
        <f>COUNTIF(tblF42023[[#This Row],[CIV]:[BIBLE]],"A")</f>
        <v>3</v>
      </c>
      <c r="AB10" s="119">
        <v>11</v>
      </c>
      <c r="AC10" s="119" t="s">
        <v>10</v>
      </c>
      <c r="AD10" s="120">
        <v>7</v>
      </c>
      <c r="AE10" s="173">
        <v>4</v>
      </c>
      <c r="AF10" s="173">
        <v>5</v>
      </c>
      <c r="AG10" s="173" t="s">
        <v>661</v>
      </c>
      <c r="AH10" s="173">
        <v>6</v>
      </c>
      <c r="AI10" s="173">
        <v>5</v>
      </c>
      <c r="AJ10" s="173">
        <v>3</v>
      </c>
      <c r="AK10" s="173" t="s">
        <v>661</v>
      </c>
      <c r="AL10" s="173">
        <v>7</v>
      </c>
      <c r="AM10" s="173">
        <v>6</v>
      </c>
      <c r="AN10" s="173" t="s">
        <v>661</v>
      </c>
      <c r="AO10" s="173" t="s">
        <v>661</v>
      </c>
      <c r="AP1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" s="173" t="s">
        <v>991</v>
      </c>
      <c r="AU1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" spans="1:55" x14ac:dyDescent="0.3">
      <c r="A11" s="173" t="s">
        <v>531</v>
      </c>
      <c r="B11" s="173"/>
      <c r="C11" s="171" t="s">
        <v>532</v>
      </c>
      <c r="D11" s="172" t="s">
        <v>84</v>
      </c>
      <c r="E11" s="172" t="s">
        <v>42</v>
      </c>
      <c r="F11" s="117" t="str">
        <f>_xlfn.XLOOKUP(tblF42023[[#This Row],[FULL_NAME]],F6Results_2026[Full_Name],F6Results_2026[Comb],"",0,1)</f>
        <v/>
      </c>
      <c r="G11" s="117"/>
      <c r="H1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" s="173" t="s">
        <v>530</v>
      </c>
      <c r="J11" s="173">
        <v>2025</v>
      </c>
      <c r="K11" s="173" t="s">
        <v>3</v>
      </c>
      <c r="L11" s="173" t="s">
        <v>3</v>
      </c>
      <c r="M11" s="173" t="s">
        <v>3</v>
      </c>
      <c r="N11" s="173" t="s">
        <v>3</v>
      </c>
      <c r="O11" s="173" t="s">
        <v>4</v>
      </c>
      <c r="P11" s="173"/>
      <c r="Q11" s="173"/>
      <c r="R11" s="173"/>
      <c r="S11" s="173" t="s">
        <v>4</v>
      </c>
      <c r="T11" s="173" t="s">
        <v>4</v>
      </c>
      <c r="U11" s="173"/>
      <c r="V11" s="173"/>
      <c r="W11" s="173" t="s">
        <v>4</v>
      </c>
      <c r="X11" s="173" t="s">
        <v>4</v>
      </c>
      <c r="Y11" s="173" t="s">
        <v>4</v>
      </c>
      <c r="Z11" s="118"/>
      <c r="AA11" s="119">
        <f>COUNTIF(tblF42023[[#This Row],[CIV]:[BIBLE]],"A")</f>
        <v>0</v>
      </c>
      <c r="AB11" s="119">
        <v>17</v>
      </c>
      <c r="AC11" s="119" t="s">
        <v>10</v>
      </c>
      <c r="AD11" s="120">
        <v>7</v>
      </c>
      <c r="AE11" s="173">
        <v>7</v>
      </c>
      <c r="AF11" s="173">
        <v>8</v>
      </c>
      <c r="AG11" s="173">
        <v>9</v>
      </c>
      <c r="AH11" s="173">
        <v>7</v>
      </c>
      <c r="AI11" s="173">
        <v>6</v>
      </c>
      <c r="AJ11" s="173">
        <v>8</v>
      </c>
      <c r="AK11" s="173" t="s">
        <v>661</v>
      </c>
      <c r="AL11" s="173">
        <v>9</v>
      </c>
      <c r="AM11" s="173">
        <v>9</v>
      </c>
      <c r="AN11" s="173">
        <v>9</v>
      </c>
      <c r="AO11" s="173" t="s">
        <v>661</v>
      </c>
      <c r="AP1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N</v>
      </c>
      <c r="AS1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1" s="173" t="s">
        <v>992</v>
      </c>
      <c r="AU1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" spans="1:55" x14ac:dyDescent="0.3">
      <c r="A12" s="173" t="s">
        <v>533</v>
      </c>
      <c r="B12" s="173"/>
      <c r="C12" s="171" t="s">
        <v>534</v>
      </c>
      <c r="D12" s="172" t="s">
        <v>84</v>
      </c>
      <c r="E12" s="172" t="s">
        <v>42</v>
      </c>
      <c r="F12" s="117" t="str">
        <f>_xlfn.XLOOKUP(tblF42023[[#This Row],[FULL_NAME]],F6Results_2026[Full_Name],F6Results_2026[Comb],"",0,1)</f>
        <v/>
      </c>
      <c r="G12" s="117"/>
      <c r="H1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" s="173" t="s">
        <v>530</v>
      </c>
      <c r="J12" s="173">
        <v>2025</v>
      </c>
      <c r="K12" s="173" t="s">
        <v>3</v>
      </c>
      <c r="L12" s="173" t="s">
        <v>3</v>
      </c>
      <c r="M12" s="173" t="s">
        <v>3</v>
      </c>
      <c r="N12" s="173" t="s">
        <v>4</v>
      </c>
      <c r="O12" s="173" t="s">
        <v>3</v>
      </c>
      <c r="P12" s="173"/>
      <c r="Q12" s="173"/>
      <c r="R12" s="173"/>
      <c r="S12" s="173"/>
      <c r="T12" s="173" t="s">
        <v>3</v>
      </c>
      <c r="U12" s="173"/>
      <c r="V12" s="173"/>
      <c r="W12" s="173" t="s">
        <v>2</v>
      </c>
      <c r="X12" s="173" t="s">
        <v>4</v>
      </c>
      <c r="Y12" s="173" t="s">
        <v>4</v>
      </c>
      <c r="Z12" s="118" t="s">
        <v>2</v>
      </c>
      <c r="AA12" s="119">
        <f>COUNTIF(tblF42023[[#This Row],[CIV]:[BIBLE]],"A")</f>
        <v>2</v>
      </c>
      <c r="AB12" s="119">
        <v>12</v>
      </c>
      <c r="AC12" s="119" t="s">
        <v>10</v>
      </c>
      <c r="AD12" s="120">
        <v>7</v>
      </c>
      <c r="AE12" s="173">
        <v>6</v>
      </c>
      <c r="AF12" s="173">
        <v>6</v>
      </c>
      <c r="AG12" s="173" t="s">
        <v>661</v>
      </c>
      <c r="AH12" s="173">
        <v>6</v>
      </c>
      <c r="AI12" s="173">
        <v>7</v>
      </c>
      <c r="AJ12" s="173">
        <v>6</v>
      </c>
      <c r="AK12" s="173" t="s">
        <v>661</v>
      </c>
      <c r="AL12" s="173">
        <v>7</v>
      </c>
      <c r="AM12" s="173">
        <v>6</v>
      </c>
      <c r="AN12" s="173" t="s">
        <v>661</v>
      </c>
      <c r="AO12" s="173" t="s">
        <v>661</v>
      </c>
      <c r="AP1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" s="173" t="s">
        <v>991</v>
      </c>
      <c r="AU1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" spans="1:55" x14ac:dyDescent="0.3">
      <c r="A13" s="173" t="s">
        <v>535</v>
      </c>
      <c r="B13" s="173"/>
      <c r="C13" s="171" t="s">
        <v>235</v>
      </c>
      <c r="D13" s="172" t="s">
        <v>84</v>
      </c>
      <c r="E13" s="172" t="s">
        <v>42</v>
      </c>
      <c r="F13" s="117" t="str">
        <f>_xlfn.XLOOKUP(tblF42023[[#This Row],[FULL_NAME]],F6Results_2026[Full_Name],F6Results_2026[Comb],"",0,1)</f>
        <v>PCM</v>
      </c>
      <c r="G13" s="117"/>
      <c r="H1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" s="173" t="s">
        <v>530</v>
      </c>
      <c r="J13" s="173">
        <v>2025</v>
      </c>
      <c r="K13" s="173" t="s">
        <v>2</v>
      </c>
      <c r="L13" s="173" t="s">
        <v>2</v>
      </c>
      <c r="M13" s="173" t="s">
        <v>2</v>
      </c>
      <c r="N13" s="173" t="s">
        <v>2</v>
      </c>
      <c r="O13" s="173" t="s">
        <v>2</v>
      </c>
      <c r="P13" s="173"/>
      <c r="Q13" s="173"/>
      <c r="R13" s="173"/>
      <c r="S13" s="173"/>
      <c r="T13" s="173" t="s">
        <v>2</v>
      </c>
      <c r="U13" s="173" t="s">
        <v>3</v>
      </c>
      <c r="V13" s="173"/>
      <c r="W13" s="173" t="s">
        <v>2</v>
      </c>
      <c r="X13" s="173" t="s">
        <v>2</v>
      </c>
      <c r="Y13" s="173" t="s">
        <v>3</v>
      </c>
      <c r="Z13" s="118"/>
      <c r="AA13" s="119">
        <f>COUNTIF(tblF42023[[#This Row],[CIV]:[BIBLE]],"A")</f>
        <v>8</v>
      </c>
      <c r="AB13" s="119">
        <v>7</v>
      </c>
      <c r="AC13" s="119" t="s">
        <v>10</v>
      </c>
      <c r="AD13" s="120">
        <v>3</v>
      </c>
      <c r="AE13" s="173">
        <v>3</v>
      </c>
      <c r="AF13" s="173">
        <v>3</v>
      </c>
      <c r="AG13" s="173" t="s">
        <v>661</v>
      </c>
      <c r="AH13" s="173">
        <v>3</v>
      </c>
      <c r="AI13" s="173">
        <v>3</v>
      </c>
      <c r="AJ13" s="173">
        <v>3</v>
      </c>
      <c r="AK13" s="173" t="s">
        <v>661</v>
      </c>
      <c r="AL13" s="173">
        <v>4</v>
      </c>
      <c r="AM13" s="173">
        <v>4</v>
      </c>
      <c r="AN13" s="173" t="s">
        <v>661</v>
      </c>
      <c r="AO13" s="173" t="s">
        <v>661</v>
      </c>
      <c r="AP1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" s="173" t="s">
        <v>991</v>
      </c>
      <c r="AU1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" spans="1:55" x14ac:dyDescent="0.3">
      <c r="A14" s="173" t="s">
        <v>536</v>
      </c>
      <c r="B14" s="173"/>
      <c r="C14" s="171" t="s">
        <v>537</v>
      </c>
      <c r="D14" s="172" t="s">
        <v>84</v>
      </c>
      <c r="E14" s="172" t="s">
        <v>42</v>
      </c>
      <c r="F14" s="117" t="str">
        <f>_xlfn.XLOOKUP(tblF42023[[#This Row],[FULL_NAME]],F6Results_2026[Full_Name],F6Results_2026[Comb],"",0,1)</f>
        <v/>
      </c>
      <c r="G14" s="117"/>
      <c r="H1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" s="173" t="s">
        <v>530</v>
      </c>
      <c r="J14" s="173">
        <v>2025</v>
      </c>
      <c r="K14" s="173" t="s">
        <v>3</v>
      </c>
      <c r="L14" s="173" t="s">
        <v>3</v>
      </c>
      <c r="M14" s="173" t="s">
        <v>4</v>
      </c>
      <c r="N14" s="173" t="s">
        <v>3</v>
      </c>
      <c r="O14" s="173" t="s">
        <v>3</v>
      </c>
      <c r="P14" s="173"/>
      <c r="Q14" s="173"/>
      <c r="R14" s="173"/>
      <c r="S14" s="173"/>
      <c r="T14" s="173" t="s">
        <v>3</v>
      </c>
      <c r="U14" s="173"/>
      <c r="V14" s="173" t="s">
        <v>4</v>
      </c>
      <c r="W14" s="173" t="s">
        <v>2</v>
      </c>
      <c r="X14" s="173" t="s">
        <v>3</v>
      </c>
      <c r="Y14" s="173" t="s">
        <v>4</v>
      </c>
      <c r="Z14" s="118"/>
      <c r="AA14" s="119">
        <f>COUNTIF(tblF42023[[#This Row],[CIV]:[BIBLE]],"A")</f>
        <v>1</v>
      </c>
      <c r="AB14" s="119">
        <v>13</v>
      </c>
      <c r="AC14" s="119" t="s">
        <v>10</v>
      </c>
      <c r="AD14" s="120">
        <v>6</v>
      </c>
      <c r="AE14" s="173">
        <v>7</v>
      </c>
      <c r="AF14" s="173">
        <v>6</v>
      </c>
      <c r="AG14" s="173" t="s">
        <v>661</v>
      </c>
      <c r="AH14" s="173">
        <v>7</v>
      </c>
      <c r="AI14" s="173">
        <v>7</v>
      </c>
      <c r="AJ14" s="173">
        <v>7</v>
      </c>
      <c r="AK14" s="173" t="s">
        <v>661</v>
      </c>
      <c r="AL14" s="173">
        <v>6</v>
      </c>
      <c r="AM14" s="173">
        <v>6</v>
      </c>
      <c r="AN14" s="173" t="s">
        <v>661</v>
      </c>
      <c r="AO14" s="173">
        <v>6</v>
      </c>
      <c r="AP1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" s="173" t="s">
        <v>992</v>
      </c>
      <c r="AU1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15" spans="1:55" x14ac:dyDescent="0.3">
      <c r="A15" s="173" t="s">
        <v>538</v>
      </c>
      <c r="B15" s="173"/>
      <c r="C15" s="171" t="s">
        <v>324</v>
      </c>
      <c r="D15" s="172" t="s">
        <v>84</v>
      </c>
      <c r="E15" s="172" t="s">
        <v>42</v>
      </c>
      <c r="F15" s="117" t="str">
        <f>_xlfn.XLOOKUP(tblF42023[[#This Row],[FULL_NAME]],F6Results_2026[Full_Name],F6Results_2026[Comb],"",0,1)</f>
        <v>ECA</v>
      </c>
      <c r="G15" s="117"/>
      <c r="H1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15" s="173" t="s">
        <v>530</v>
      </c>
      <c r="J15" s="173">
        <v>2025</v>
      </c>
      <c r="K15" s="173" t="s">
        <v>3</v>
      </c>
      <c r="L15" s="173" t="s">
        <v>4</v>
      </c>
      <c r="M15" s="173" t="s">
        <v>3</v>
      </c>
      <c r="N15" s="173" t="s">
        <v>3</v>
      </c>
      <c r="O15" s="173" t="s">
        <v>3</v>
      </c>
      <c r="P15" s="173"/>
      <c r="Q15" s="173" t="s">
        <v>2</v>
      </c>
      <c r="R15" s="173" t="s">
        <v>4</v>
      </c>
      <c r="S15" s="173" t="s">
        <v>3</v>
      </c>
      <c r="T15" s="173" t="s">
        <v>2</v>
      </c>
      <c r="U15" s="173"/>
      <c r="V15" s="173"/>
      <c r="W15" s="173"/>
      <c r="X15" s="173" t="s">
        <v>4</v>
      </c>
      <c r="Y15" s="173"/>
      <c r="Z15" s="118"/>
      <c r="AA15" s="119">
        <f>COUNTIF(tblF42023[[#This Row],[CIV]:[BIBLE]],"A")</f>
        <v>2</v>
      </c>
      <c r="AB15" s="119">
        <v>12</v>
      </c>
      <c r="AC15" s="119" t="s">
        <v>10</v>
      </c>
      <c r="AD15" s="120">
        <v>7</v>
      </c>
      <c r="AE15" s="173">
        <v>6</v>
      </c>
      <c r="AF15" s="173" t="s">
        <v>661</v>
      </c>
      <c r="AG15" s="173">
        <v>4</v>
      </c>
      <c r="AH15" s="173">
        <v>7</v>
      </c>
      <c r="AI15" s="173">
        <v>7</v>
      </c>
      <c r="AJ15" s="173">
        <v>4</v>
      </c>
      <c r="AK15" s="173">
        <v>5</v>
      </c>
      <c r="AL15" s="173" t="s">
        <v>661</v>
      </c>
      <c r="AM15" s="173" t="s">
        <v>661</v>
      </c>
      <c r="AN15" s="173" t="s">
        <v>661</v>
      </c>
      <c r="AO15" s="173" t="s">
        <v>661</v>
      </c>
      <c r="AP1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5" s="173" t="s">
        <v>992</v>
      </c>
      <c r="AU1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Y</v>
      </c>
      <c r="AX1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" spans="1:55" x14ac:dyDescent="0.3">
      <c r="A16" s="173" t="s">
        <v>539</v>
      </c>
      <c r="B16" s="173"/>
      <c r="C16" s="171" t="s">
        <v>318</v>
      </c>
      <c r="D16" s="172" t="s">
        <v>84</v>
      </c>
      <c r="E16" s="172" t="s">
        <v>42</v>
      </c>
      <c r="F16" s="117" t="str">
        <f>_xlfn.XLOOKUP(tblF42023[[#This Row],[FULL_NAME]],F6Results_2026[Full_Name],F6Results_2026[Comb],"",0,1)</f>
        <v>ECA</v>
      </c>
      <c r="G16" s="117"/>
      <c r="H1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16" s="173" t="s">
        <v>530</v>
      </c>
      <c r="J16" s="173">
        <v>2025</v>
      </c>
      <c r="K16" s="173" t="s">
        <v>2</v>
      </c>
      <c r="L16" s="173" t="s">
        <v>2</v>
      </c>
      <c r="M16" s="173" t="s">
        <v>3</v>
      </c>
      <c r="N16" s="173" t="s">
        <v>2</v>
      </c>
      <c r="O16" s="173" t="s">
        <v>2</v>
      </c>
      <c r="P16" s="173" t="s">
        <v>3</v>
      </c>
      <c r="Q16" s="173" t="s">
        <v>3</v>
      </c>
      <c r="R16" s="173" t="s">
        <v>3</v>
      </c>
      <c r="S16" s="173"/>
      <c r="T16" s="173" t="s">
        <v>4</v>
      </c>
      <c r="U16" s="173"/>
      <c r="V16" s="173"/>
      <c r="W16" s="173"/>
      <c r="X16" s="173" t="s">
        <v>3</v>
      </c>
      <c r="Y16" s="173"/>
      <c r="Z16" s="118"/>
      <c r="AA16" s="119">
        <f>COUNTIF(tblF42023[[#This Row],[CIV]:[BIBLE]],"A")</f>
        <v>4</v>
      </c>
      <c r="AB16" s="119">
        <v>10</v>
      </c>
      <c r="AC16" s="119" t="s">
        <v>10</v>
      </c>
      <c r="AD16" s="120">
        <v>3</v>
      </c>
      <c r="AE16" s="173">
        <v>6</v>
      </c>
      <c r="AF16" s="173" t="s">
        <v>661</v>
      </c>
      <c r="AG16" s="173" t="s">
        <v>661</v>
      </c>
      <c r="AH16" s="173">
        <v>4</v>
      </c>
      <c r="AI16" s="173">
        <v>4</v>
      </c>
      <c r="AJ16" s="173">
        <v>8</v>
      </c>
      <c r="AK16" s="173">
        <v>7</v>
      </c>
      <c r="AL16" s="173" t="s">
        <v>661</v>
      </c>
      <c r="AM16" s="173" t="s">
        <v>661</v>
      </c>
      <c r="AN16" s="173" t="s">
        <v>661</v>
      </c>
      <c r="AO16" s="173" t="s">
        <v>661</v>
      </c>
      <c r="AP1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" s="173" t="s">
        <v>991</v>
      </c>
      <c r="AU1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" spans="1:53" x14ac:dyDescent="0.3">
      <c r="A17" s="173" t="s">
        <v>540</v>
      </c>
      <c r="B17" s="173"/>
      <c r="C17" s="171" t="s">
        <v>320</v>
      </c>
      <c r="D17" s="172" t="s">
        <v>84</v>
      </c>
      <c r="E17" s="172" t="s">
        <v>42</v>
      </c>
      <c r="F17" s="117" t="str">
        <f>_xlfn.XLOOKUP(tblF42023[[#This Row],[FULL_NAME]],F6Results_2026[Full_Name],F6Results_2026[Comb],"",0,1)</f>
        <v>ECA</v>
      </c>
      <c r="G17" s="117"/>
      <c r="H1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17" s="173" t="s">
        <v>530</v>
      </c>
      <c r="J17" s="173">
        <v>2025</v>
      </c>
      <c r="K17" s="173" t="s">
        <v>3</v>
      </c>
      <c r="L17" s="173" t="s">
        <v>4</v>
      </c>
      <c r="M17" s="173" t="s">
        <v>4</v>
      </c>
      <c r="N17" s="173" t="s">
        <v>3</v>
      </c>
      <c r="O17" s="173" t="s">
        <v>4</v>
      </c>
      <c r="P17" s="173" t="s">
        <v>4</v>
      </c>
      <c r="Q17" s="173" t="s">
        <v>3</v>
      </c>
      <c r="R17" s="173" t="s">
        <v>4</v>
      </c>
      <c r="S17" s="173"/>
      <c r="T17" s="173" t="s">
        <v>4</v>
      </c>
      <c r="U17" s="173"/>
      <c r="V17" s="173"/>
      <c r="W17" s="173"/>
      <c r="X17" s="173" t="s">
        <v>4</v>
      </c>
      <c r="Y17" s="173"/>
      <c r="Z17" s="118"/>
      <c r="AA17" s="119">
        <f>COUNTIF(tblF42023[[#This Row],[CIV]:[BIBLE]],"A")</f>
        <v>0</v>
      </c>
      <c r="AB17" s="119">
        <v>18</v>
      </c>
      <c r="AC17" s="119" t="s">
        <v>11</v>
      </c>
      <c r="AD17" s="120">
        <v>8</v>
      </c>
      <c r="AE17" s="173">
        <v>9</v>
      </c>
      <c r="AF17" s="173" t="s">
        <v>661</v>
      </c>
      <c r="AG17" s="173" t="s">
        <v>661</v>
      </c>
      <c r="AH17" s="173">
        <v>9</v>
      </c>
      <c r="AI17" s="173">
        <v>8</v>
      </c>
      <c r="AJ17" s="173">
        <v>9</v>
      </c>
      <c r="AK17" s="173">
        <v>8</v>
      </c>
      <c r="AL17" s="173" t="s">
        <v>661</v>
      </c>
      <c r="AM17" s="173" t="s">
        <v>661</v>
      </c>
      <c r="AN17" s="173" t="s">
        <v>661</v>
      </c>
      <c r="AO17" s="173" t="s">
        <v>661</v>
      </c>
      <c r="AP1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" s="173" t="s">
        <v>992</v>
      </c>
      <c r="AU1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" spans="1:53" x14ac:dyDescent="0.3">
      <c r="A18" s="173" t="s">
        <v>541</v>
      </c>
      <c r="B18" s="173"/>
      <c r="C18" s="171" t="s">
        <v>294</v>
      </c>
      <c r="D18" s="172" t="s">
        <v>84</v>
      </c>
      <c r="E18" s="172" t="s">
        <v>42</v>
      </c>
      <c r="F18" s="117" t="str">
        <f>_xlfn.XLOOKUP(tblF42023[[#This Row],[FULL_NAME]],F6Results_2026[Full_Name],F6Results_2026[Comb],"",0,1)</f>
        <v>PCB</v>
      </c>
      <c r="G18" s="117"/>
      <c r="H1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" s="173" t="s">
        <v>530</v>
      </c>
      <c r="J18" s="173">
        <v>2025</v>
      </c>
      <c r="K18" s="173" t="s">
        <v>3</v>
      </c>
      <c r="L18" s="173" t="s">
        <v>3</v>
      </c>
      <c r="M18" s="173" t="s">
        <v>2</v>
      </c>
      <c r="N18" s="173" t="s">
        <v>3</v>
      </c>
      <c r="O18" s="173" t="s">
        <v>3</v>
      </c>
      <c r="P18" s="173"/>
      <c r="Q18" s="173"/>
      <c r="R18" s="173"/>
      <c r="S18" s="173"/>
      <c r="T18" s="173" t="s">
        <v>4</v>
      </c>
      <c r="U18" s="173"/>
      <c r="V18" s="173" t="s">
        <v>4</v>
      </c>
      <c r="W18" s="173" t="s">
        <v>3</v>
      </c>
      <c r="X18" s="173" t="s">
        <v>2</v>
      </c>
      <c r="Y18" s="173" t="s">
        <v>4</v>
      </c>
      <c r="Z18" s="118"/>
      <c r="AA18" s="119">
        <f>COUNTIF(tblF42023[[#This Row],[CIV]:[BIBLE]],"A")</f>
        <v>2</v>
      </c>
      <c r="AB18" s="119">
        <v>12</v>
      </c>
      <c r="AC18" s="119" t="s">
        <v>10</v>
      </c>
      <c r="AD18" s="120">
        <v>6</v>
      </c>
      <c r="AE18" s="173">
        <v>6</v>
      </c>
      <c r="AF18" s="173">
        <v>4</v>
      </c>
      <c r="AG18" s="173" t="s">
        <v>661</v>
      </c>
      <c r="AH18" s="173">
        <v>5</v>
      </c>
      <c r="AI18" s="173">
        <v>5</v>
      </c>
      <c r="AJ18" s="173">
        <v>7</v>
      </c>
      <c r="AK18" s="173" t="s">
        <v>661</v>
      </c>
      <c r="AL18" s="173">
        <v>6</v>
      </c>
      <c r="AM18" s="173">
        <v>8</v>
      </c>
      <c r="AN18" s="173" t="s">
        <v>661</v>
      </c>
      <c r="AO18" s="173">
        <v>6</v>
      </c>
      <c r="AP1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" s="173" t="s">
        <v>991</v>
      </c>
      <c r="AU1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19" spans="1:53" x14ac:dyDescent="0.3">
      <c r="A19" s="173" t="s">
        <v>542</v>
      </c>
      <c r="B19" s="173"/>
      <c r="C19" s="171" t="s">
        <v>543</v>
      </c>
      <c r="D19" s="172" t="s">
        <v>84</v>
      </c>
      <c r="E19" s="172" t="s">
        <v>42</v>
      </c>
      <c r="F19" s="117" t="str">
        <f>_xlfn.XLOOKUP(tblF42023[[#This Row],[FULL_NAME]],F6Results_2026[Full_Name],F6Results_2026[Comb],"",0,1)</f>
        <v/>
      </c>
      <c r="G19" s="117"/>
      <c r="H1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" s="173" t="s">
        <v>530</v>
      </c>
      <c r="J19" s="173">
        <v>2025</v>
      </c>
      <c r="K19" s="173" t="s">
        <v>2</v>
      </c>
      <c r="L19" s="173" t="s">
        <v>2</v>
      </c>
      <c r="M19" s="173" t="s">
        <v>2</v>
      </c>
      <c r="N19" s="173" t="s">
        <v>3</v>
      </c>
      <c r="O19" s="173" t="s">
        <v>3</v>
      </c>
      <c r="P19" s="173"/>
      <c r="Q19" s="173"/>
      <c r="R19" s="173"/>
      <c r="S19" s="173" t="s">
        <v>3</v>
      </c>
      <c r="T19" s="173" t="s">
        <v>2</v>
      </c>
      <c r="U19" s="173"/>
      <c r="V19" s="173"/>
      <c r="W19" s="173" t="s">
        <v>3</v>
      </c>
      <c r="X19" s="173" t="s">
        <v>4</v>
      </c>
      <c r="Y19" s="173" t="s">
        <v>4</v>
      </c>
      <c r="Z19" s="118"/>
      <c r="AA19" s="119">
        <f>COUNTIF(tblF42023[[#This Row],[CIV]:[BIBLE]],"A")</f>
        <v>4</v>
      </c>
      <c r="AB19" s="119">
        <v>10</v>
      </c>
      <c r="AC19" s="119" t="s">
        <v>10</v>
      </c>
      <c r="AD19" s="120">
        <v>5</v>
      </c>
      <c r="AE19" s="173">
        <v>3</v>
      </c>
      <c r="AF19" s="173">
        <v>6</v>
      </c>
      <c r="AG19" s="173">
        <v>4</v>
      </c>
      <c r="AH19" s="173">
        <v>4</v>
      </c>
      <c r="AI19" s="173">
        <v>4</v>
      </c>
      <c r="AJ19" s="173">
        <v>3</v>
      </c>
      <c r="AK19" s="173" t="s">
        <v>661</v>
      </c>
      <c r="AL19" s="173">
        <v>8</v>
      </c>
      <c r="AM19" s="173">
        <v>6</v>
      </c>
      <c r="AN19" s="173">
        <v>6</v>
      </c>
      <c r="AO19" s="173" t="s">
        <v>661</v>
      </c>
      <c r="AP1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9" s="173" t="s">
        <v>991</v>
      </c>
      <c r="AU1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" spans="1:53" x14ac:dyDescent="0.3">
      <c r="A20" s="173" t="s">
        <v>544</v>
      </c>
      <c r="B20" s="173"/>
      <c r="C20" s="171" t="s">
        <v>83</v>
      </c>
      <c r="D20" s="172" t="s">
        <v>84</v>
      </c>
      <c r="E20" s="172" t="s">
        <v>42</v>
      </c>
      <c r="F20" s="117" t="str">
        <f>_xlfn.XLOOKUP(tblF42023[[#This Row],[FULL_NAME]],F6Results_2026[Full_Name],F6Results_2026[Comb],"",0,1)</f>
        <v>HGL</v>
      </c>
      <c r="G20" s="117"/>
      <c r="H2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20" s="173" t="s">
        <v>530</v>
      </c>
      <c r="J20" s="173">
        <v>2025</v>
      </c>
      <c r="K20" s="173" t="s">
        <v>2</v>
      </c>
      <c r="L20" s="173" t="s">
        <v>3</v>
      </c>
      <c r="M20" s="173" t="s">
        <v>3</v>
      </c>
      <c r="N20" s="173" t="s">
        <v>3</v>
      </c>
      <c r="O20" s="173" t="s">
        <v>3</v>
      </c>
      <c r="P20" s="173"/>
      <c r="Q20" s="173" t="s">
        <v>4</v>
      </c>
      <c r="R20" s="173" t="s">
        <v>4</v>
      </c>
      <c r="S20" s="173" t="s">
        <v>4</v>
      </c>
      <c r="T20" s="173" t="s">
        <v>4</v>
      </c>
      <c r="U20" s="173"/>
      <c r="V20" s="173"/>
      <c r="W20" s="173"/>
      <c r="X20" s="173" t="s">
        <v>4</v>
      </c>
      <c r="Y20" s="173"/>
      <c r="Z20" s="118"/>
      <c r="AA20" s="119">
        <f>COUNTIF(tblF42023[[#This Row],[CIV]:[BIBLE]],"A")</f>
        <v>1</v>
      </c>
      <c r="AB20" s="119">
        <v>15</v>
      </c>
      <c r="AC20" s="119" t="s">
        <v>10</v>
      </c>
      <c r="AD20" s="120">
        <v>6</v>
      </c>
      <c r="AE20" s="173">
        <v>7</v>
      </c>
      <c r="AF20" s="173" t="s">
        <v>661</v>
      </c>
      <c r="AG20" s="173">
        <v>9</v>
      </c>
      <c r="AH20" s="173">
        <v>6</v>
      </c>
      <c r="AI20" s="173">
        <v>6</v>
      </c>
      <c r="AJ20" s="173">
        <v>8</v>
      </c>
      <c r="AK20" s="173">
        <v>9</v>
      </c>
      <c r="AL20" s="173" t="s">
        <v>661</v>
      </c>
      <c r="AM20" s="173" t="s">
        <v>661</v>
      </c>
      <c r="AN20" s="173" t="s">
        <v>661</v>
      </c>
      <c r="AO20" s="173" t="s">
        <v>661</v>
      </c>
      <c r="AP2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2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20" s="173" t="s">
        <v>991</v>
      </c>
      <c r="AU2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2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2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2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1" spans="1:53" x14ac:dyDescent="0.3">
      <c r="A21" s="173" t="s">
        <v>545</v>
      </c>
      <c r="B21" s="173"/>
      <c r="C21" s="171" t="s">
        <v>546</v>
      </c>
      <c r="D21" s="172" t="s">
        <v>84</v>
      </c>
      <c r="E21" s="172" t="s">
        <v>42</v>
      </c>
      <c r="F21" s="117" t="str">
        <f>_xlfn.XLOOKUP(tblF42023[[#This Row],[FULL_NAME]],F6Results_2026[Full_Name],F6Results_2026[Comb],"",0,1)</f>
        <v/>
      </c>
      <c r="G21" s="117"/>
      <c r="H2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1" s="173" t="s">
        <v>530</v>
      </c>
      <c r="J21" s="173">
        <v>2025</v>
      </c>
      <c r="K21" s="173" t="s">
        <v>2</v>
      </c>
      <c r="L21" s="173" t="s">
        <v>3</v>
      </c>
      <c r="M21" s="173" t="s">
        <v>2</v>
      </c>
      <c r="N21" s="173" t="s">
        <v>2</v>
      </c>
      <c r="O21" s="173" t="s">
        <v>3</v>
      </c>
      <c r="P21" s="173"/>
      <c r="Q21" s="173"/>
      <c r="R21" s="173"/>
      <c r="S21" s="173"/>
      <c r="T21" s="173" t="s">
        <v>3</v>
      </c>
      <c r="U21" s="173"/>
      <c r="V21" s="173" t="s">
        <v>3</v>
      </c>
      <c r="W21" s="173" t="s">
        <v>2</v>
      </c>
      <c r="X21" s="173" t="s">
        <v>2</v>
      </c>
      <c r="Y21" s="173" t="s">
        <v>4</v>
      </c>
      <c r="Z21" s="118"/>
      <c r="AA21" s="119">
        <f>COUNTIF(tblF42023[[#This Row],[CIV]:[BIBLE]],"A")</f>
        <v>5</v>
      </c>
      <c r="AB21" s="119">
        <v>9</v>
      </c>
      <c r="AC21" s="119" t="s">
        <v>10</v>
      </c>
      <c r="AD21" s="120">
        <v>5</v>
      </c>
      <c r="AE21" s="173">
        <v>5</v>
      </c>
      <c r="AF21" s="173">
        <v>3</v>
      </c>
      <c r="AG21" s="173" t="s">
        <v>661</v>
      </c>
      <c r="AH21" s="173">
        <v>5</v>
      </c>
      <c r="AI21" s="173">
        <v>4</v>
      </c>
      <c r="AJ21" s="173">
        <v>5</v>
      </c>
      <c r="AK21" s="173" t="s">
        <v>661</v>
      </c>
      <c r="AL21" s="173">
        <v>5</v>
      </c>
      <c r="AM21" s="173">
        <v>6</v>
      </c>
      <c r="AN21" s="173" t="s">
        <v>661</v>
      </c>
      <c r="AO21" s="173">
        <v>4</v>
      </c>
      <c r="AP2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1" s="173" t="s">
        <v>991</v>
      </c>
      <c r="AU2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22" spans="1:53" x14ac:dyDescent="0.3">
      <c r="A22" s="173" t="s">
        <v>547</v>
      </c>
      <c r="B22" s="173"/>
      <c r="C22" s="171" t="s">
        <v>548</v>
      </c>
      <c r="D22" s="172" t="s">
        <v>84</v>
      </c>
      <c r="E22" s="172" t="s">
        <v>42</v>
      </c>
      <c r="F22" s="117" t="str">
        <f>_xlfn.XLOOKUP(tblF42023[[#This Row],[FULL_NAME]],F6Results_2026[Full_Name],F6Results_2026[Comb],"",0,1)</f>
        <v/>
      </c>
      <c r="G22" s="117"/>
      <c r="H2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22" s="173" t="s">
        <v>530</v>
      </c>
      <c r="J22" s="173">
        <v>2025</v>
      </c>
      <c r="K22" s="173" t="s">
        <v>3</v>
      </c>
      <c r="L22" s="173" t="s">
        <v>4</v>
      </c>
      <c r="M22" s="173" t="s">
        <v>4</v>
      </c>
      <c r="N22" s="173" t="s">
        <v>3</v>
      </c>
      <c r="O22" s="173" t="s">
        <v>4</v>
      </c>
      <c r="P22" s="173" t="s">
        <v>5</v>
      </c>
      <c r="Q22" s="173"/>
      <c r="R22" s="173"/>
      <c r="S22" s="173"/>
      <c r="T22" s="173" t="s">
        <v>8</v>
      </c>
      <c r="U22" s="173"/>
      <c r="V22" s="173"/>
      <c r="W22" s="173"/>
      <c r="X22" s="173" t="s">
        <v>4</v>
      </c>
      <c r="Y22" s="173"/>
      <c r="Z22" s="118" t="s">
        <v>3</v>
      </c>
      <c r="AA22" s="119">
        <f>COUNTIF(tblF42023[[#This Row],[CIV]:[BIBLE]],"A")</f>
        <v>0</v>
      </c>
      <c r="AB22" s="119">
        <v>18</v>
      </c>
      <c r="AC22" s="119" t="s">
        <v>11</v>
      </c>
      <c r="AD22" s="120">
        <v>8</v>
      </c>
      <c r="AE22" s="173">
        <v>11</v>
      </c>
      <c r="AF22" s="173" t="s">
        <v>661</v>
      </c>
      <c r="AG22" s="173" t="s">
        <v>661</v>
      </c>
      <c r="AH22" s="173">
        <v>9</v>
      </c>
      <c r="AI22" s="173">
        <v>8</v>
      </c>
      <c r="AJ22" s="173">
        <v>13</v>
      </c>
      <c r="AK22" s="173" t="s">
        <v>661</v>
      </c>
      <c r="AL22" s="173" t="s">
        <v>661</v>
      </c>
      <c r="AM22" s="173" t="s">
        <v>661</v>
      </c>
      <c r="AN22" s="173" t="s">
        <v>661</v>
      </c>
      <c r="AO22" s="173" t="s">
        <v>661</v>
      </c>
      <c r="AP2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2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2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2" s="173" t="s">
        <v>992</v>
      </c>
      <c r="AU2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2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2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2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3" spans="1:53" x14ac:dyDescent="0.3">
      <c r="A23" s="173" t="s">
        <v>549</v>
      </c>
      <c r="B23" s="173"/>
      <c r="C23" s="171" t="s">
        <v>185</v>
      </c>
      <c r="D23" s="172" t="s">
        <v>84</v>
      </c>
      <c r="E23" s="172" t="s">
        <v>42</v>
      </c>
      <c r="F23" s="117" t="str">
        <f>_xlfn.XLOOKUP(tblF42023[[#This Row],[FULL_NAME]],F6Results_2026[Full_Name],F6Results_2026[Comb],"",0,1)</f>
        <v>EGM</v>
      </c>
      <c r="G23" s="117"/>
      <c r="H2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3" s="173" t="s">
        <v>530</v>
      </c>
      <c r="J23" s="173">
        <v>2025</v>
      </c>
      <c r="K23" s="173" t="s">
        <v>3</v>
      </c>
      <c r="L23" s="173" t="s">
        <v>2</v>
      </c>
      <c r="M23" s="173" t="s">
        <v>2</v>
      </c>
      <c r="N23" s="173" t="s">
        <v>2</v>
      </c>
      <c r="O23" s="173" t="s">
        <v>3</v>
      </c>
      <c r="P23" s="173"/>
      <c r="Q23" s="173"/>
      <c r="R23" s="173"/>
      <c r="S23" s="173"/>
      <c r="T23" s="173" t="s">
        <v>3</v>
      </c>
      <c r="U23" s="173"/>
      <c r="V23" s="173" t="s">
        <v>3</v>
      </c>
      <c r="W23" s="173" t="s">
        <v>3</v>
      </c>
      <c r="X23" s="173" t="s">
        <v>3</v>
      </c>
      <c r="Y23" s="173" t="s">
        <v>4</v>
      </c>
      <c r="Z23" s="118"/>
      <c r="AA23" s="119">
        <f>COUNTIF(tblF42023[[#This Row],[CIV]:[BIBLE]],"A")</f>
        <v>3</v>
      </c>
      <c r="AB23" s="119">
        <v>11</v>
      </c>
      <c r="AC23" s="119" t="s">
        <v>10</v>
      </c>
      <c r="AD23" s="120">
        <v>4</v>
      </c>
      <c r="AE23" s="173">
        <v>4</v>
      </c>
      <c r="AF23" s="173">
        <v>5</v>
      </c>
      <c r="AG23" s="173" t="s">
        <v>661</v>
      </c>
      <c r="AH23" s="173">
        <v>4</v>
      </c>
      <c r="AI23" s="173">
        <v>3</v>
      </c>
      <c r="AJ23" s="173">
        <v>5</v>
      </c>
      <c r="AK23" s="173" t="s">
        <v>661</v>
      </c>
      <c r="AL23" s="173">
        <v>7</v>
      </c>
      <c r="AM23" s="173">
        <v>7</v>
      </c>
      <c r="AN23" s="173" t="s">
        <v>661</v>
      </c>
      <c r="AO23" s="173">
        <v>6</v>
      </c>
      <c r="AP2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3" s="173" t="s">
        <v>991</v>
      </c>
      <c r="AU2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24" spans="1:53" x14ac:dyDescent="0.3">
      <c r="A24" s="173" t="s">
        <v>550</v>
      </c>
      <c r="B24" s="173"/>
      <c r="C24" s="171" t="s">
        <v>329</v>
      </c>
      <c r="D24" s="172" t="s">
        <v>84</v>
      </c>
      <c r="E24" s="172" t="s">
        <v>42</v>
      </c>
      <c r="F24" s="117" t="str">
        <f>_xlfn.XLOOKUP(tblF42023[[#This Row],[FULL_NAME]],F6Results_2026[Full_Name],F6Results_2026[Comb],"",0,1)</f>
        <v>CBA</v>
      </c>
      <c r="G24" s="117"/>
      <c r="H2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4" s="173" t="s">
        <v>530</v>
      </c>
      <c r="J24" s="173">
        <v>2025</v>
      </c>
      <c r="K24" s="173" t="s">
        <v>3</v>
      </c>
      <c r="L24" s="173" t="s">
        <v>3</v>
      </c>
      <c r="M24" s="173" t="s">
        <v>3</v>
      </c>
      <c r="N24" s="173" t="s">
        <v>2</v>
      </c>
      <c r="O24" s="173" t="s">
        <v>4</v>
      </c>
      <c r="P24" s="173"/>
      <c r="Q24" s="173"/>
      <c r="R24" s="173"/>
      <c r="S24" s="173"/>
      <c r="T24" s="173" t="s">
        <v>3</v>
      </c>
      <c r="U24" s="173"/>
      <c r="V24" s="173" t="s">
        <v>4</v>
      </c>
      <c r="W24" s="173" t="s">
        <v>3</v>
      </c>
      <c r="X24" s="173" t="s">
        <v>3</v>
      </c>
      <c r="Y24" s="173" t="s">
        <v>4</v>
      </c>
      <c r="Z24" s="118"/>
      <c r="AA24" s="119">
        <f>COUNTIF(tblF42023[[#This Row],[CIV]:[BIBLE]],"A")</f>
        <v>1</v>
      </c>
      <c r="AB24" s="119">
        <v>13</v>
      </c>
      <c r="AC24" s="119" t="s">
        <v>10</v>
      </c>
      <c r="AD24" s="120">
        <v>6</v>
      </c>
      <c r="AE24" s="173">
        <v>6</v>
      </c>
      <c r="AF24" s="173">
        <v>6</v>
      </c>
      <c r="AG24" s="173" t="s">
        <v>661</v>
      </c>
      <c r="AH24" s="173">
        <v>7</v>
      </c>
      <c r="AI24" s="173">
        <v>5</v>
      </c>
      <c r="AJ24" s="173">
        <v>6</v>
      </c>
      <c r="AK24" s="173" t="s">
        <v>661</v>
      </c>
      <c r="AL24" s="173">
        <v>7</v>
      </c>
      <c r="AM24" s="173">
        <v>7</v>
      </c>
      <c r="AN24" s="173" t="s">
        <v>661</v>
      </c>
      <c r="AO24" s="173">
        <v>7</v>
      </c>
      <c r="AP2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4" s="173" t="s">
        <v>992</v>
      </c>
      <c r="AU2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25" spans="1:53" x14ac:dyDescent="0.3">
      <c r="A25" s="173" t="s">
        <v>551</v>
      </c>
      <c r="B25" s="173"/>
      <c r="C25" s="171" t="s">
        <v>552</v>
      </c>
      <c r="D25" s="172" t="s">
        <v>84</v>
      </c>
      <c r="E25" s="172" t="s">
        <v>42</v>
      </c>
      <c r="F25" s="117" t="str">
        <f>_xlfn.XLOOKUP(tblF42023[[#This Row],[FULL_NAME]],F6Results_2026[Full_Name],F6Results_2026[Comb],"",0,1)</f>
        <v/>
      </c>
      <c r="G25" s="117"/>
      <c r="H2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25" s="173" t="s">
        <v>530</v>
      </c>
      <c r="J25" s="173">
        <v>2025</v>
      </c>
      <c r="K25" s="173" t="s">
        <v>3</v>
      </c>
      <c r="L25" s="173" t="s">
        <v>4</v>
      </c>
      <c r="M25" s="173" t="s">
        <v>4</v>
      </c>
      <c r="N25" s="173" t="s">
        <v>4</v>
      </c>
      <c r="O25" s="173" t="s">
        <v>4</v>
      </c>
      <c r="P25" s="173" t="s">
        <v>5</v>
      </c>
      <c r="Q25" s="173"/>
      <c r="R25" s="173"/>
      <c r="S25" s="173"/>
      <c r="T25" s="173" t="s">
        <v>5</v>
      </c>
      <c r="U25" s="173"/>
      <c r="V25" s="173"/>
      <c r="W25" s="173"/>
      <c r="X25" s="173" t="s">
        <v>4</v>
      </c>
      <c r="Y25" s="173"/>
      <c r="Z25" s="118" t="s">
        <v>3</v>
      </c>
      <c r="AA25" s="119">
        <f>COUNTIF(tblF42023[[#This Row],[CIV]:[BIBLE]],"A")</f>
        <v>0</v>
      </c>
      <c r="AB25" s="119">
        <v>19</v>
      </c>
      <c r="AC25" s="119" t="s">
        <v>11</v>
      </c>
      <c r="AD25" s="120">
        <v>9</v>
      </c>
      <c r="AE25" s="173">
        <v>10</v>
      </c>
      <c r="AF25" s="173" t="s">
        <v>661</v>
      </c>
      <c r="AG25" s="173" t="s">
        <v>661</v>
      </c>
      <c r="AH25" s="173">
        <v>9</v>
      </c>
      <c r="AI25" s="173">
        <v>9</v>
      </c>
      <c r="AJ25" s="173">
        <v>11</v>
      </c>
      <c r="AK25" s="173" t="s">
        <v>661</v>
      </c>
      <c r="AL25" s="173" t="s">
        <v>661</v>
      </c>
      <c r="AM25" s="173" t="s">
        <v>661</v>
      </c>
      <c r="AN25" s="173" t="s">
        <v>661</v>
      </c>
      <c r="AO25" s="173" t="s">
        <v>661</v>
      </c>
      <c r="AP2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2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2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5" s="173" t="s">
        <v>992</v>
      </c>
      <c r="AU2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2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2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2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6" spans="1:53" x14ac:dyDescent="0.3">
      <c r="A26" s="173" t="s">
        <v>553</v>
      </c>
      <c r="B26" s="173"/>
      <c r="C26" s="171" t="s">
        <v>554</v>
      </c>
      <c r="D26" s="172" t="s">
        <v>84</v>
      </c>
      <c r="E26" s="172" t="s">
        <v>42</v>
      </c>
      <c r="F26" s="117" t="str">
        <f>_xlfn.XLOOKUP(tblF42023[[#This Row],[FULL_NAME]],F6Results_2026[Full_Name],F6Results_2026[Comb],"",0,1)</f>
        <v/>
      </c>
      <c r="G26" s="117"/>
      <c r="H2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6" s="173" t="s">
        <v>530</v>
      </c>
      <c r="J26" s="173">
        <v>2025</v>
      </c>
      <c r="K26" s="173" t="s">
        <v>2</v>
      </c>
      <c r="L26" s="173" t="s">
        <v>2</v>
      </c>
      <c r="M26" s="173" t="s">
        <v>2</v>
      </c>
      <c r="N26" s="173" t="s">
        <v>3</v>
      </c>
      <c r="O26" s="173" t="s">
        <v>3</v>
      </c>
      <c r="P26" s="173"/>
      <c r="Q26" s="173"/>
      <c r="R26" s="173"/>
      <c r="S26" s="173"/>
      <c r="T26" s="173" t="s">
        <v>2</v>
      </c>
      <c r="U26" s="173" t="s">
        <v>2</v>
      </c>
      <c r="V26" s="173"/>
      <c r="W26" s="173" t="s">
        <v>2</v>
      </c>
      <c r="X26" s="173" t="s">
        <v>3</v>
      </c>
      <c r="Y26" s="173" t="s">
        <v>2</v>
      </c>
      <c r="Z26" s="118"/>
      <c r="AA26" s="119">
        <f>COUNTIF(tblF42023[[#This Row],[CIV]:[BIBLE]],"A")</f>
        <v>7</v>
      </c>
      <c r="AB26" s="119">
        <v>7</v>
      </c>
      <c r="AC26" s="119" t="s">
        <v>10</v>
      </c>
      <c r="AD26" s="120">
        <v>5</v>
      </c>
      <c r="AE26" s="173">
        <v>3</v>
      </c>
      <c r="AF26" s="173">
        <v>4</v>
      </c>
      <c r="AG26" s="173" t="s">
        <v>661</v>
      </c>
      <c r="AH26" s="173">
        <v>4</v>
      </c>
      <c r="AI26" s="173">
        <v>4</v>
      </c>
      <c r="AJ26" s="173">
        <v>3</v>
      </c>
      <c r="AK26" s="173" t="s">
        <v>661</v>
      </c>
      <c r="AL26" s="173">
        <v>4</v>
      </c>
      <c r="AM26" s="173">
        <v>3</v>
      </c>
      <c r="AN26" s="173" t="s">
        <v>661</v>
      </c>
      <c r="AO26" s="173" t="s">
        <v>661</v>
      </c>
      <c r="AP2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6" s="173" t="s">
        <v>991</v>
      </c>
      <c r="AU2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7" spans="1:53" x14ac:dyDescent="0.3">
      <c r="A27" s="173" t="s">
        <v>555</v>
      </c>
      <c r="B27" s="173"/>
      <c r="C27" s="171" t="s">
        <v>177</v>
      </c>
      <c r="D27" s="172" t="s">
        <v>84</v>
      </c>
      <c r="E27" s="172" t="s">
        <v>42</v>
      </c>
      <c r="F27" s="117" t="str">
        <f>_xlfn.XLOOKUP(tblF42023[[#This Row],[FULL_NAME]],F6Results_2026[Full_Name],F6Results_2026[Comb],"",0,1)</f>
        <v>EGM</v>
      </c>
      <c r="G27" s="117"/>
      <c r="H2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7" s="173" t="s">
        <v>530</v>
      </c>
      <c r="J27" s="173">
        <v>2025</v>
      </c>
      <c r="K27" s="173" t="s">
        <v>2</v>
      </c>
      <c r="L27" s="173" t="s">
        <v>2</v>
      </c>
      <c r="M27" s="173" t="s">
        <v>2</v>
      </c>
      <c r="N27" s="173" t="s">
        <v>2</v>
      </c>
      <c r="O27" s="173" t="s">
        <v>2</v>
      </c>
      <c r="P27" s="173"/>
      <c r="Q27" s="173"/>
      <c r="R27" s="173"/>
      <c r="S27" s="173"/>
      <c r="T27" s="173" t="s">
        <v>2</v>
      </c>
      <c r="U27" s="173" t="s">
        <v>3</v>
      </c>
      <c r="V27" s="173"/>
      <c r="W27" s="173" t="s">
        <v>2</v>
      </c>
      <c r="X27" s="173" t="s">
        <v>3</v>
      </c>
      <c r="Y27" s="173" t="s">
        <v>4</v>
      </c>
      <c r="Z27" s="118"/>
      <c r="AA27" s="119">
        <f>COUNTIF(tblF42023[[#This Row],[CIV]:[BIBLE]],"A")</f>
        <v>7</v>
      </c>
      <c r="AB27" s="119">
        <v>7</v>
      </c>
      <c r="AC27" s="119" t="s">
        <v>10</v>
      </c>
      <c r="AD27" s="120">
        <v>3</v>
      </c>
      <c r="AE27" s="173">
        <v>3</v>
      </c>
      <c r="AF27" s="173">
        <v>4</v>
      </c>
      <c r="AG27" s="173" t="s">
        <v>661</v>
      </c>
      <c r="AH27" s="173">
        <v>3</v>
      </c>
      <c r="AI27" s="173">
        <v>3</v>
      </c>
      <c r="AJ27" s="173">
        <v>3</v>
      </c>
      <c r="AK27" s="173" t="s">
        <v>661</v>
      </c>
      <c r="AL27" s="173">
        <v>6</v>
      </c>
      <c r="AM27" s="173">
        <v>5</v>
      </c>
      <c r="AN27" s="173" t="s">
        <v>661</v>
      </c>
      <c r="AO27" s="173" t="s">
        <v>661</v>
      </c>
      <c r="AP2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7" s="173" t="s">
        <v>991</v>
      </c>
      <c r="AU2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8" spans="1:53" x14ac:dyDescent="0.3">
      <c r="A28" s="173" t="s">
        <v>556</v>
      </c>
      <c r="B28" s="173"/>
      <c r="C28" s="171" t="s">
        <v>557</v>
      </c>
      <c r="D28" s="172" t="s">
        <v>84</v>
      </c>
      <c r="E28" s="172" t="s">
        <v>42</v>
      </c>
      <c r="F28" s="117" t="str">
        <f>_xlfn.XLOOKUP(tblF42023[[#This Row],[FULL_NAME]],F6Results_2026[Full_Name],F6Results_2026[Comb],"",0,1)</f>
        <v/>
      </c>
      <c r="G28" s="117"/>
      <c r="H2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8" s="173" t="s">
        <v>530</v>
      </c>
      <c r="J28" s="173">
        <v>2025</v>
      </c>
      <c r="K28" s="173" t="s">
        <v>2</v>
      </c>
      <c r="L28" s="173" t="s">
        <v>2</v>
      </c>
      <c r="M28" s="173" t="s">
        <v>2</v>
      </c>
      <c r="N28" s="173" t="s">
        <v>2</v>
      </c>
      <c r="O28" s="173" t="s">
        <v>2</v>
      </c>
      <c r="P28" s="173"/>
      <c r="Q28" s="173"/>
      <c r="R28" s="173"/>
      <c r="S28" s="173"/>
      <c r="T28" s="173" t="s">
        <v>2</v>
      </c>
      <c r="U28" s="173" t="s">
        <v>2</v>
      </c>
      <c r="V28" s="173"/>
      <c r="W28" s="173" t="s">
        <v>2</v>
      </c>
      <c r="X28" s="173" t="s">
        <v>2</v>
      </c>
      <c r="Y28" s="173" t="s">
        <v>2</v>
      </c>
      <c r="Z28" s="118"/>
      <c r="AA28" s="119">
        <f>COUNTIF(tblF42023[[#This Row],[CIV]:[BIBLE]],"A")</f>
        <v>10</v>
      </c>
      <c r="AB28" s="119">
        <v>7</v>
      </c>
      <c r="AC28" s="119" t="s">
        <v>10</v>
      </c>
      <c r="AD28" s="120">
        <v>3</v>
      </c>
      <c r="AE28" s="173">
        <v>3</v>
      </c>
      <c r="AF28" s="173">
        <v>3</v>
      </c>
      <c r="AG28" s="173" t="s">
        <v>661</v>
      </c>
      <c r="AH28" s="173">
        <v>3</v>
      </c>
      <c r="AI28" s="173">
        <v>3</v>
      </c>
      <c r="AJ28" s="173">
        <v>3</v>
      </c>
      <c r="AK28" s="173" t="s">
        <v>661</v>
      </c>
      <c r="AL28" s="173">
        <v>3</v>
      </c>
      <c r="AM28" s="173">
        <v>3</v>
      </c>
      <c r="AN28" s="173" t="s">
        <v>661</v>
      </c>
      <c r="AO28" s="173" t="s">
        <v>661</v>
      </c>
      <c r="AP2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8" s="173" t="s">
        <v>991</v>
      </c>
      <c r="AU2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9" spans="1:53" x14ac:dyDescent="0.3">
      <c r="A29" s="173" t="s">
        <v>558</v>
      </c>
      <c r="B29" s="173"/>
      <c r="C29" s="171" t="s">
        <v>342</v>
      </c>
      <c r="D29" s="172" t="s">
        <v>84</v>
      </c>
      <c r="E29" s="172" t="s">
        <v>42</v>
      </c>
      <c r="F29" s="117" t="str">
        <f>_xlfn.XLOOKUP(tblF42023[[#This Row],[FULL_NAME]],F6Results_2026[Full_Name],F6Results_2026[Comb],"",0,1)</f>
        <v>PMCs</v>
      </c>
      <c r="G29" s="117"/>
      <c r="H2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9" s="173" t="s">
        <v>530</v>
      </c>
      <c r="J29" s="173">
        <v>2025</v>
      </c>
      <c r="K29" s="173" t="s">
        <v>2</v>
      </c>
      <c r="L29" s="173" t="s">
        <v>2</v>
      </c>
      <c r="M29" s="173" t="s">
        <v>2</v>
      </c>
      <c r="N29" s="173" t="s">
        <v>3</v>
      </c>
      <c r="O29" s="173" t="s">
        <v>2</v>
      </c>
      <c r="P29" s="173"/>
      <c r="Q29" s="173"/>
      <c r="R29" s="173"/>
      <c r="S29" s="173" t="s">
        <v>3</v>
      </c>
      <c r="T29" s="173" t="s">
        <v>3</v>
      </c>
      <c r="U29" s="173"/>
      <c r="V29" s="173"/>
      <c r="W29" s="173" t="s">
        <v>3</v>
      </c>
      <c r="X29" s="173" t="s">
        <v>2</v>
      </c>
      <c r="Y29" s="173" t="s">
        <v>4</v>
      </c>
      <c r="Z29" s="118"/>
      <c r="AA29" s="119">
        <f>COUNTIF(tblF42023[[#This Row],[CIV]:[BIBLE]],"A")</f>
        <v>5</v>
      </c>
      <c r="AB29" s="119">
        <v>9</v>
      </c>
      <c r="AC29" s="119" t="s">
        <v>10</v>
      </c>
      <c r="AD29" s="120">
        <v>4</v>
      </c>
      <c r="AE29" s="173">
        <v>4</v>
      </c>
      <c r="AF29" s="173">
        <v>4</v>
      </c>
      <c r="AG29" s="173">
        <v>6</v>
      </c>
      <c r="AH29" s="173">
        <v>3</v>
      </c>
      <c r="AI29" s="173">
        <v>4</v>
      </c>
      <c r="AJ29" s="173">
        <v>5</v>
      </c>
      <c r="AK29" s="173" t="s">
        <v>661</v>
      </c>
      <c r="AL29" s="173">
        <v>6</v>
      </c>
      <c r="AM29" s="173">
        <v>7</v>
      </c>
      <c r="AN29" s="173">
        <v>7</v>
      </c>
      <c r="AO29" s="173" t="s">
        <v>661</v>
      </c>
      <c r="AP2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29" s="173" t="s">
        <v>991</v>
      </c>
      <c r="AU2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2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0" spans="1:53" x14ac:dyDescent="0.3">
      <c r="A30" s="173" t="s">
        <v>559</v>
      </c>
      <c r="B30" s="173"/>
      <c r="C30" s="171" t="s">
        <v>191</v>
      </c>
      <c r="D30" s="172" t="s">
        <v>84</v>
      </c>
      <c r="E30" s="172" t="s">
        <v>42</v>
      </c>
      <c r="F30" s="117" t="str">
        <f>_xlfn.XLOOKUP(tblF42023[[#This Row],[FULL_NAME]],F6Results_2026[Full_Name],F6Results_2026[Comb],"",0,1)</f>
        <v>EGM</v>
      </c>
      <c r="G30" s="117"/>
      <c r="H3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30" s="173" t="s">
        <v>530</v>
      </c>
      <c r="J30" s="173">
        <v>2025</v>
      </c>
      <c r="K30" s="173" t="s">
        <v>2</v>
      </c>
      <c r="L30" s="173" t="s">
        <v>3</v>
      </c>
      <c r="M30" s="173" t="s">
        <v>2</v>
      </c>
      <c r="N30" s="173" t="s">
        <v>2</v>
      </c>
      <c r="O30" s="173" t="s">
        <v>3</v>
      </c>
      <c r="P30" s="173"/>
      <c r="Q30" s="173"/>
      <c r="R30" s="173"/>
      <c r="S30" s="173"/>
      <c r="T30" s="173" t="s">
        <v>3</v>
      </c>
      <c r="U30" s="173"/>
      <c r="V30" s="173" t="s">
        <v>4</v>
      </c>
      <c r="W30" s="173" t="s">
        <v>2</v>
      </c>
      <c r="X30" s="173" t="s">
        <v>2</v>
      </c>
      <c r="Y30" s="173" t="s">
        <v>4</v>
      </c>
      <c r="Z30" s="118"/>
      <c r="AA30" s="119">
        <f>COUNTIF(tblF42023[[#This Row],[CIV]:[BIBLE]],"A")</f>
        <v>5</v>
      </c>
      <c r="AB30" s="119">
        <v>9</v>
      </c>
      <c r="AC30" s="119" t="s">
        <v>10</v>
      </c>
      <c r="AD30" s="120">
        <v>5</v>
      </c>
      <c r="AE30" s="173">
        <v>5</v>
      </c>
      <c r="AF30" s="173">
        <v>3</v>
      </c>
      <c r="AG30" s="173" t="s">
        <v>661</v>
      </c>
      <c r="AH30" s="173">
        <v>5</v>
      </c>
      <c r="AI30" s="173">
        <v>4</v>
      </c>
      <c r="AJ30" s="173">
        <v>5</v>
      </c>
      <c r="AK30" s="173" t="s">
        <v>661</v>
      </c>
      <c r="AL30" s="173">
        <v>5</v>
      </c>
      <c r="AM30" s="173">
        <v>6</v>
      </c>
      <c r="AN30" s="173" t="s">
        <v>661</v>
      </c>
      <c r="AO30" s="173">
        <v>5</v>
      </c>
      <c r="AP3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3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3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0" s="173" t="s">
        <v>991</v>
      </c>
      <c r="AU3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3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3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31" spans="1:53" x14ac:dyDescent="0.3">
      <c r="A31" s="173" t="s">
        <v>560</v>
      </c>
      <c r="B31" s="173"/>
      <c r="C31" s="171" t="s">
        <v>165</v>
      </c>
      <c r="D31" s="172" t="s">
        <v>84</v>
      </c>
      <c r="E31" s="172" t="s">
        <v>42</v>
      </c>
      <c r="F31" s="117" t="str">
        <f>_xlfn.XLOOKUP(tblF42023[[#This Row],[FULL_NAME]],F6Results_2026[Full_Name],F6Results_2026[Comb],"",0,1)</f>
        <v>EGM</v>
      </c>
      <c r="G31" s="117"/>
      <c r="H3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31" s="173" t="s">
        <v>530</v>
      </c>
      <c r="J31" s="173">
        <v>2025</v>
      </c>
      <c r="K31" s="173" t="s">
        <v>3</v>
      </c>
      <c r="L31" s="173" t="s">
        <v>4</v>
      </c>
      <c r="M31" s="173" t="s">
        <v>2</v>
      </c>
      <c r="N31" s="173" t="s">
        <v>3</v>
      </c>
      <c r="O31" s="173" t="s">
        <v>4</v>
      </c>
      <c r="P31" s="173"/>
      <c r="Q31" s="173"/>
      <c r="R31" s="173"/>
      <c r="S31" s="173"/>
      <c r="T31" s="173" t="s">
        <v>3</v>
      </c>
      <c r="U31" s="173"/>
      <c r="V31" s="173" t="s">
        <v>4</v>
      </c>
      <c r="W31" s="173" t="s">
        <v>3</v>
      </c>
      <c r="X31" s="173" t="s">
        <v>3</v>
      </c>
      <c r="Y31" s="173" t="s">
        <v>5</v>
      </c>
      <c r="Z31" s="118"/>
      <c r="AA31" s="119">
        <f>COUNTIF(tblF42023[[#This Row],[CIV]:[BIBLE]],"A")</f>
        <v>1</v>
      </c>
      <c r="AB31" s="119">
        <v>14</v>
      </c>
      <c r="AC31" s="119" t="s">
        <v>10</v>
      </c>
      <c r="AD31" s="120">
        <v>8</v>
      </c>
      <c r="AE31" s="173">
        <v>6</v>
      </c>
      <c r="AF31" s="173">
        <v>5</v>
      </c>
      <c r="AG31" s="173" t="s">
        <v>661</v>
      </c>
      <c r="AH31" s="173">
        <v>7</v>
      </c>
      <c r="AI31" s="173">
        <v>6</v>
      </c>
      <c r="AJ31" s="173">
        <v>5</v>
      </c>
      <c r="AK31" s="173" t="s">
        <v>661</v>
      </c>
      <c r="AL31" s="173">
        <v>8</v>
      </c>
      <c r="AM31" s="173">
        <v>8</v>
      </c>
      <c r="AN31" s="173" t="s">
        <v>661</v>
      </c>
      <c r="AO31" s="173">
        <v>7</v>
      </c>
      <c r="AP3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3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3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1" s="173" t="s">
        <v>992</v>
      </c>
      <c r="AU3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3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3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32" spans="1:53" x14ac:dyDescent="0.3">
      <c r="A32" s="173" t="s">
        <v>561</v>
      </c>
      <c r="B32" s="173"/>
      <c r="C32" s="171" t="s">
        <v>562</v>
      </c>
      <c r="D32" s="172" t="s">
        <v>84</v>
      </c>
      <c r="E32" s="172" t="s">
        <v>42</v>
      </c>
      <c r="F32" s="117" t="str">
        <f>_xlfn.XLOOKUP(tblF42023[[#This Row],[FULL_NAME]],F6Results_2026[Full_Name],F6Results_2026[Comb],"",0,1)</f>
        <v/>
      </c>
      <c r="G32" s="117"/>
      <c r="H3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32" s="173" t="s">
        <v>530</v>
      </c>
      <c r="J32" s="173">
        <v>2025</v>
      </c>
      <c r="K32" s="173" t="s">
        <v>4</v>
      </c>
      <c r="L32" s="173" t="s">
        <v>4</v>
      </c>
      <c r="M32" s="173" t="s">
        <v>3</v>
      </c>
      <c r="N32" s="173" t="s">
        <v>4</v>
      </c>
      <c r="O32" s="173" t="s">
        <v>4</v>
      </c>
      <c r="P32" s="173" t="s">
        <v>4</v>
      </c>
      <c r="Q32" s="173"/>
      <c r="R32" s="173"/>
      <c r="S32" s="173"/>
      <c r="T32" s="173" t="s">
        <v>8</v>
      </c>
      <c r="U32" s="173"/>
      <c r="V32" s="173"/>
      <c r="W32" s="173"/>
      <c r="X32" s="173" t="s">
        <v>4</v>
      </c>
      <c r="Y32" s="173"/>
      <c r="Z32" s="118"/>
      <c r="AA32" s="119">
        <f>COUNTIF(tblF42023[[#This Row],[CIV]:[BIBLE]],"A")</f>
        <v>0</v>
      </c>
      <c r="AB32" s="119">
        <v>20</v>
      </c>
      <c r="AC32" s="119" t="s">
        <v>11</v>
      </c>
      <c r="AD32" s="120">
        <v>9</v>
      </c>
      <c r="AE32" s="173">
        <v>10</v>
      </c>
      <c r="AF32" s="173" t="s">
        <v>661</v>
      </c>
      <c r="AG32" s="173" t="s">
        <v>661</v>
      </c>
      <c r="AH32" s="173">
        <v>8</v>
      </c>
      <c r="AI32" s="173">
        <v>8</v>
      </c>
      <c r="AJ32" s="173">
        <v>12</v>
      </c>
      <c r="AK32" s="173" t="s">
        <v>661</v>
      </c>
      <c r="AL32" s="173" t="s">
        <v>661</v>
      </c>
      <c r="AM32" s="173" t="s">
        <v>661</v>
      </c>
      <c r="AN32" s="173" t="s">
        <v>661</v>
      </c>
      <c r="AO32" s="173" t="s">
        <v>661</v>
      </c>
      <c r="AP3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3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3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3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2" s="173" t="s">
        <v>992</v>
      </c>
      <c r="AU3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3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3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3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3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3" spans="1:53" x14ac:dyDescent="0.3">
      <c r="A33" s="173" t="s">
        <v>563</v>
      </c>
      <c r="B33" s="173"/>
      <c r="C33" s="171" t="s">
        <v>218</v>
      </c>
      <c r="D33" s="172" t="s">
        <v>84</v>
      </c>
      <c r="E33" s="172" t="s">
        <v>42</v>
      </c>
      <c r="F33" s="117" t="str">
        <f>_xlfn.XLOOKUP(tblF42023[[#This Row],[FULL_NAME]],F6Results_2026[Full_Name],F6Results_2026[Comb],"",0,1)</f>
        <v>PCM</v>
      </c>
      <c r="G33" s="117"/>
      <c r="H3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33" s="173" t="s">
        <v>530</v>
      </c>
      <c r="J33" s="173">
        <v>2025</v>
      </c>
      <c r="K33" s="173" t="s">
        <v>3</v>
      </c>
      <c r="L33" s="173" t="s">
        <v>2</v>
      </c>
      <c r="M33" s="173" t="s">
        <v>2</v>
      </c>
      <c r="N33" s="173" t="s">
        <v>2</v>
      </c>
      <c r="O33" s="173" t="s">
        <v>2</v>
      </c>
      <c r="P33" s="173"/>
      <c r="Q33" s="173"/>
      <c r="R33" s="173"/>
      <c r="S33" s="173"/>
      <c r="T33" s="173" t="s">
        <v>2</v>
      </c>
      <c r="U33" s="173" t="s">
        <v>3</v>
      </c>
      <c r="V33" s="173"/>
      <c r="W33" s="173" t="s">
        <v>2</v>
      </c>
      <c r="X33" s="173" t="s">
        <v>2</v>
      </c>
      <c r="Y33" s="173" t="s">
        <v>4</v>
      </c>
      <c r="Z33" s="118"/>
      <c r="AA33" s="119">
        <f>COUNTIF(tblF42023[[#This Row],[CIV]:[BIBLE]],"A")</f>
        <v>7</v>
      </c>
      <c r="AB33" s="119">
        <v>7</v>
      </c>
      <c r="AC33" s="119" t="s">
        <v>10</v>
      </c>
      <c r="AD33" s="120">
        <v>3</v>
      </c>
      <c r="AE33" s="173">
        <v>3</v>
      </c>
      <c r="AF33" s="173">
        <v>3</v>
      </c>
      <c r="AG33" s="173" t="s">
        <v>661</v>
      </c>
      <c r="AH33" s="173">
        <v>3</v>
      </c>
      <c r="AI33" s="173">
        <v>3</v>
      </c>
      <c r="AJ33" s="173">
        <v>3</v>
      </c>
      <c r="AK33" s="173" t="s">
        <v>661</v>
      </c>
      <c r="AL33" s="173">
        <v>5</v>
      </c>
      <c r="AM33" s="173">
        <v>5</v>
      </c>
      <c r="AN33" s="173" t="s">
        <v>661</v>
      </c>
      <c r="AO33" s="173" t="s">
        <v>661</v>
      </c>
      <c r="AP3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3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3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3" s="173" t="s">
        <v>991</v>
      </c>
      <c r="AU3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3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3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4" spans="1:53" x14ac:dyDescent="0.3">
      <c r="A34" s="173" t="s">
        <v>564</v>
      </c>
      <c r="B34" s="173"/>
      <c r="C34" s="171" t="s">
        <v>173</v>
      </c>
      <c r="D34" s="172" t="s">
        <v>84</v>
      </c>
      <c r="E34" s="172" t="s">
        <v>42</v>
      </c>
      <c r="F34" s="117" t="str">
        <f>_xlfn.XLOOKUP(tblF42023[[#This Row],[FULL_NAME]],F6Results_2026[Full_Name],F6Results_2026[Comb],"",0,1)</f>
        <v>EGM</v>
      </c>
      <c r="G34" s="117"/>
      <c r="H3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34" s="173" t="s">
        <v>530</v>
      </c>
      <c r="J34" s="173">
        <v>2025</v>
      </c>
      <c r="K34" s="173" t="s">
        <v>2</v>
      </c>
      <c r="L34" s="173" t="s">
        <v>3</v>
      </c>
      <c r="M34" s="173" t="s">
        <v>3</v>
      </c>
      <c r="N34" s="173" t="s">
        <v>2</v>
      </c>
      <c r="O34" s="173" t="s">
        <v>3</v>
      </c>
      <c r="P34" s="173"/>
      <c r="Q34" s="173"/>
      <c r="R34" s="173"/>
      <c r="S34" s="173"/>
      <c r="T34" s="173" t="s">
        <v>3</v>
      </c>
      <c r="U34" s="173"/>
      <c r="V34" s="173"/>
      <c r="W34" s="173"/>
      <c r="X34" s="173" t="s">
        <v>3</v>
      </c>
      <c r="Y34" s="173"/>
      <c r="Z34" s="118" t="s">
        <v>2</v>
      </c>
      <c r="AA34" s="119">
        <f>COUNTIF(tblF42023[[#This Row],[CIV]:[BIBLE]],"A")</f>
        <v>3</v>
      </c>
      <c r="AB34" s="119">
        <v>11</v>
      </c>
      <c r="AC34" s="119" t="s">
        <v>10</v>
      </c>
      <c r="AD34" s="120">
        <v>5</v>
      </c>
      <c r="AE34" s="173">
        <v>6</v>
      </c>
      <c r="AF34" s="173" t="s">
        <v>661</v>
      </c>
      <c r="AG34" s="173" t="s">
        <v>661</v>
      </c>
      <c r="AH34" s="173">
        <v>6</v>
      </c>
      <c r="AI34" s="173">
        <v>5</v>
      </c>
      <c r="AJ34" s="173">
        <v>6</v>
      </c>
      <c r="AK34" s="173" t="s">
        <v>661</v>
      </c>
      <c r="AL34" s="173" t="s">
        <v>661</v>
      </c>
      <c r="AM34" s="173" t="s">
        <v>661</v>
      </c>
      <c r="AN34" s="173" t="s">
        <v>661</v>
      </c>
      <c r="AO34" s="173" t="s">
        <v>661</v>
      </c>
      <c r="AP3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3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3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4" s="173" t="s">
        <v>991</v>
      </c>
      <c r="AU3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3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3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5" spans="1:53" x14ac:dyDescent="0.3">
      <c r="A35" s="173" t="s">
        <v>565</v>
      </c>
      <c r="B35" s="173"/>
      <c r="C35" s="171" t="s">
        <v>566</v>
      </c>
      <c r="D35" s="172" t="s">
        <v>84</v>
      </c>
      <c r="E35" s="172" t="s">
        <v>42</v>
      </c>
      <c r="F35" s="117" t="str">
        <f>_xlfn.XLOOKUP(tblF42023[[#This Row],[FULL_NAME]],F6Results_2026[Full_Name],F6Results_2026[Comb],"",0,1)</f>
        <v/>
      </c>
      <c r="G35" s="117"/>
      <c r="H3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35" s="173" t="s">
        <v>530</v>
      </c>
      <c r="J35" s="173">
        <v>2025</v>
      </c>
      <c r="K35" s="173" t="s">
        <v>2</v>
      </c>
      <c r="L35" s="173" t="s">
        <v>2</v>
      </c>
      <c r="M35" s="173" t="s">
        <v>2</v>
      </c>
      <c r="N35" s="173" t="s">
        <v>2</v>
      </c>
      <c r="O35" s="173" t="s">
        <v>3</v>
      </c>
      <c r="P35" s="173" t="s">
        <v>3</v>
      </c>
      <c r="Q35" s="173" t="s">
        <v>3</v>
      </c>
      <c r="R35" s="173" t="s">
        <v>4</v>
      </c>
      <c r="S35" s="173"/>
      <c r="T35" s="173" t="s">
        <v>3</v>
      </c>
      <c r="U35" s="173"/>
      <c r="V35" s="173"/>
      <c r="W35" s="173"/>
      <c r="X35" s="173" t="s">
        <v>3</v>
      </c>
      <c r="Y35" s="173"/>
      <c r="Z35" s="118"/>
      <c r="AA35" s="119">
        <f>COUNTIF(tblF42023[[#This Row],[CIV]:[BIBLE]],"A")</f>
        <v>4</v>
      </c>
      <c r="AB35" s="119">
        <v>10</v>
      </c>
      <c r="AC35" s="119" t="s">
        <v>10</v>
      </c>
      <c r="AD35" s="120">
        <v>4</v>
      </c>
      <c r="AE35" s="173">
        <v>4</v>
      </c>
      <c r="AF35" s="173" t="s">
        <v>661</v>
      </c>
      <c r="AG35" s="173" t="s">
        <v>661</v>
      </c>
      <c r="AH35" s="173">
        <v>4</v>
      </c>
      <c r="AI35" s="173">
        <v>3</v>
      </c>
      <c r="AJ35" s="173">
        <v>5</v>
      </c>
      <c r="AK35" s="173">
        <v>7</v>
      </c>
      <c r="AL35" s="173" t="s">
        <v>661</v>
      </c>
      <c r="AM35" s="173" t="s">
        <v>661</v>
      </c>
      <c r="AN35" s="173" t="s">
        <v>661</v>
      </c>
      <c r="AO35" s="173" t="s">
        <v>661</v>
      </c>
      <c r="AP3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3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3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5" s="173" t="s">
        <v>991</v>
      </c>
      <c r="AU3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3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3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3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6" spans="1:53" x14ac:dyDescent="0.3">
      <c r="A36" s="173" t="s">
        <v>567</v>
      </c>
      <c r="B36" s="173"/>
      <c r="C36" s="171" t="s">
        <v>328</v>
      </c>
      <c r="D36" s="172" t="s">
        <v>84</v>
      </c>
      <c r="E36" s="172" t="s">
        <v>42</v>
      </c>
      <c r="F36" s="117" t="str">
        <f>_xlfn.XLOOKUP(tblF42023[[#This Row],[FULL_NAME]],F6Results_2026[Full_Name],F6Results_2026[Comb],"",0,1)</f>
        <v>ECA</v>
      </c>
      <c r="G36" s="117"/>
      <c r="H3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36" s="173" t="s">
        <v>530</v>
      </c>
      <c r="J36" s="173">
        <v>2025</v>
      </c>
      <c r="K36" s="173" t="s">
        <v>2</v>
      </c>
      <c r="L36" s="173" t="s">
        <v>2</v>
      </c>
      <c r="M36" s="173" t="s">
        <v>4</v>
      </c>
      <c r="N36" s="173" t="s">
        <v>3</v>
      </c>
      <c r="O36" s="173" t="s">
        <v>3</v>
      </c>
      <c r="P36" s="173" t="s">
        <v>4</v>
      </c>
      <c r="Q36" s="173" t="s">
        <v>4</v>
      </c>
      <c r="R36" s="173" t="s">
        <v>4</v>
      </c>
      <c r="S36" s="173"/>
      <c r="T36" s="173" t="s">
        <v>4</v>
      </c>
      <c r="U36" s="173"/>
      <c r="V36" s="173"/>
      <c r="W36" s="173"/>
      <c r="X36" s="173" t="s">
        <v>4</v>
      </c>
      <c r="Y36" s="173"/>
      <c r="Z36" s="118"/>
      <c r="AA36" s="119">
        <f>COUNTIF(tblF42023[[#This Row],[CIV]:[BIBLE]],"A")</f>
        <v>2</v>
      </c>
      <c r="AB36" s="119">
        <v>15</v>
      </c>
      <c r="AC36" s="119" t="s">
        <v>10</v>
      </c>
      <c r="AD36" s="120">
        <v>5</v>
      </c>
      <c r="AE36" s="173">
        <v>7</v>
      </c>
      <c r="AF36" s="173" t="s">
        <v>661</v>
      </c>
      <c r="AG36" s="173" t="s">
        <v>661</v>
      </c>
      <c r="AH36" s="173">
        <v>6</v>
      </c>
      <c r="AI36" s="173">
        <v>6</v>
      </c>
      <c r="AJ36" s="173">
        <v>9</v>
      </c>
      <c r="AK36" s="173">
        <v>9</v>
      </c>
      <c r="AL36" s="173" t="s">
        <v>661</v>
      </c>
      <c r="AM36" s="173" t="s">
        <v>661</v>
      </c>
      <c r="AN36" s="173" t="s">
        <v>661</v>
      </c>
      <c r="AO36" s="173" t="s">
        <v>661</v>
      </c>
      <c r="AP3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3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3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3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6" s="173" t="s">
        <v>991</v>
      </c>
      <c r="AU3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3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3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3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3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7" spans="1:53" x14ac:dyDescent="0.3">
      <c r="A37" s="173" t="s">
        <v>568</v>
      </c>
      <c r="B37" s="173"/>
      <c r="C37" s="171" t="s">
        <v>569</v>
      </c>
      <c r="D37" s="172" t="s">
        <v>84</v>
      </c>
      <c r="E37" s="172" t="s">
        <v>42</v>
      </c>
      <c r="F37" s="117" t="str">
        <f>_xlfn.XLOOKUP(tblF42023[[#This Row],[FULL_NAME]],F6Results_2026[Full_Name],F6Results_2026[Comb],"",0,1)</f>
        <v/>
      </c>
      <c r="G37" s="117"/>
      <c r="H3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37" s="173" t="s">
        <v>530</v>
      </c>
      <c r="J37" s="173">
        <v>2025</v>
      </c>
      <c r="K37" s="173" t="s">
        <v>4</v>
      </c>
      <c r="L37" s="173" t="s">
        <v>4</v>
      </c>
      <c r="M37" s="173" t="s">
        <v>3</v>
      </c>
      <c r="N37" s="173" t="s">
        <v>4</v>
      </c>
      <c r="O37" s="173" t="s">
        <v>4</v>
      </c>
      <c r="P37" s="173" t="s">
        <v>4</v>
      </c>
      <c r="Q37" s="173" t="s">
        <v>4</v>
      </c>
      <c r="R37" s="173" t="s">
        <v>4</v>
      </c>
      <c r="S37" s="173"/>
      <c r="T37" s="173" t="s">
        <v>3</v>
      </c>
      <c r="U37" s="173"/>
      <c r="V37" s="173"/>
      <c r="W37" s="173"/>
      <c r="X37" s="173" t="s">
        <v>4</v>
      </c>
      <c r="Y37" s="173"/>
      <c r="Z37" s="118"/>
      <c r="AA37" s="119">
        <f>COUNTIF(tblF42023[[#This Row],[CIV]:[BIBLE]],"A")</f>
        <v>0</v>
      </c>
      <c r="AB37" s="119">
        <v>19</v>
      </c>
      <c r="AC37" s="119" t="s">
        <v>11</v>
      </c>
      <c r="AD37" s="120">
        <v>9</v>
      </c>
      <c r="AE37" s="173">
        <v>7</v>
      </c>
      <c r="AF37" s="173" t="s">
        <v>661</v>
      </c>
      <c r="AG37" s="173" t="s">
        <v>661</v>
      </c>
      <c r="AH37" s="173">
        <v>8</v>
      </c>
      <c r="AI37" s="173">
        <v>8</v>
      </c>
      <c r="AJ37" s="173">
        <v>6</v>
      </c>
      <c r="AK37" s="173">
        <v>8</v>
      </c>
      <c r="AL37" s="173" t="s">
        <v>661</v>
      </c>
      <c r="AM37" s="173" t="s">
        <v>661</v>
      </c>
      <c r="AN37" s="173" t="s">
        <v>661</v>
      </c>
      <c r="AO37" s="173" t="s">
        <v>661</v>
      </c>
      <c r="AP3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3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3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3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7" s="173" t="s">
        <v>992</v>
      </c>
      <c r="AU3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3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3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3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3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8" spans="1:53" x14ac:dyDescent="0.3">
      <c r="A38" s="173" t="s">
        <v>570</v>
      </c>
      <c r="B38" s="173"/>
      <c r="C38" s="171" t="s">
        <v>299</v>
      </c>
      <c r="D38" s="172" t="s">
        <v>84</v>
      </c>
      <c r="E38" s="172" t="s">
        <v>42</v>
      </c>
      <c r="F38" s="117" t="str">
        <f>_xlfn.XLOOKUP(tblF42023[[#This Row],[FULL_NAME]],F6Results_2026[Full_Name],F6Results_2026[Comb],"",0,1)</f>
        <v>PCB</v>
      </c>
      <c r="G38" s="117"/>
      <c r="H3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38" s="173" t="s">
        <v>530</v>
      </c>
      <c r="J38" s="173">
        <v>2025</v>
      </c>
      <c r="K38" s="173" t="s">
        <v>2</v>
      </c>
      <c r="L38" s="173" t="s">
        <v>3</v>
      </c>
      <c r="M38" s="173" t="s">
        <v>2</v>
      </c>
      <c r="N38" s="173" t="s">
        <v>4</v>
      </c>
      <c r="O38" s="173" t="s">
        <v>3</v>
      </c>
      <c r="P38" s="173"/>
      <c r="Q38" s="173"/>
      <c r="R38" s="173"/>
      <c r="S38" s="173"/>
      <c r="T38" s="173" t="s">
        <v>3</v>
      </c>
      <c r="U38" s="173"/>
      <c r="V38" s="173"/>
      <c r="W38" s="173" t="s">
        <v>3</v>
      </c>
      <c r="X38" s="173" t="s">
        <v>3</v>
      </c>
      <c r="Y38" s="173" t="s">
        <v>4</v>
      </c>
      <c r="Z38" s="118" t="s">
        <v>3</v>
      </c>
      <c r="AA38" s="119">
        <f>COUNTIF(tblF42023[[#This Row],[CIV]:[BIBLE]],"A")</f>
        <v>2</v>
      </c>
      <c r="AB38" s="119">
        <v>12</v>
      </c>
      <c r="AC38" s="119" t="s">
        <v>10</v>
      </c>
      <c r="AD38" s="120">
        <v>7</v>
      </c>
      <c r="AE38" s="173">
        <v>5</v>
      </c>
      <c r="AF38" s="173">
        <v>5</v>
      </c>
      <c r="AG38" s="173" t="s">
        <v>661</v>
      </c>
      <c r="AH38" s="173">
        <v>5</v>
      </c>
      <c r="AI38" s="173">
        <v>6</v>
      </c>
      <c r="AJ38" s="173">
        <v>5</v>
      </c>
      <c r="AK38" s="173" t="s">
        <v>661</v>
      </c>
      <c r="AL38" s="173">
        <v>7</v>
      </c>
      <c r="AM38" s="173">
        <v>7</v>
      </c>
      <c r="AN38" s="173" t="s">
        <v>661</v>
      </c>
      <c r="AO38" s="173" t="s">
        <v>661</v>
      </c>
      <c r="AP3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3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3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38" s="173" t="s">
        <v>991</v>
      </c>
      <c r="AU3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3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3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3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39" spans="1:53" x14ac:dyDescent="0.3">
      <c r="A39" s="173" t="s">
        <v>571</v>
      </c>
      <c r="B39" s="173"/>
      <c r="C39" s="171" t="s">
        <v>572</v>
      </c>
      <c r="D39" s="172" t="s">
        <v>84</v>
      </c>
      <c r="E39" s="172" t="s">
        <v>42</v>
      </c>
      <c r="F39" s="117" t="str">
        <f>_xlfn.XLOOKUP(tblF42023[[#This Row],[FULL_NAME]],F6Results_2026[Full_Name],F6Results_2026[Comb],"",0,1)</f>
        <v/>
      </c>
      <c r="G39" s="117"/>
      <c r="H3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39" s="173" t="s">
        <v>530</v>
      </c>
      <c r="J39" s="173">
        <v>2025</v>
      </c>
      <c r="K39" s="173" t="s">
        <v>4</v>
      </c>
      <c r="L39" s="173" t="s">
        <v>4</v>
      </c>
      <c r="M39" s="173" t="s">
        <v>2</v>
      </c>
      <c r="N39" s="173" t="s">
        <v>3</v>
      </c>
      <c r="O39" s="173" t="s">
        <v>3</v>
      </c>
      <c r="P39" s="173"/>
      <c r="Q39" s="173"/>
      <c r="R39" s="173"/>
      <c r="S39" s="173" t="s">
        <v>3</v>
      </c>
      <c r="T39" s="173" t="s">
        <v>3</v>
      </c>
      <c r="U39" s="173"/>
      <c r="V39" s="173"/>
      <c r="W39" s="173" t="s">
        <v>3</v>
      </c>
      <c r="X39" s="173" t="s">
        <v>4</v>
      </c>
      <c r="Y39" s="173" t="s">
        <v>4</v>
      </c>
      <c r="Z39" s="118"/>
      <c r="AA39" s="119">
        <f>COUNTIF(tblF42023[[#This Row],[CIV]:[BIBLE]],"A")</f>
        <v>1</v>
      </c>
      <c r="AB39" s="119">
        <v>14</v>
      </c>
      <c r="AC39" s="119" t="s">
        <v>10</v>
      </c>
      <c r="AD39" s="120">
        <v>7</v>
      </c>
      <c r="AE39" s="173">
        <v>6</v>
      </c>
      <c r="AF39" s="173">
        <v>6</v>
      </c>
      <c r="AG39" s="173">
        <v>6</v>
      </c>
      <c r="AH39" s="173">
        <v>6</v>
      </c>
      <c r="AI39" s="173">
        <v>6</v>
      </c>
      <c r="AJ39" s="173">
        <v>5</v>
      </c>
      <c r="AK39" s="173" t="s">
        <v>661</v>
      </c>
      <c r="AL39" s="173">
        <v>8</v>
      </c>
      <c r="AM39" s="173">
        <v>7</v>
      </c>
      <c r="AN39" s="173">
        <v>7</v>
      </c>
      <c r="AO39" s="173" t="s">
        <v>661</v>
      </c>
      <c r="AP3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3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3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3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39" s="173" t="s">
        <v>991</v>
      </c>
      <c r="AU3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3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3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3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3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3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3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40" spans="1:53" x14ac:dyDescent="0.3">
      <c r="A40" s="173" t="s">
        <v>573</v>
      </c>
      <c r="B40" s="173"/>
      <c r="C40" s="171" t="s">
        <v>216</v>
      </c>
      <c r="D40" s="172" t="s">
        <v>84</v>
      </c>
      <c r="E40" s="172" t="s">
        <v>42</v>
      </c>
      <c r="F40" s="117" t="str">
        <f>_xlfn.XLOOKUP(tblF42023[[#This Row],[FULL_NAME]],F6Results_2026[Full_Name],F6Results_2026[Comb],"",0,1)</f>
        <v>PCM</v>
      </c>
      <c r="G40" s="117"/>
      <c r="H4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0" s="173" t="s">
        <v>530</v>
      </c>
      <c r="J40" s="173">
        <v>2025</v>
      </c>
      <c r="K40" s="173" t="s">
        <v>2</v>
      </c>
      <c r="L40" s="173" t="s">
        <v>2</v>
      </c>
      <c r="M40" s="173" t="s">
        <v>2</v>
      </c>
      <c r="N40" s="173" t="s">
        <v>2</v>
      </c>
      <c r="O40" s="173" t="s">
        <v>4</v>
      </c>
      <c r="P40" s="173"/>
      <c r="Q40" s="173"/>
      <c r="R40" s="173"/>
      <c r="S40" s="173"/>
      <c r="T40" s="173" t="s">
        <v>2</v>
      </c>
      <c r="U40" s="173"/>
      <c r="V40" s="173" t="s">
        <v>4</v>
      </c>
      <c r="W40" s="173" t="s">
        <v>2</v>
      </c>
      <c r="X40" s="173" t="s">
        <v>4</v>
      </c>
      <c r="Y40" s="173" t="s">
        <v>3</v>
      </c>
      <c r="Z40" s="118"/>
      <c r="AA40" s="119">
        <f>COUNTIF(tblF42023[[#This Row],[CIV]:[BIBLE]],"A")</f>
        <v>6</v>
      </c>
      <c r="AB40" s="119">
        <v>8</v>
      </c>
      <c r="AC40" s="119" t="s">
        <v>10</v>
      </c>
      <c r="AD40" s="120">
        <v>5</v>
      </c>
      <c r="AE40" s="173">
        <v>3</v>
      </c>
      <c r="AF40" s="173">
        <v>5</v>
      </c>
      <c r="AG40" s="173" t="s">
        <v>661</v>
      </c>
      <c r="AH40" s="173">
        <v>5</v>
      </c>
      <c r="AI40" s="173">
        <v>3</v>
      </c>
      <c r="AJ40" s="173">
        <v>3</v>
      </c>
      <c r="AK40" s="173" t="s">
        <v>661</v>
      </c>
      <c r="AL40" s="173">
        <v>6</v>
      </c>
      <c r="AM40" s="173">
        <v>4</v>
      </c>
      <c r="AN40" s="173" t="s">
        <v>661</v>
      </c>
      <c r="AO40" s="173">
        <v>7</v>
      </c>
      <c r="AP4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40" s="173" t="s">
        <v>991</v>
      </c>
      <c r="AU4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4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41" spans="1:53" x14ac:dyDescent="0.3">
      <c r="A41" s="173" t="s">
        <v>574</v>
      </c>
      <c r="B41" s="173"/>
      <c r="C41" s="171" t="s">
        <v>334</v>
      </c>
      <c r="D41" s="172" t="s">
        <v>84</v>
      </c>
      <c r="E41" s="172" t="s">
        <v>42</v>
      </c>
      <c r="F41" s="117" t="str">
        <f>_xlfn.XLOOKUP(tblF42023[[#This Row],[FULL_NAME]],F6Results_2026[Full_Name],F6Results_2026[Comb],"",0,1)</f>
        <v>CBA</v>
      </c>
      <c r="G41" s="117"/>
      <c r="H4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1" s="173" t="s">
        <v>530</v>
      </c>
      <c r="J41" s="173">
        <v>2025</v>
      </c>
      <c r="K41" s="173" t="s">
        <v>2</v>
      </c>
      <c r="L41" s="173" t="s">
        <v>2</v>
      </c>
      <c r="M41" s="173" t="s">
        <v>3</v>
      </c>
      <c r="N41" s="173" t="s">
        <v>3</v>
      </c>
      <c r="O41" s="173" t="s">
        <v>4</v>
      </c>
      <c r="P41" s="173"/>
      <c r="Q41" s="173"/>
      <c r="R41" s="173"/>
      <c r="S41" s="173"/>
      <c r="T41" s="173" t="s">
        <v>3</v>
      </c>
      <c r="U41" s="173"/>
      <c r="V41" s="173" t="s">
        <v>3</v>
      </c>
      <c r="W41" s="173" t="s">
        <v>2</v>
      </c>
      <c r="X41" s="173" t="s">
        <v>3</v>
      </c>
      <c r="Y41" s="173" t="s">
        <v>4</v>
      </c>
      <c r="Z41" s="118"/>
      <c r="AA41" s="119">
        <f>COUNTIF(tblF42023[[#This Row],[CIV]:[BIBLE]],"A")</f>
        <v>3</v>
      </c>
      <c r="AB41" s="119">
        <v>11</v>
      </c>
      <c r="AC41" s="119" t="s">
        <v>10</v>
      </c>
      <c r="AD41" s="120">
        <v>6</v>
      </c>
      <c r="AE41" s="173">
        <v>5</v>
      </c>
      <c r="AF41" s="173">
        <v>5</v>
      </c>
      <c r="AG41" s="173" t="s">
        <v>661</v>
      </c>
      <c r="AH41" s="173">
        <v>6</v>
      </c>
      <c r="AI41" s="173">
        <v>5</v>
      </c>
      <c r="AJ41" s="173">
        <v>6</v>
      </c>
      <c r="AK41" s="173" t="s">
        <v>661</v>
      </c>
      <c r="AL41" s="173">
        <v>6</v>
      </c>
      <c r="AM41" s="173">
        <v>6</v>
      </c>
      <c r="AN41" s="173" t="s">
        <v>661</v>
      </c>
      <c r="AO41" s="173">
        <v>5</v>
      </c>
      <c r="AP4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41" s="173" t="s">
        <v>991</v>
      </c>
      <c r="AU4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4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42" spans="1:53" x14ac:dyDescent="0.3">
      <c r="A42" s="173" t="s">
        <v>575</v>
      </c>
      <c r="B42" s="173"/>
      <c r="C42" s="171" t="s">
        <v>341</v>
      </c>
      <c r="D42" s="172" t="s">
        <v>84</v>
      </c>
      <c r="E42" s="172" t="s">
        <v>42</v>
      </c>
      <c r="F42" s="117" t="str">
        <f>_xlfn.XLOOKUP(tblF42023[[#This Row],[FULL_NAME]],F6Results_2026[Full_Name],F6Results_2026[Comb],"",0,1)</f>
        <v>PMCs</v>
      </c>
      <c r="G42" s="117"/>
      <c r="H4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2" s="173" t="s">
        <v>530</v>
      </c>
      <c r="J42" s="173">
        <v>2025</v>
      </c>
      <c r="K42" s="173" t="s">
        <v>2</v>
      </c>
      <c r="L42" s="173" t="s">
        <v>2</v>
      </c>
      <c r="M42" s="173" t="s">
        <v>2</v>
      </c>
      <c r="N42" s="173" t="s">
        <v>3</v>
      </c>
      <c r="O42" s="173" t="s">
        <v>3</v>
      </c>
      <c r="P42" s="173"/>
      <c r="Q42" s="173"/>
      <c r="R42" s="173"/>
      <c r="S42" s="173" t="s">
        <v>2</v>
      </c>
      <c r="T42" s="173" t="s">
        <v>2</v>
      </c>
      <c r="U42" s="173"/>
      <c r="V42" s="173"/>
      <c r="W42" s="173" t="s">
        <v>2</v>
      </c>
      <c r="X42" s="173" t="s">
        <v>3</v>
      </c>
      <c r="Y42" s="173" t="s">
        <v>4</v>
      </c>
      <c r="Z42" s="118"/>
      <c r="AA42" s="119">
        <f>COUNTIF(tblF42023[[#This Row],[CIV]:[BIBLE]],"A")</f>
        <v>6</v>
      </c>
      <c r="AB42" s="119">
        <v>8</v>
      </c>
      <c r="AC42" s="119" t="s">
        <v>10</v>
      </c>
      <c r="AD42" s="120">
        <v>5</v>
      </c>
      <c r="AE42" s="173">
        <v>3</v>
      </c>
      <c r="AF42" s="173">
        <v>4</v>
      </c>
      <c r="AG42" s="173">
        <v>3</v>
      </c>
      <c r="AH42" s="173">
        <v>4</v>
      </c>
      <c r="AI42" s="173">
        <v>4</v>
      </c>
      <c r="AJ42" s="173">
        <v>3</v>
      </c>
      <c r="AK42" s="173" t="s">
        <v>661</v>
      </c>
      <c r="AL42" s="173">
        <v>6</v>
      </c>
      <c r="AM42" s="173">
        <v>5</v>
      </c>
      <c r="AN42" s="173">
        <v>5</v>
      </c>
      <c r="AO42" s="173" t="s">
        <v>661</v>
      </c>
      <c r="AP4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42" s="173" t="s">
        <v>991</v>
      </c>
      <c r="AU4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4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43" spans="1:53" x14ac:dyDescent="0.3">
      <c r="A43" s="173" t="s">
        <v>576</v>
      </c>
      <c r="B43" s="173"/>
      <c r="C43" s="171" t="s">
        <v>577</v>
      </c>
      <c r="D43" s="172" t="s">
        <v>84</v>
      </c>
      <c r="E43" s="172" t="s">
        <v>42</v>
      </c>
      <c r="F43" s="117" t="str">
        <f>_xlfn.XLOOKUP(tblF42023[[#This Row],[FULL_NAME]],F6Results_2026[Full_Name],F6Results_2026[Comb],"",0,1)</f>
        <v/>
      </c>
      <c r="G43" s="117"/>
      <c r="H4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3" s="173" t="s">
        <v>530</v>
      </c>
      <c r="J43" s="173">
        <v>2025</v>
      </c>
      <c r="K43" s="173" t="s">
        <v>3</v>
      </c>
      <c r="L43" s="173" t="s">
        <v>2</v>
      </c>
      <c r="M43" s="173" t="s">
        <v>3</v>
      </c>
      <c r="N43" s="173" t="s">
        <v>3</v>
      </c>
      <c r="O43" s="173" t="s">
        <v>3</v>
      </c>
      <c r="P43" s="173"/>
      <c r="Q43" s="173"/>
      <c r="R43" s="173"/>
      <c r="S43" s="173" t="s">
        <v>4</v>
      </c>
      <c r="T43" s="173" t="s">
        <v>4</v>
      </c>
      <c r="U43" s="173"/>
      <c r="V43" s="173"/>
      <c r="W43" s="173" t="s">
        <v>4</v>
      </c>
      <c r="X43" s="173" t="s">
        <v>3</v>
      </c>
      <c r="Y43" s="173" t="s">
        <v>5</v>
      </c>
      <c r="Z43" s="118"/>
      <c r="AA43" s="119">
        <f>COUNTIF(tblF42023[[#This Row],[CIV]:[BIBLE]],"A")</f>
        <v>1</v>
      </c>
      <c r="AB43" s="119">
        <v>14</v>
      </c>
      <c r="AC43" s="119" t="s">
        <v>10</v>
      </c>
      <c r="AD43" s="120">
        <v>5</v>
      </c>
      <c r="AE43" s="173">
        <v>6</v>
      </c>
      <c r="AF43" s="173">
        <v>7</v>
      </c>
      <c r="AG43" s="173">
        <v>9</v>
      </c>
      <c r="AH43" s="173">
        <v>5</v>
      </c>
      <c r="AI43" s="173">
        <v>5</v>
      </c>
      <c r="AJ43" s="173">
        <v>8</v>
      </c>
      <c r="AK43" s="173" t="s">
        <v>661</v>
      </c>
      <c r="AL43" s="173">
        <v>9</v>
      </c>
      <c r="AM43" s="173">
        <v>10</v>
      </c>
      <c r="AN43" s="173">
        <v>10</v>
      </c>
      <c r="AO43" s="173" t="s">
        <v>661</v>
      </c>
      <c r="AP4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43" s="173" t="s">
        <v>991</v>
      </c>
      <c r="AU4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4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4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4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4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44" spans="1:53" x14ac:dyDescent="0.3">
      <c r="A44" s="173" t="s">
        <v>578</v>
      </c>
      <c r="B44" s="173"/>
      <c r="C44" s="171" t="s">
        <v>339</v>
      </c>
      <c r="D44" s="172" t="s">
        <v>84</v>
      </c>
      <c r="E44" s="172" t="s">
        <v>42</v>
      </c>
      <c r="F44" s="117" t="str">
        <f>_xlfn.XLOOKUP(tblF42023[[#This Row],[FULL_NAME]],F6Results_2026[Full_Name],F6Results_2026[Comb],"",0,1)</f>
        <v>PMCs</v>
      </c>
      <c r="G44" s="117"/>
      <c r="H4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4" s="173" t="s">
        <v>530</v>
      </c>
      <c r="J44" s="173">
        <v>2025</v>
      </c>
      <c r="K44" s="173" t="s">
        <v>3</v>
      </c>
      <c r="L44" s="173" t="s">
        <v>2</v>
      </c>
      <c r="M44" s="173" t="s">
        <v>2</v>
      </c>
      <c r="N44" s="173" t="s">
        <v>2</v>
      </c>
      <c r="O44" s="173" t="s">
        <v>3</v>
      </c>
      <c r="P44" s="173"/>
      <c r="Q44" s="173"/>
      <c r="R44" s="173"/>
      <c r="S44" s="173" t="s">
        <v>3</v>
      </c>
      <c r="T44" s="173" t="s">
        <v>3</v>
      </c>
      <c r="U44" s="173"/>
      <c r="V44" s="173"/>
      <c r="W44" s="173" t="s">
        <v>2</v>
      </c>
      <c r="X44" s="173" t="s">
        <v>2</v>
      </c>
      <c r="Y44" s="173" t="s">
        <v>4</v>
      </c>
      <c r="Z44" s="118"/>
      <c r="AA44" s="119">
        <f>COUNTIF(tblF42023[[#This Row],[CIV]:[BIBLE]],"A")</f>
        <v>5</v>
      </c>
      <c r="AB44" s="119">
        <v>9</v>
      </c>
      <c r="AC44" s="119" t="s">
        <v>10</v>
      </c>
      <c r="AD44" s="120">
        <v>4</v>
      </c>
      <c r="AE44" s="173">
        <v>4</v>
      </c>
      <c r="AF44" s="173">
        <v>3</v>
      </c>
      <c r="AG44" s="173">
        <v>6</v>
      </c>
      <c r="AH44" s="173">
        <v>4</v>
      </c>
      <c r="AI44" s="173">
        <v>3</v>
      </c>
      <c r="AJ44" s="173">
        <v>5</v>
      </c>
      <c r="AK44" s="173" t="s">
        <v>661</v>
      </c>
      <c r="AL44" s="173">
        <v>5</v>
      </c>
      <c r="AM44" s="173">
        <v>6</v>
      </c>
      <c r="AN44" s="173">
        <v>7</v>
      </c>
      <c r="AO44" s="173" t="s">
        <v>661</v>
      </c>
      <c r="AP4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44" s="173" t="s">
        <v>991</v>
      </c>
      <c r="AU4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4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45" spans="1:53" x14ac:dyDescent="0.3">
      <c r="A45" s="173" t="s">
        <v>579</v>
      </c>
      <c r="B45" s="173"/>
      <c r="C45" s="171" t="s">
        <v>580</v>
      </c>
      <c r="D45" s="172" t="s">
        <v>84</v>
      </c>
      <c r="E45" s="172" t="s">
        <v>42</v>
      </c>
      <c r="F45" s="117" t="str">
        <f>_xlfn.XLOOKUP(tblF42023[[#This Row],[FULL_NAME]],F6Results_2026[Full_Name],F6Results_2026[Comb],"",0,1)</f>
        <v/>
      </c>
      <c r="G45" s="117"/>
      <c r="H4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5" s="173" t="s">
        <v>530</v>
      </c>
      <c r="J45" s="173">
        <v>2025</v>
      </c>
      <c r="K45" s="173" t="s">
        <v>2</v>
      </c>
      <c r="L45" s="173" t="s">
        <v>2</v>
      </c>
      <c r="M45" s="173" t="s">
        <v>2</v>
      </c>
      <c r="N45" s="173" t="s">
        <v>2</v>
      </c>
      <c r="O45" s="173" t="s">
        <v>2</v>
      </c>
      <c r="P45" s="173"/>
      <c r="Q45" s="173"/>
      <c r="R45" s="173"/>
      <c r="S45" s="173" t="s">
        <v>2</v>
      </c>
      <c r="T45" s="173" t="s">
        <v>2</v>
      </c>
      <c r="U45" s="173"/>
      <c r="V45" s="173"/>
      <c r="W45" s="173" t="s">
        <v>2</v>
      </c>
      <c r="X45" s="173" t="s">
        <v>3</v>
      </c>
      <c r="Y45" s="173" t="s">
        <v>4</v>
      </c>
      <c r="Z45" s="118"/>
      <c r="AA45" s="119">
        <f>COUNTIF(tblF42023[[#This Row],[CIV]:[BIBLE]],"A")</f>
        <v>8</v>
      </c>
      <c r="AB45" s="119">
        <v>7</v>
      </c>
      <c r="AC45" s="119" t="s">
        <v>10</v>
      </c>
      <c r="AD45" s="120">
        <v>3</v>
      </c>
      <c r="AE45" s="173">
        <v>3</v>
      </c>
      <c r="AF45" s="173">
        <v>4</v>
      </c>
      <c r="AG45" s="173">
        <v>3</v>
      </c>
      <c r="AH45" s="173">
        <v>3</v>
      </c>
      <c r="AI45" s="173">
        <v>3</v>
      </c>
      <c r="AJ45" s="173">
        <v>3</v>
      </c>
      <c r="AK45" s="173" t="s">
        <v>661</v>
      </c>
      <c r="AL45" s="173">
        <v>6</v>
      </c>
      <c r="AM45" s="173">
        <v>5</v>
      </c>
      <c r="AN45" s="173">
        <v>5</v>
      </c>
      <c r="AO45" s="173" t="s">
        <v>661</v>
      </c>
      <c r="AP4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45" s="173" t="s">
        <v>991</v>
      </c>
      <c r="AU4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4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46" spans="1:53" x14ac:dyDescent="0.3">
      <c r="A46" s="173" t="s">
        <v>581</v>
      </c>
      <c r="B46" s="173"/>
      <c r="C46" s="171" t="s">
        <v>220</v>
      </c>
      <c r="D46" s="172" t="s">
        <v>84</v>
      </c>
      <c r="E46" s="172" t="s">
        <v>42</v>
      </c>
      <c r="F46" s="117" t="str">
        <f>_xlfn.XLOOKUP(tblF42023[[#This Row],[FULL_NAME]],F6Results_2026[Full_Name],F6Results_2026[Comb],"",0,1)</f>
        <v>PCM</v>
      </c>
      <c r="G46" s="117"/>
      <c r="H4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6" s="173" t="s">
        <v>530</v>
      </c>
      <c r="J46" s="173">
        <v>2025</v>
      </c>
      <c r="K46" s="173" t="s">
        <v>2</v>
      </c>
      <c r="L46" s="173" t="s">
        <v>2</v>
      </c>
      <c r="M46" s="173" t="s">
        <v>2</v>
      </c>
      <c r="N46" s="173" t="s">
        <v>2</v>
      </c>
      <c r="O46" s="173" t="s">
        <v>3</v>
      </c>
      <c r="P46" s="173"/>
      <c r="Q46" s="173"/>
      <c r="R46" s="173"/>
      <c r="S46" s="173" t="s">
        <v>2</v>
      </c>
      <c r="T46" s="173" t="s">
        <v>2</v>
      </c>
      <c r="U46" s="173"/>
      <c r="V46" s="173"/>
      <c r="W46" s="173" t="s">
        <v>2</v>
      </c>
      <c r="X46" s="173" t="s">
        <v>3</v>
      </c>
      <c r="Y46" s="173" t="s">
        <v>4</v>
      </c>
      <c r="Z46" s="118"/>
      <c r="AA46" s="119">
        <f>COUNTIF(tblF42023[[#This Row],[CIV]:[BIBLE]],"A")</f>
        <v>7</v>
      </c>
      <c r="AB46" s="119">
        <v>7</v>
      </c>
      <c r="AC46" s="119" t="s">
        <v>10</v>
      </c>
      <c r="AD46" s="120">
        <v>4</v>
      </c>
      <c r="AE46" s="173">
        <v>3</v>
      </c>
      <c r="AF46" s="173">
        <v>4</v>
      </c>
      <c r="AG46" s="173">
        <v>3</v>
      </c>
      <c r="AH46" s="173">
        <v>4</v>
      </c>
      <c r="AI46" s="173">
        <v>3</v>
      </c>
      <c r="AJ46" s="173">
        <v>3</v>
      </c>
      <c r="AK46" s="173" t="s">
        <v>661</v>
      </c>
      <c r="AL46" s="173">
        <v>6</v>
      </c>
      <c r="AM46" s="173">
        <v>5</v>
      </c>
      <c r="AN46" s="173">
        <v>5</v>
      </c>
      <c r="AO46" s="173" t="s">
        <v>661</v>
      </c>
      <c r="AP4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46" s="173" t="s">
        <v>991</v>
      </c>
      <c r="AU4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4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47" spans="1:53" x14ac:dyDescent="0.3">
      <c r="A47" s="173" t="s">
        <v>582</v>
      </c>
      <c r="B47" s="173"/>
      <c r="C47" s="171" t="s">
        <v>86</v>
      </c>
      <c r="D47" s="172" t="s">
        <v>84</v>
      </c>
      <c r="E47" s="172" t="s">
        <v>42</v>
      </c>
      <c r="F47" s="117" t="str">
        <f>_xlfn.XLOOKUP(tblF42023[[#This Row],[FULL_NAME]],F6Results_2026[Full_Name],F6Results_2026[Comb],"",0,1)</f>
        <v>HGL</v>
      </c>
      <c r="G47" s="117"/>
      <c r="H4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7" s="173" t="s">
        <v>530</v>
      </c>
      <c r="J47" s="173">
        <v>2025</v>
      </c>
      <c r="K47" s="173" t="s">
        <v>2</v>
      </c>
      <c r="L47" s="173" t="s">
        <v>2</v>
      </c>
      <c r="M47" s="173" t="s">
        <v>2</v>
      </c>
      <c r="N47" s="173" t="s">
        <v>2</v>
      </c>
      <c r="O47" s="173" t="s">
        <v>3</v>
      </c>
      <c r="P47" s="173"/>
      <c r="Q47" s="173"/>
      <c r="R47" s="173"/>
      <c r="S47" s="173"/>
      <c r="T47" s="173" t="s">
        <v>3</v>
      </c>
      <c r="U47" s="173"/>
      <c r="V47" s="173" t="s">
        <v>3</v>
      </c>
      <c r="W47" s="173" t="s">
        <v>2</v>
      </c>
      <c r="X47" s="173" t="s">
        <v>3</v>
      </c>
      <c r="Y47" s="173" t="s">
        <v>4</v>
      </c>
      <c r="Z47" s="118"/>
      <c r="AA47" s="119">
        <f>COUNTIF(tblF42023[[#This Row],[CIV]:[BIBLE]],"A")</f>
        <v>5</v>
      </c>
      <c r="AB47" s="119">
        <v>9</v>
      </c>
      <c r="AC47" s="119" t="s">
        <v>10</v>
      </c>
      <c r="AD47" s="120">
        <v>4</v>
      </c>
      <c r="AE47" s="173">
        <v>4</v>
      </c>
      <c r="AF47" s="173">
        <v>4</v>
      </c>
      <c r="AG47" s="173" t="s">
        <v>661</v>
      </c>
      <c r="AH47" s="173">
        <v>4</v>
      </c>
      <c r="AI47" s="173">
        <v>3</v>
      </c>
      <c r="AJ47" s="173">
        <v>5</v>
      </c>
      <c r="AK47" s="173" t="s">
        <v>661</v>
      </c>
      <c r="AL47" s="173">
        <v>6</v>
      </c>
      <c r="AM47" s="173">
        <v>6</v>
      </c>
      <c r="AN47" s="173" t="s">
        <v>661</v>
      </c>
      <c r="AO47" s="173">
        <v>5</v>
      </c>
      <c r="AP4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47" s="173" t="s">
        <v>991</v>
      </c>
      <c r="AU4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4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48" spans="1:53" x14ac:dyDescent="0.3">
      <c r="A48" s="173" t="s">
        <v>583</v>
      </c>
      <c r="B48" s="173"/>
      <c r="C48" s="171" t="s">
        <v>333</v>
      </c>
      <c r="D48" s="172" t="s">
        <v>84</v>
      </c>
      <c r="E48" s="172" t="s">
        <v>42</v>
      </c>
      <c r="F48" s="117" t="str">
        <f>_xlfn.XLOOKUP(tblF42023[[#This Row],[FULL_NAME]],F6Results_2026[Full_Name],F6Results_2026[Comb],"",0,1)</f>
        <v>CBA</v>
      </c>
      <c r="G48" s="117"/>
      <c r="H4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8" s="173" t="s">
        <v>530</v>
      </c>
      <c r="J48" s="173">
        <v>2025</v>
      </c>
      <c r="K48" s="173" t="s">
        <v>2</v>
      </c>
      <c r="L48" s="173" t="s">
        <v>2</v>
      </c>
      <c r="M48" s="173" t="s">
        <v>2</v>
      </c>
      <c r="N48" s="173" t="s">
        <v>2</v>
      </c>
      <c r="O48" s="173" t="s">
        <v>2</v>
      </c>
      <c r="P48" s="173"/>
      <c r="Q48" s="173"/>
      <c r="R48" s="173"/>
      <c r="S48" s="173"/>
      <c r="T48" s="173" t="s">
        <v>2</v>
      </c>
      <c r="U48" s="173"/>
      <c r="V48" s="173" t="s">
        <v>3</v>
      </c>
      <c r="W48" s="173" t="s">
        <v>2</v>
      </c>
      <c r="X48" s="173" t="s">
        <v>2</v>
      </c>
      <c r="Y48" s="173" t="s">
        <v>4</v>
      </c>
      <c r="Z48" s="118"/>
      <c r="AA48" s="119">
        <f>COUNTIF(tblF42023[[#This Row],[CIV]:[BIBLE]],"A")</f>
        <v>8</v>
      </c>
      <c r="AB48" s="119">
        <v>7</v>
      </c>
      <c r="AC48" s="119" t="s">
        <v>10</v>
      </c>
      <c r="AD48" s="120">
        <v>3</v>
      </c>
      <c r="AE48" s="173">
        <v>3</v>
      </c>
      <c r="AF48" s="173">
        <v>3</v>
      </c>
      <c r="AG48" s="173" t="s">
        <v>661</v>
      </c>
      <c r="AH48" s="173">
        <v>3</v>
      </c>
      <c r="AI48" s="173">
        <v>3</v>
      </c>
      <c r="AJ48" s="173">
        <v>3</v>
      </c>
      <c r="AK48" s="173" t="s">
        <v>661</v>
      </c>
      <c r="AL48" s="173">
        <v>5</v>
      </c>
      <c r="AM48" s="173">
        <v>5</v>
      </c>
      <c r="AN48" s="173" t="s">
        <v>661</v>
      </c>
      <c r="AO48" s="173">
        <v>4</v>
      </c>
      <c r="AP4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48" s="173" t="s">
        <v>991</v>
      </c>
      <c r="AU4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4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49" spans="1:53" x14ac:dyDescent="0.3">
      <c r="A49" s="173" t="s">
        <v>584</v>
      </c>
      <c r="B49" s="173"/>
      <c r="C49" s="171" t="s">
        <v>585</v>
      </c>
      <c r="D49" s="172" t="s">
        <v>84</v>
      </c>
      <c r="E49" s="172" t="s">
        <v>42</v>
      </c>
      <c r="F49" s="117" t="str">
        <f>_xlfn.XLOOKUP(tblF42023[[#This Row],[FULL_NAME]],F6Results_2026[Full_Name],F6Results_2026[Comb],"",0,1)</f>
        <v/>
      </c>
      <c r="G49" s="117"/>
      <c r="H4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49" s="173" t="s">
        <v>530</v>
      </c>
      <c r="J49" s="173">
        <v>2025</v>
      </c>
      <c r="K49" s="173" t="s">
        <v>2</v>
      </c>
      <c r="L49" s="173" t="s">
        <v>3</v>
      </c>
      <c r="M49" s="173" t="s">
        <v>2</v>
      </c>
      <c r="N49" s="173" t="s">
        <v>2</v>
      </c>
      <c r="O49" s="173" t="s">
        <v>3</v>
      </c>
      <c r="P49" s="173"/>
      <c r="Q49" s="173"/>
      <c r="R49" s="173"/>
      <c r="S49" s="173"/>
      <c r="T49" s="173" t="s">
        <v>3</v>
      </c>
      <c r="U49" s="173"/>
      <c r="V49" s="173" t="s">
        <v>3</v>
      </c>
      <c r="W49" s="173" t="s">
        <v>2</v>
      </c>
      <c r="X49" s="173" t="s">
        <v>2</v>
      </c>
      <c r="Y49" s="173" t="s">
        <v>3</v>
      </c>
      <c r="Z49" s="118"/>
      <c r="AA49" s="119">
        <f>COUNTIF(tblF42023[[#This Row],[CIV]:[BIBLE]],"A")</f>
        <v>5</v>
      </c>
      <c r="AB49" s="119">
        <v>9</v>
      </c>
      <c r="AC49" s="119" t="s">
        <v>10</v>
      </c>
      <c r="AD49" s="120">
        <v>5</v>
      </c>
      <c r="AE49" s="173">
        <v>5</v>
      </c>
      <c r="AF49" s="173">
        <v>3</v>
      </c>
      <c r="AG49" s="173" t="s">
        <v>661</v>
      </c>
      <c r="AH49" s="173">
        <v>5</v>
      </c>
      <c r="AI49" s="173">
        <v>4</v>
      </c>
      <c r="AJ49" s="173">
        <v>5</v>
      </c>
      <c r="AK49" s="173" t="s">
        <v>661</v>
      </c>
      <c r="AL49" s="173">
        <v>4</v>
      </c>
      <c r="AM49" s="173">
        <v>5</v>
      </c>
      <c r="AN49" s="173" t="s">
        <v>661</v>
      </c>
      <c r="AO49" s="173">
        <v>4</v>
      </c>
      <c r="AP4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4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4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4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49" s="173" t="s">
        <v>991</v>
      </c>
      <c r="AU4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4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4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4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4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4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4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50" spans="1:53" x14ac:dyDescent="0.3">
      <c r="A50" s="173" t="s">
        <v>586</v>
      </c>
      <c r="B50" s="173"/>
      <c r="C50" s="171" t="s">
        <v>587</v>
      </c>
      <c r="D50" s="172" t="s">
        <v>84</v>
      </c>
      <c r="E50" s="172" t="s">
        <v>42</v>
      </c>
      <c r="F50" s="117" t="str">
        <f>_xlfn.XLOOKUP(tblF42023[[#This Row],[FULL_NAME]],F6Results_2026[Full_Name],F6Results_2026[Comb],"",0,1)</f>
        <v/>
      </c>
      <c r="G50" s="117"/>
      <c r="H5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0" s="173" t="s">
        <v>530</v>
      </c>
      <c r="J50" s="173">
        <v>2025</v>
      </c>
      <c r="K50" s="173" t="s">
        <v>3</v>
      </c>
      <c r="L50" s="173" t="s">
        <v>2</v>
      </c>
      <c r="M50" s="173" t="s">
        <v>3</v>
      </c>
      <c r="N50" s="173" t="s">
        <v>4</v>
      </c>
      <c r="O50" s="173" t="s">
        <v>4</v>
      </c>
      <c r="P50" s="173"/>
      <c r="Q50" s="173"/>
      <c r="R50" s="173"/>
      <c r="S50" s="173"/>
      <c r="T50" s="173" t="s">
        <v>4</v>
      </c>
      <c r="U50" s="173"/>
      <c r="V50" s="173" t="s">
        <v>4</v>
      </c>
      <c r="W50" s="173" t="s">
        <v>3</v>
      </c>
      <c r="X50" s="173" t="s">
        <v>3</v>
      </c>
      <c r="Y50" s="173" t="s">
        <v>5</v>
      </c>
      <c r="Z50" s="118"/>
      <c r="AA50" s="119">
        <f>COUNTIF(tblF42023[[#This Row],[CIV]:[BIBLE]],"A")</f>
        <v>1</v>
      </c>
      <c r="AB50" s="119">
        <v>15</v>
      </c>
      <c r="AC50" s="119" t="s">
        <v>10</v>
      </c>
      <c r="AD50" s="120">
        <v>7</v>
      </c>
      <c r="AE50" s="173">
        <v>6</v>
      </c>
      <c r="AF50" s="173">
        <v>6</v>
      </c>
      <c r="AG50" s="173" t="s">
        <v>661</v>
      </c>
      <c r="AH50" s="173">
        <v>6</v>
      </c>
      <c r="AI50" s="173">
        <v>6</v>
      </c>
      <c r="AJ50" s="173">
        <v>8</v>
      </c>
      <c r="AK50" s="173" t="s">
        <v>661</v>
      </c>
      <c r="AL50" s="173">
        <v>8</v>
      </c>
      <c r="AM50" s="173">
        <v>9</v>
      </c>
      <c r="AN50" s="173" t="s">
        <v>661</v>
      </c>
      <c r="AO50" s="173">
        <v>7</v>
      </c>
      <c r="AP5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5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0" s="173" t="s">
        <v>991</v>
      </c>
      <c r="AU5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5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5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5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51" spans="1:53" x14ac:dyDescent="0.3">
      <c r="A51" s="173" t="s">
        <v>588</v>
      </c>
      <c r="B51" s="173"/>
      <c r="C51" s="171" t="s">
        <v>335</v>
      </c>
      <c r="D51" s="172" t="s">
        <v>84</v>
      </c>
      <c r="E51" s="172" t="s">
        <v>42</v>
      </c>
      <c r="F51" s="117" t="str">
        <f>_xlfn.XLOOKUP(tblF42023[[#This Row],[FULL_NAME]],F6Results_2026[Full_Name],F6Results_2026[Comb],"",0,1)</f>
        <v>CBA</v>
      </c>
      <c r="G51" s="117"/>
      <c r="H5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1" s="173" t="s">
        <v>530</v>
      </c>
      <c r="J51" s="173">
        <v>2025</v>
      </c>
      <c r="K51" s="173" t="s">
        <v>3</v>
      </c>
      <c r="L51" s="173" t="s">
        <v>3</v>
      </c>
      <c r="M51" s="173" t="s">
        <v>2</v>
      </c>
      <c r="N51" s="173" t="s">
        <v>2</v>
      </c>
      <c r="O51" s="173" t="s">
        <v>4</v>
      </c>
      <c r="P51" s="173"/>
      <c r="Q51" s="173"/>
      <c r="R51" s="173"/>
      <c r="S51" s="173"/>
      <c r="T51" s="173" t="s">
        <v>3</v>
      </c>
      <c r="U51" s="173"/>
      <c r="V51" s="173" t="s">
        <v>3</v>
      </c>
      <c r="W51" s="173" t="s">
        <v>2</v>
      </c>
      <c r="X51" s="173" t="s">
        <v>2</v>
      </c>
      <c r="Y51" s="173" t="s">
        <v>4</v>
      </c>
      <c r="Z51" s="118"/>
      <c r="AA51" s="119">
        <f>COUNTIF(tblF42023[[#This Row],[CIV]:[BIBLE]],"A")</f>
        <v>4</v>
      </c>
      <c r="AB51" s="119">
        <v>10</v>
      </c>
      <c r="AC51" s="119" t="s">
        <v>10</v>
      </c>
      <c r="AD51" s="120">
        <v>6</v>
      </c>
      <c r="AE51" s="173">
        <v>5</v>
      </c>
      <c r="AF51" s="173">
        <v>3</v>
      </c>
      <c r="AG51" s="173" t="s">
        <v>661</v>
      </c>
      <c r="AH51" s="173">
        <v>6</v>
      </c>
      <c r="AI51" s="173">
        <v>4</v>
      </c>
      <c r="AJ51" s="173">
        <v>5</v>
      </c>
      <c r="AK51" s="173" t="s">
        <v>661</v>
      </c>
      <c r="AL51" s="173">
        <v>5</v>
      </c>
      <c r="AM51" s="173">
        <v>6</v>
      </c>
      <c r="AN51" s="173" t="s">
        <v>661</v>
      </c>
      <c r="AO51" s="173">
        <v>4</v>
      </c>
      <c r="AP5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1" s="173" t="s">
        <v>991</v>
      </c>
      <c r="AU5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52" spans="1:53" x14ac:dyDescent="0.3">
      <c r="A52" s="173" t="s">
        <v>589</v>
      </c>
      <c r="B52" s="173"/>
      <c r="C52" s="171" t="s">
        <v>284</v>
      </c>
      <c r="D52" s="172" t="s">
        <v>84</v>
      </c>
      <c r="E52" s="172" t="s">
        <v>42</v>
      </c>
      <c r="F52" s="117" t="str">
        <f>_xlfn.XLOOKUP(tblF42023[[#This Row],[FULL_NAME]],F6Results_2026[Full_Name],F6Results_2026[Comb],"",0,1)</f>
        <v>PCB</v>
      </c>
      <c r="G52" s="117"/>
      <c r="H5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2" s="173" t="s">
        <v>530</v>
      </c>
      <c r="J52" s="173">
        <v>2025</v>
      </c>
      <c r="K52" s="173" t="s">
        <v>2</v>
      </c>
      <c r="L52" s="173" t="s">
        <v>2</v>
      </c>
      <c r="M52" s="173" t="s">
        <v>2</v>
      </c>
      <c r="N52" s="173" t="s">
        <v>2</v>
      </c>
      <c r="O52" s="173" t="s">
        <v>2</v>
      </c>
      <c r="P52" s="173"/>
      <c r="Q52" s="173"/>
      <c r="R52" s="173"/>
      <c r="S52" s="173"/>
      <c r="T52" s="173" t="s">
        <v>2</v>
      </c>
      <c r="U52" s="173" t="s">
        <v>2</v>
      </c>
      <c r="V52" s="173"/>
      <c r="W52" s="173" t="s">
        <v>2</v>
      </c>
      <c r="X52" s="173" t="s">
        <v>2</v>
      </c>
      <c r="Y52" s="173" t="s">
        <v>3</v>
      </c>
      <c r="Z52" s="118"/>
      <c r="AA52" s="119">
        <f>COUNTIF(tblF42023[[#This Row],[CIV]:[BIBLE]],"A")</f>
        <v>9</v>
      </c>
      <c r="AB52" s="119">
        <v>7</v>
      </c>
      <c r="AC52" s="119" t="s">
        <v>10</v>
      </c>
      <c r="AD52" s="120">
        <v>3</v>
      </c>
      <c r="AE52" s="173">
        <v>3</v>
      </c>
      <c r="AF52" s="173">
        <v>3</v>
      </c>
      <c r="AG52" s="173" t="s">
        <v>661</v>
      </c>
      <c r="AH52" s="173">
        <v>3</v>
      </c>
      <c r="AI52" s="173">
        <v>3</v>
      </c>
      <c r="AJ52" s="173">
        <v>3</v>
      </c>
      <c r="AK52" s="173" t="s">
        <v>661</v>
      </c>
      <c r="AL52" s="173">
        <v>4</v>
      </c>
      <c r="AM52" s="173">
        <v>4</v>
      </c>
      <c r="AN52" s="173" t="s">
        <v>661</v>
      </c>
      <c r="AO52" s="173" t="s">
        <v>661</v>
      </c>
      <c r="AP5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2" s="173" t="s">
        <v>991</v>
      </c>
      <c r="AU5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53" spans="1:53" x14ac:dyDescent="0.3">
      <c r="A53" s="173" t="s">
        <v>590</v>
      </c>
      <c r="B53" s="173"/>
      <c r="C53" s="171" t="s">
        <v>322</v>
      </c>
      <c r="D53" s="172" t="s">
        <v>84</v>
      </c>
      <c r="E53" s="172" t="s">
        <v>42</v>
      </c>
      <c r="F53" s="117" t="str">
        <f>_xlfn.XLOOKUP(tblF42023[[#This Row],[FULL_NAME]],F6Results_2026[Full_Name],F6Results_2026[Comb],"",0,1)</f>
        <v>ECA</v>
      </c>
      <c r="G53" s="117"/>
      <c r="H5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53" s="173" t="s">
        <v>530</v>
      </c>
      <c r="J53" s="173">
        <v>2025</v>
      </c>
      <c r="K53" s="173" t="s">
        <v>3</v>
      </c>
      <c r="L53" s="173" t="s">
        <v>4</v>
      </c>
      <c r="M53" s="173" t="s">
        <v>2</v>
      </c>
      <c r="N53" s="173" t="s">
        <v>2</v>
      </c>
      <c r="O53" s="173" t="s">
        <v>4</v>
      </c>
      <c r="P53" s="173"/>
      <c r="Q53" s="173" t="s">
        <v>3</v>
      </c>
      <c r="R53" s="173" t="s">
        <v>4</v>
      </c>
      <c r="S53" s="173"/>
      <c r="T53" s="173" t="s">
        <v>4</v>
      </c>
      <c r="U53" s="173"/>
      <c r="V53" s="173"/>
      <c r="W53" s="173"/>
      <c r="X53" s="173" t="s">
        <v>3</v>
      </c>
      <c r="Y53" s="173"/>
      <c r="Z53" s="118" t="s">
        <v>2</v>
      </c>
      <c r="AA53" s="119">
        <f>COUNTIF(tblF42023[[#This Row],[CIV]:[BIBLE]],"A")</f>
        <v>3</v>
      </c>
      <c r="AB53" s="119">
        <v>12</v>
      </c>
      <c r="AC53" s="119" t="s">
        <v>10</v>
      </c>
      <c r="AD53" s="120">
        <v>7</v>
      </c>
      <c r="AE53" s="173">
        <v>7</v>
      </c>
      <c r="AF53" s="173" t="s">
        <v>661</v>
      </c>
      <c r="AG53" s="173" t="s">
        <v>661</v>
      </c>
      <c r="AH53" s="173">
        <v>7</v>
      </c>
      <c r="AI53" s="173">
        <v>5</v>
      </c>
      <c r="AJ53" s="173">
        <v>7</v>
      </c>
      <c r="AK53" s="173">
        <v>8</v>
      </c>
      <c r="AL53" s="173" t="s">
        <v>661</v>
      </c>
      <c r="AM53" s="173" t="s">
        <v>661</v>
      </c>
      <c r="AN53" s="173" t="s">
        <v>661</v>
      </c>
      <c r="AO53" s="173" t="s">
        <v>661</v>
      </c>
      <c r="AP5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5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5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5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3" s="173" t="s">
        <v>992</v>
      </c>
      <c r="AU5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5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5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5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5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54" spans="1:53" x14ac:dyDescent="0.3">
      <c r="A54" s="173" t="s">
        <v>591</v>
      </c>
      <c r="B54" s="173"/>
      <c r="C54" s="171" t="s">
        <v>330</v>
      </c>
      <c r="D54" s="172" t="s">
        <v>84</v>
      </c>
      <c r="E54" s="172" t="s">
        <v>42</v>
      </c>
      <c r="F54" s="117" t="str">
        <f>_xlfn.XLOOKUP(tblF42023[[#This Row],[FULL_NAME]],F6Results_2026[Full_Name],F6Results_2026[Comb],"",0,1)</f>
        <v>CBA</v>
      </c>
      <c r="G54" s="117"/>
      <c r="H5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4" s="173" t="s">
        <v>530</v>
      </c>
      <c r="J54" s="173">
        <v>2025</v>
      </c>
      <c r="K54" s="173" t="s">
        <v>2</v>
      </c>
      <c r="L54" s="173" t="s">
        <v>2</v>
      </c>
      <c r="M54" s="173" t="s">
        <v>2</v>
      </c>
      <c r="N54" s="173" t="s">
        <v>2</v>
      </c>
      <c r="O54" s="173" t="s">
        <v>3</v>
      </c>
      <c r="P54" s="173"/>
      <c r="Q54" s="173"/>
      <c r="R54" s="173"/>
      <c r="S54" s="173"/>
      <c r="T54" s="173" t="s">
        <v>3</v>
      </c>
      <c r="U54" s="173"/>
      <c r="V54" s="173" t="s">
        <v>3</v>
      </c>
      <c r="W54" s="173" t="s">
        <v>2</v>
      </c>
      <c r="X54" s="173" t="s">
        <v>2</v>
      </c>
      <c r="Y54" s="173" t="s">
        <v>4</v>
      </c>
      <c r="Z54" s="118"/>
      <c r="AA54" s="119">
        <f>COUNTIF(tblF42023[[#This Row],[CIV]:[BIBLE]],"A")</f>
        <v>6</v>
      </c>
      <c r="AB54" s="119">
        <v>8</v>
      </c>
      <c r="AC54" s="119" t="s">
        <v>10</v>
      </c>
      <c r="AD54" s="120">
        <v>4</v>
      </c>
      <c r="AE54" s="173">
        <v>4</v>
      </c>
      <c r="AF54" s="173">
        <v>3</v>
      </c>
      <c r="AG54" s="173" t="s">
        <v>661</v>
      </c>
      <c r="AH54" s="173">
        <v>4</v>
      </c>
      <c r="AI54" s="173">
        <v>3</v>
      </c>
      <c r="AJ54" s="173">
        <v>5</v>
      </c>
      <c r="AK54" s="173" t="s">
        <v>661</v>
      </c>
      <c r="AL54" s="173">
        <v>5</v>
      </c>
      <c r="AM54" s="173">
        <v>6</v>
      </c>
      <c r="AN54" s="173" t="s">
        <v>661</v>
      </c>
      <c r="AO54" s="173">
        <v>4</v>
      </c>
      <c r="AP5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4" s="173" t="s">
        <v>991</v>
      </c>
      <c r="AU5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55" spans="1:53" x14ac:dyDescent="0.3">
      <c r="A55" s="173" t="s">
        <v>592</v>
      </c>
      <c r="B55" s="173"/>
      <c r="C55" s="171" t="s">
        <v>326</v>
      </c>
      <c r="D55" s="172" t="s">
        <v>84</v>
      </c>
      <c r="E55" s="172" t="s">
        <v>42</v>
      </c>
      <c r="F55" s="117" t="str">
        <f>_xlfn.XLOOKUP(tblF42023[[#This Row],[FULL_NAME]],F6Results_2026[Full_Name],F6Results_2026[Comb],"",0,1)</f>
        <v>ECA</v>
      </c>
      <c r="G55" s="117"/>
      <c r="H5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55" s="173" t="s">
        <v>530</v>
      </c>
      <c r="J55" s="173">
        <v>2025</v>
      </c>
      <c r="K55" s="173" t="s">
        <v>2</v>
      </c>
      <c r="L55" s="173" t="s">
        <v>2</v>
      </c>
      <c r="M55" s="173" t="s">
        <v>2</v>
      </c>
      <c r="N55" s="173" t="s">
        <v>2</v>
      </c>
      <c r="O55" s="173" t="s">
        <v>2</v>
      </c>
      <c r="P55" s="173" t="s">
        <v>3</v>
      </c>
      <c r="Q55" s="173" t="s">
        <v>3</v>
      </c>
      <c r="R55" s="173" t="s">
        <v>3</v>
      </c>
      <c r="S55" s="173"/>
      <c r="T55" s="173" t="s">
        <v>4</v>
      </c>
      <c r="U55" s="173"/>
      <c r="V55" s="173"/>
      <c r="W55" s="173"/>
      <c r="X55" s="173" t="s">
        <v>3</v>
      </c>
      <c r="Y55" s="173"/>
      <c r="Z55" s="118"/>
      <c r="AA55" s="119">
        <f>COUNTIF(tblF42023[[#This Row],[CIV]:[BIBLE]],"A")</f>
        <v>5</v>
      </c>
      <c r="AB55" s="119">
        <v>9</v>
      </c>
      <c r="AC55" s="119" t="s">
        <v>10</v>
      </c>
      <c r="AD55" s="120">
        <v>3</v>
      </c>
      <c r="AE55" s="173">
        <v>5</v>
      </c>
      <c r="AF55" s="173" t="s">
        <v>661</v>
      </c>
      <c r="AG55" s="173" t="s">
        <v>661</v>
      </c>
      <c r="AH55" s="173">
        <v>3</v>
      </c>
      <c r="AI55" s="173">
        <v>3</v>
      </c>
      <c r="AJ55" s="173">
        <v>7</v>
      </c>
      <c r="AK55" s="173">
        <v>7</v>
      </c>
      <c r="AL55" s="173" t="s">
        <v>661</v>
      </c>
      <c r="AM55" s="173" t="s">
        <v>661</v>
      </c>
      <c r="AN55" s="173" t="s">
        <v>661</v>
      </c>
      <c r="AO55" s="173" t="s">
        <v>661</v>
      </c>
      <c r="AP5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5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5" s="173" t="s">
        <v>991</v>
      </c>
      <c r="AU5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5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5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5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5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56" spans="1:53" x14ac:dyDescent="0.3">
      <c r="A56" s="173" t="s">
        <v>593</v>
      </c>
      <c r="B56" s="173"/>
      <c r="C56" s="171" t="s">
        <v>226</v>
      </c>
      <c r="D56" s="172" t="s">
        <v>84</v>
      </c>
      <c r="E56" s="172" t="s">
        <v>42</v>
      </c>
      <c r="F56" s="117" t="str">
        <f>_xlfn.XLOOKUP(tblF42023[[#This Row],[FULL_NAME]],F6Results_2026[Full_Name],F6Results_2026[Comb],"",0,1)</f>
        <v>PCM</v>
      </c>
      <c r="G56" s="117"/>
      <c r="H5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6" s="173" t="s">
        <v>530</v>
      </c>
      <c r="J56" s="173">
        <v>2025</v>
      </c>
      <c r="K56" s="173" t="s">
        <v>2</v>
      </c>
      <c r="L56" s="173" t="s">
        <v>2</v>
      </c>
      <c r="M56" s="173" t="s">
        <v>2</v>
      </c>
      <c r="N56" s="173" t="s">
        <v>2</v>
      </c>
      <c r="O56" s="173" t="s">
        <v>2</v>
      </c>
      <c r="P56" s="173"/>
      <c r="Q56" s="173"/>
      <c r="R56" s="173"/>
      <c r="S56" s="173"/>
      <c r="T56" s="173" t="s">
        <v>2</v>
      </c>
      <c r="U56" s="173" t="s">
        <v>2</v>
      </c>
      <c r="V56" s="173"/>
      <c r="W56" s="173" t="s">
        <v>2</v>
      </c>
      <c r="X56" s="173" t="s">
        <v>2</v>
      </c>
      <c r="Y56" s="173" t="s">
        <v>2</v>
      </c>
      <c r="Z56" s="118"/>
      <c r="AA56" s="119">
        <f>COUNTIF(tblF42023[[#This Row],[CIV]:[BIBLE]],"A")</f>
        <v>10</v>
      </c>
      <c r="AB56" s="119">
        <v>7</v>
      </c>
      <c r="AC56" s="119" t="s">
        <v>10</v>
      </c>
      <c r="AD56" s="120">
        <v>3</v>
      </c>
      <c r="AE56" s="173">
        <v>3</v>
      </c>
      <c r="AF56" s="173">
        <v>3</v>
      </c>
      <c r="AG56" s="173" t="s">
        <v>661</v>
      </c>
      <c r="AH56" s="173">
        <v>3</v>
      </c>
      <c r="AI56" s="173">
        <v>3</v>
      </c>
      <c r="AJ56" s="173">
        <v>3</v>
      </c>
      <c r="AK56" s="173" t="s">
        <v>661</v>
      </c>
      <c r="AL56" s="173">
        <v>3</v>
      </c>
      <c r="AM56" s="173">
        <v>3</v>
      </c>
      <c r="AN56" s="173" t="s">
        <v>661</v>
      </c>
      <c r="AO56" s="173" t="s">
        <v>661</v>
      </c>
      <c r="AP5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6" s="173" t="s">
        <v>991</v>
      </c>
      <c r="AU5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57" spans="1:53" x14ac:dyDescent="0.3">
      <c r="A57" s="173" t="s">
        <v>594</v>
      </c>
      <c r="B57" s="173"/>
      <c r="C57" s="171" t="s">
        <v>595</v>
      </c>
      <c r="D57" s="172" t="s">
        <v>84</v>
      </c>
      <c r="E57" s="172" t="s">
        <v>42</v>
      </c>
      <c r="F57" s="117" t="str">
        <f>_xlfn.XLOOKUP(tblF42023[[#This Row],[FULL_NAME]],F6Results_2026[Full_Name],F6Results_2026[Comb],"",0,1)</f>
        <v/>
      </c>
      <c r="G57" s="117"/>
      <c r="H5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7" s="173" t="s">
        <v>530</v>
      </c>
      <c r="J57" s="173">
        <v>2025</v>
      </c>
      <c r="K57" s="173" t="s">
        <v>2</v>
      </c>
      <c r="L57" s="173" t="s">
        <v>2</v>
      </c>
      <c r="M57" s="173" t="s">
        <v>2</v>
      </c>
      <c r="N57" s="173" t="s">
        <v>2</v>
      </c>
      <c r="O57" s="173" t="s">
        <v>3</v>
      </c>
      <c r="P57" s="173"/>
      <c r="Q57" s="173"/>
      <c r="R57" s="173"/>
      <c r="S57" s="173"/>
      <c r="T57" s="173" t="s">
        <v>2</v>
      </c>
      <c r="U57" s="173" t="s">
        <v>3</v>
      </c>
      <c r="V57" s="173"/>
      <c r="W57" s="173" t="s">
        <v>2</v>
      </c>
      <c r="X57" s="173" t="s">
        <v>3</v>
      </c>
      <c r="Y57" s="173" t="s">
        <v>4</v>
      </c>
      <c r="Z57" s="118"/>
      <c r="AA57" s="119">
        <f>COUNTIF(tblF42023[[#This Row],[CIV]:[BIBLE]],"A")</f>
        <v>6</v>
      </c>
      <c r="AB57" s="119">
        <v>8</v>
      </c>
      <c r="AC57" s="119" t="s">
        <v>10</v>
      </c>
      <c r="AD57" s="120">
        <v>4</v>
      </c>
      <c r="AE57" s="173">
        <v>3</v>
      </c>
      <c r="AF57" s="173">
        <v>4</v>
      </c>
      <c r="AG57" s="173" t="s">
        <v>661</v>
      </c>
      <c r="AH57" s="173">
        <v>4</v>
      </c>
      <c r="AI57" s="173">
        <v>3</v>
      </c>
      <c r="AJ57" s="173">
        <v>3</v>
      </c>
      <c r="AK57" s="173" t="s">
        <v>661</v>
      </c>
      <c r="AL57" s="173">
        <v>6</v>
      </c>
      <c r="AM57" s="173">
        <v>5</v>
      </c>
      <c r="AN57" s="173" t="s">
        <v>661</v>
      </c>
      <c r="AO57" s="173" t="s">
        <v>661</v>
      </c>
      <c r="AP5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7" s="173" t="s">
        <v>991</v>
      </c>
      <c r="AU5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58" spans="1:53" x14ac:dyDescent="0.3">
      <c r="A58" s="173" t="s">
        <v>596</v>
      </c>
      <c r="B58" s="173"/>
      <c r="C58" s="171" t="s">
        <v>171</v>
      </c>
      <c r="D58" s="172" t="s">
        <v>84</v>
      </c>
      <c r="E58" s="172" t="s">
        <v>42</v>
      </c>
      <c r="F58" s="117" t="str">
        <f>_xlfn.XLOOKUP(tblF42023[[#This Row],[FULL_NAME]],F6Results_2026[Full_Name],F6Results_2026[Comb],"",0,1)</f>
        <v>EGM</v>
      </c>
      <c r="G58" s="117"/>
      <c r="H5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8" s="173" t="s">
        <v>530</v>
      </c>
      <c r="J58" s="173">
        <v>2025</v>
      </c>
      <c r="K58" s="173" t="s">
        <v>2</v>
      </c>
      <c r="L58" s="173" t="s">
        <v>3</v>
      </c>
      <c r="M58" s="173" t="s">
        <v>2</v>
      </c>
      <c r="N58" s="173" t="s">
        <v>2</v>
      </c>
      <c r="O58" s="173" t="s">
        <v>3</v>
      </c>
      <c r="P58" s="173"/>
      <c r="Q58" s="173"/>
      <c r="R58" s="173"/>
      <c r="S58" s="173"/>
      <c r="T58" s="173" t="s">
        <v>2</v>
      </c>
      <c r="U58" s="173" t="s">
        <v>3</v>
      </c>
      <c r="V58" s="173"/>
      <c r="W58" s="173" t="s">
        <v>2</v>
      </c>
      <c r="X58" s="173" t="s">
        <v>3</v>
      </c>
      <c r="Y58" s="173" t="s">
        <v>4</v>
      </c>
      <c r="Z58" s="118"/>
      <c r="AA58" s="119">
        <f>COUNTIF(tblF42023[[#This Row],[CIV]:[BIBLE]],"A")</f>
        <v>5</v>
      </c>
      <c r="AB58" s="119">
        <v>9</v>
      </c>
      <c r="AC58" s="119" t="s">
        <v>10</v>
      </c>
      <c r="AD58" s="120">
        <v>5</v>
      </c>
      <c r="AE58" s="173">
        <v>4</v>
      </c>
      <c r="AF58" s="173">
        <v>4</v>
      </c>
      <c r="AG58" s="173" t="s">
        <v>661</v>
      </c>
      <c r="AH58" s="173">
        <v>5</v>
      </c>
      <c r="AI58" s="173">
        <v>4</v>
      </c>
      <c r="AJ58" s="173">
        <v>3</v>
      </c>
      <c r="AK58" s="173" t="s">
        <v>661</v>
      </c>
      <c r="AL58" s="173">
        <v>6</v>
      </c>
      <c r="AM58" s="173">
        <v>5</v>
      </c>
      <c r="AN58" s="173" t="s">
        <v>661</v>
      </c>
      <c r="AO58" s="173" t="s">
        <v>661</v>
      </c>
      <c r="AP5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8" s="173" t="s">
        <v>991</v>
      </c>
      <c r="AU5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59" spans="1:53" x14ac:dyDescent="0.3">
      <c r="A59" s="173" t="s">
        <v>597</v>
      </c>
      <c r="B59" s="173"/>
      <c r="C59" s="171" t="s">
        <v>598</v>
      </c>
      <c r="D59" s="172" t="s">
        <v>84</v>
      </c>
      <c r="E59" s="172" t="s">
        <v>42</v>
      </c>
      <c r="F59" s="117" t="str">
        <f>_xlfn.XLOOKUP(tblF42023[[#This Row],[FULL_NAME]],F6Results_2026[Full_Name],F6Results_2026[Comb],"",0,1)</f>
        <v/>
      </c>
      <c r="G59" s="117"/>
      <c r="H5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59" s="173" t="s">
        <v>530</v>
      </c>
      <c r="J59" s="173">
        <v>2025</v>
      </c>
      <c r="K59" s="173" t="s">
        <v>2</v>
      </c>
      <c r="L59" s="173" t="s">
        <v>2</v>
      </c>
      <c r="M59" s="173" t="s">
        <v>3</v>
      </c>
      <c r="N59" s="173" t="s">
        <v>2</v>
      </c>
      <c r="O59" s="173" t="s">
        <v>3</v>
      </c>
      <c r="P59" s="173"/>
      <c r="Q59" s="173"/>
      <c r="R59" s="173"/>
      <c r="S59" s="173"/>
      <c r="T59" s="173" t="s">
        <v>2</v>
      </c>
      <c r="U59" s="173"/>
      <c r="V59" s="173" t="s">
        <v>3</v>
      </c>
      <c r="W59" s="173" t="s">
        <v>2</v>
      </c>
      <c r="X59" s="173" t="s">
        <v>2</v>
      </c>
      <c r="Y59" s="173" t="s">
        <v>4</v>
      </c>
      <c r="Z59" s="118"/>
      <c r="AA59" s="119">
        <f>COUNTIF(tblF42023[[#This Row],[CIV]:[BIBLE]],"A")</f>
        <v>6</v>
      </c>
      <c r="AB59" s="119">
        <v>8</v>
      </c>
      <c r="AC59" s="119" t="s">
        <v>10</v>
      </c>
      <c r="AD59" s="120">
        <v>4</v>
      </c>
      <c r="AE59" s="173">
        <v>4</v>
      </c>
      <c r="AF59" s="173">
        <v>4</v>
      </c>
      <c r="AG59" s="173" t="s">
        <v>661</v>
      </c>
      <c r="AH59" s="173">
        <v>5</v>
      </c>
      <c r="AI59" s="173">
        <v>4</v>
      </c>
      <c r="AJ59" s="173">
        <v>4</v>
      </c>
      <c r="AK59" s="173" t="s">
        <v>661</v>
      </c>
      <c r="AL59" s="173">
        <v>5</v>
      </c>
      <c r="AM59" s="173">
        <v>5</v>
      </c>
      <c r="AN59" s="173" t="s">
        <v>661</v>
      </c>
      <c r="AO59" s="173">
        <v>4</v>
      </c>
      <c r="AP5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5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5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5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59" s="173" t="s">
        <v>991</v>
      </c>
      <c r="AU5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5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5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5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5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5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5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60" spans="1:53" x14ac:dyDescent="0.3">
      <c r="A60" s="173" t="s">
        <v>599</v>
      </c>
      <c r="B60" s="173"/>
      <c r="C60" s="171" t="s">
        <v>331</v>
      </c>
      <c r="D60" s="172" t="s">
        <v>84</v>
      </c>
      <c r="E60" s="172" t="s">
        <v>42</v>
      </c>
      <c r="F60" s="117" t="str">
        <f>_xlfn.XLOOKUP(tblF42023[[#This Row],[FULL_NAME]],F6Results_2026[Full_Name],F6Results_2026[Comb],"",0,1)</f>
        <v>CBA</v>
      </c>
      <c r="G60" s="117"/>
      <c r="H6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60" s="173" t="s">
        <v>530</v>
      </c>
      <c r="J60" s="173">
        <v>2025</v>
      </c>
      <c r="K60" s="173" t="s">
        <v>2</v>
      </c>
      <c r="L60" s="173" t="s">
        <v>2</v>
      </c>
      <c r="M60" s="173" t="s">
        <v>2</v>
      </c>
      <c r="N60" s="173" t="s">
        <v>2</v>
      </c>
      <c r="O60" s="173" t="s">
        <v>3</v>
      </c>
      <c r="P60" s="173"/>
      <c r="Q60" s="173"/>
      <c r="R60" s="173"/>
      <c r="S60" s="173"/>
      <c r="T60" s="173" t="s">
        <v>2</v>
      </c>
      <c r="U60" s="173"/>
      <c r="V60" s="173" t="s">
        <v>3</v>
      </c>
      <c r="W60" s="173" t="s">
        <v>2</v>
      </c>
      <c r="X60" s="173" t="s">
        <v>2</v>
      </c>
      <c r="Y60" s="173" t="s">
        <v>5</v>
      </c>
      <c r="Z60" s="118"/>
      <c r="AA60" s="119">
        <f>COUNTIF(tblF42023[[#This Row],[CIV]:[BIBLE]],"A")</f>
        <v>7</v>
      </c>
      <c r="AB60" s="119">
        <v>7</v>
      </c>
      <c r="AC60" s="119" t="s">
        <v>10</v>
      </c>
      <c r="AD60" s="120">
        <v>4</v>
      </c>
      <c r="AE60" s="173">
        <v>3</v>
      </c>
      <c r="AF60" s="173">
        <v>3</v>
      </c>
      <c r="AG60" s="173" t="s">
        <v>661</v>
      </c>
      <c r="AH60" s="173">
        <v>4</v>
      </c>
      <c r="AI60" s="173">
        <v>3</v>
      </c>
      <c r="AJ60" s="173">
        <v>3</v>
      </c>
      <c r="AK60" s="173" t="s">
        <v>661</v>
      </c>
      <c r="AL60" s="173">
        <v>6</v>
      </c>
      <c r="AM60" s="173">
        <v>6</v>
      </c>
      <c r="AN60" s="173" t="s">
        <v>661</v>
      </c>
      <c r="AO60" s="173">
        <v>4</v>
      </c>
      <c r="AP6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6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60" s="173" t="s">
        <v>991</v>
      </c>
      <c r="AU6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6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6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61" spans="1:53" x14ac:dyDescent="0.3">
      <c r="A61" s="173" t="s">
        <v>600</v>
      </c>
      <c r="B61" s="173"/>
      <c r="C61" s="171" t="s">
        <v>601</v>
      </c>
      <c r="D61" s="172" t="s">
        <v>84</v>
      </c>
      <c r="E61" s="172" t="s">
        <v>42</v>
      </c>
      <c r="F61" s="117" t="str">
        <f>_xlfn.XLOOKUP(tblF42023[[#This Row],[FULL_NAME]],F6Results_2026[Full_Name],F6Results_2026[Comb],"",0,1)</f>
        <v/>
      </c>
      <c r="G61" s="117"/>
      <c r="H6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61" s="173" t="s">
        <v>530</v>
      </c>
      <c r="J61" s="173">
        <v>2025</v>
      </c>
      <c r="K61" s="173" t="s">
        <v>3</v>
      </c>
      <c r="L61" s="173" t="s">
        <v>3</v>
      </c>
      <c r="M61" s="173" t="s">
        <v>4</v>
      </c>
      <c r="N61" s="173" t="s">
        <v>3</v>
      </c>
      <c r="O61" s="173" t="s">
        <v>3</v>
      </c>
      <c r="P61" s="173"/>
      <c r="Q61" s="173"/>
      <c r="R61" s="173"/>
      <c r="S61" s="173" t="s">
        <v>4</v>
      </c>
      <c r="T61" s="173" t="s">
        <v>3</v>
      </c>
      <c r="U61" s="173"/>
      <c r="V61" s="173"/>
      <c r="W61" s="173"/>
      <c r="X61" s="173" t="s">
        <v>4</v>
      </c>
      <c r="Y61" s="173"/>
      <c r="Z61" s="118"/>
      <c r="AA61" s="119">
        <f>COUNTIF(tblF42023[[#This Row],[CIV]:[BIBLE]],"A")</f>
        <v>0</v>
      </c>
      <c r="AB61" s="119">
        <v>16</v>
      </c>
      <c r="AC61" s="119" t="s">
        <v>10</v>
      </c>
      <c r="AD61" s="120">
        <v>6</v>
      </c>
      <c r="AE61" s="173">
        <v>7</v>
      </c>
      <c r="AF61" s="173" t="s">
        <v>661</v>
      </c>
      <c r="AG61" s="173">
        <v>7</v>
      </c>
      <c r="AH61" s="173">
        <v>7</v>
      </c>
      <c r="AI61" s="173">
        <v>7</v>
      </c>
      <c r="AJ61" s="173">
        <v>7</v>
      </c>
      <c r="AK61" s="173" t="s">
        <v>661</v>
      </c>
      <c r="AL61" s="173" t="s">
        <v>661</v>
      </c>
      <c r="AM61" s="173" t="s">
        <v>661</v>
      </c>
      <c r="AN61" s="173" t="s">
        <v>661</v>
      </c>
      <c r="AO61" s="173" t="s">
        <v>661</v>
      </c>
      <c r="AP6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6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6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61" s="173" t="s">
        <v>992</v>
      </c>
      <c r="AU6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6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6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6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6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62" spans="1:53" x14ac:dyDescent="0.3">
      <c r="A62" s="173" t="s">
        <v>602</v>
      </c>
      <c r="B62" s="173"/>
      <c r="C62" s="171" t="s">
        <v>179</v>
      </c>
      <c r="D62" s="172" t="s">
        <v>84</v>
      </c>
      <c r="E62" s="172" t="s">
        <v>42</v>
      </c>
      <c r="F62" s="117" t="str">
        <f>_xlfn.XLOOKUP(tblF42023[[#This Row],[FULL_NAME]],F6Results_2026[Full_Name],F6Results_2026[Comb],"",0,1)</f>
        <v>EGM</v>
      </c>
      <c r="G62" s="117"/>
      <c r="H6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62" s="173" t="s">
        <v>530</v>
      </c>
      <c r="J62" s="173">
        <v>2025</v>
      </c>
      <c r="K62" s="173" t="s">
        <v>2</v>
      </c>
      <c r="L62" s="173" t="s">
        <v>2</v>
      </c>
      <c r="M62" s="173" t="s">
        <v>2</v>
      </c>
      <c r="N62" s="173" t="s">
        <v>3</v>
      </c>
      <c r="O62" s="173" t="s">
        <v>3</v>
      </c>
      <c r="P62" s="173"/>
      <c r="Q62" s="173"/>
      <c r="R62" s="173"/>
      <c r="S62" s="173"/>
      <c r="T62" s="173" t="s">
        <v>2</v>
      </c>
      <c r="U62" s="173"/>
      <c r="V62" s="173" t="s">
        <v>4</v>
      </c>
      <c r="W62" s="173" t="s">
        <v>2</v>
      </c>
      <c r="X62" s="173" t="s">
        <v>2</v>
      </c>
      <c r="Y62" s="173" t="s">
        <v>4</v>
      </c>
      <c r="Z62" s="118"/>
      <c r="AA62" s="119">
        <f>COUNTIF(tblF42023[[#This Row],[CIV]:[BIBLE]],"A")</f>
        <v>6</v>
      </c>
      <c r="AB62" s="119">
        <v>8</v>
      </c>
      <c r="AC62" s="119" t="s">
        <v>10</v>
      </c>
      <c r="AD62" s="120">
        <v>5</v>
      </c>
      <c r="AE62" s="173">
        <v>3</v>
      </c>
      <c r="AF62" s="173">
        <v>3</v>
      </c>
      <c r="AG62" s="173" t="s">
        <v>661</v>
      </c>
      <c r="AH62" s="173">
        <v>4</v>
      </c>
      <c r="AI62" s="173">
        <v>4</v>
      </c>
      <c r="AJ62" s="173">
        <v>3</v>
      </c>
      <c r="AK62" s="173" t="s">
        <v>661</v>
      </c>
      <c r="AL62" s="173">
        <v>5</v>
      </c>
      <c r="AM62" s="173">
        <v>5</v>
      </c>
      <c r="AN62" s="173" t="s">
        <v>661</v>
      </c>
      <c r="AO62" s="173">
        <v>5</v>
      </c>
      <c r="AP6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6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62" s="173" t="s">
        <v>991</v>
      </c>
      <c r="AU6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6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6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63" spans="1:53" x14ac:dyDescent="0.3">
      <c r="A63" s="173" t="s">
        <v>603</v>
      </c>
      <c r="B63" s="173"/>
      <c r="C63" s="171" t="s">
        <v>604</v>
      </c>
      <c r="D63" s="172" t="s">
        <v>84</v>
      </c>
      <c r="E63" s="172" t="s">
        <v>42</v>
      </c>
      <c r="F63" s="117" t="str">
        <f>_xlfn.XLOOKUP(tblF42023[[#This Row],[FULL_NAME]],F6Results_2026[Full_Name],F6Results_2026[Comb],"",0,1)</f>
        <v/>
      </c>
      <c r="G63" s="117"/>
      <c r="H6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63" s="173" t="s">
        <v>530</v>
      </c>
      <c r="J63" s="173">
        <v>2025</v>
      </c>
      <c r="K63" s="173" t="s">
        <v>3</v>
      </c>
      <c r="L63" s="173" t="s">
        <v>3</v>
      </c>
      <c r="M63" s="173" t="s">
        <v>3</v>
      </c>
      <c r="N63" s="173" t="s">
        <v>3</v>
      </c>
      <c r="O63" s="173" t="s">
        <v>4</v>
      </c>
      <c r="P63" s="173"/>
      <c r="Q63" s="173"/>
      <c r="R63" s="173"/>
      <c r="S63" s="173"/>
      <c r="T63" s="173" t="s">
        <v>2</v>
      </c>
      <c r="U63" s="173"/>
      <c r="V63" s="173" t="s">
        <v>4</v>
      </c>
      <c r="W63" s="173" t="s">
        <v>3</v>
      </c>
      <c r="X63" s="173" t="s">
        <v>3</v>
      </c>
      <c r="Y63" s="173" t="s">
        <v>4</v>
      </c>
      <c r="Z63" s="118"/>
      <c r="AA63" s="119">
        <f>COUNTIF(tblF42023[[#This Row],[CIV]:[BIBLE]],"A")</f>
        <v>1</v>
      </c>
      <c r="AB63" s="119">
        <v>13</v>
      </c>
      <c r="AC63" s="119" t="s">
        <v>10</v>
      </c>
      <c r="AD63" s="120">
        <v>7</v>
      </c>
      <c r="AE63" s="173">
        <v>5</v>
      </c>
      <c r="AF63" s="173">
        <v>6</v>
      </c>
      <c r="AG63" s="173" t="s">
        <v>661</v>
      </c>
      <c r="AH63" s="173">
        <v>7</v>
      </c>
      <c r="AI63" s="173">
        <v>6</v>
      </c>
      <c r="AJ63" s="173">
        <v>4</v>
      </c>
      <c r="AK63" s="173" t="s">
        <v>661</v>
      </c>
      <c r="AL63" s="173">
        <v>7</v>
      </c>
      <c r="AM63" s="173">
        <v>6</v>
      </c>
      <c r="AN63" s="173" t="s">
        <v>661</v>
      </c>
      <c r="AO63" s="173">
        <v>7</v>
      </c>
      <c r="AP6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6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6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63" s="173" t="s">
        <v>992</v>
      </c>
      <c r="AU6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6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6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64" spans="1:53" x14ac:dyDescent="0.3">
      <c r="A64" s="173" t="s">
        <v>605</v>
      </c>
      <c r="B64" s="173"/>
      <c r="C64" s="171" t="s">
        <v>238</v>
      </c>
      <c r="D64" s="172" t="s">
        <v>84</v>
      </c>
      <c r="E64" s="172" t="s">
        <v>42</v>
      </c>
      <c r="F64" s="117" t="str">
        <f>_xlfn.XLOOKUP(tblF42023[[#This Row],[FULL_NAME]],F6Results_2026[Full_Name],F6Results_2026[Comb],"",0,1)</f>
        <v>PCM</v>
      </c>
      <c r="G64" s="117"/>
      <c r="H6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64" s="173" t="s">
        <v>530</v>
      </c>
      <c r="J64" s="173">
        <v>2025</v>
      </c>
      <c r="K64" s="173" t="s">
        <v>2</v>
      </c>
      <c r="L64" s="173" t="s">
        <v>3</v>
      </c>
      <c r="M64" s="173" t="s">
        <v>2</v>
      </c>
      <c r="N64" s="173" t="s">
        <v>3</v>
      </c>
      <c r="O64" s="173" t="s">
        <v>3</v>
      </c>
      <c r="P64" s="173"/>
      <c r="Q64" s="173"/>
      <c r="R64" s="173"/>
      <c r="S64" s="173" t="s">
        <v>4</v>
      </c>
      <c r="T64" s="173" t="s">
        <v>2</v>
      </c>
      <c r="U64" s="173"/>
      <c r="V64" s="173"/>
      <c r="W64" s="173" t="s">
        <v>2</v>
      </c>
      <c r="X64" s="173" t="s">
        <v>2</v>
      </c>
      <c r="Y64" s="173" t="s">
        <v>4</v>
      </c>
      <c r="Z64" s="118"/>
      <c r="AA64" s="119">
        <f>COUNTIF(tblF42023[[#This Row],[CIV]:[BIBLE]],"A")</f>
        <v>5</v>
      </c>
      <c r="AB64" s="119">
        <v>9</v>
      </c>
      <c r="AC64" s="119" t="s">
        <v>10</v>
      </c>
      <c r="AD64" s="120">
        <v>6</v>
      </c>
      <c r="AE64" s="173">
        <v>4</v>
      </c>
      <c r="AF64" s="173">
        <v>3</v>
      </c>
      <c r="AG64" s="173">
        <v>5</v>
      </c>
      <c r="AH64" s="173">
        <v>5</v>
      </c>
      <c r="AI64" s="173">
        <v>5</v>
      </c>
      <c r="AJ64" s="173">
        <v>3</v>
      </c>
      <c r="AK64" s="173" t="s">
        <v>661</v>
      </c>
      <c r="AL64" s="173">
        <v>5</v>
      </c>
      <c r="AM64" s="173">
        <v>5</v>
      </c>
      <c r="AN64" s="173">
        <v>7</v>
      </c>
      <c r="AO64" s="173" t="s">
        <v>661</v>
      </c>
      <c r="AP6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6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64" s="173" t="s">
        <v>991</v>
      </c>
      <c r="AU6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6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6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6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65" spans="1:53" x14ac:dyDescent="0.3">
      <c r="A65" s="173" t="s">
        <v>606</v>
      </c>
      <c r="B65" s="173"/>
      <c r="C65" s="171" t="s">
        <v>607</v>
      </c>
      <c r="D65" s="172" t="s">
        <v>84</v>
      </c>
      <c r="E65" s="172" t="s">
        <v>42</v>
      </c>
      <c r="F65" s="117" t="str">
        <f>_xlfn.XLOOKUP(tblF42023[[#This Row],[FULL_NAME]],F6Results_2026[Full_Name],F6Results_2026[Comb],"",0,1)</f>
        <v/>
      </c>
      <c r="G65" s="117"/>
      <c r="H6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65" s="173" t="s">
        <v>530</v>
      </c>
      <c r="J65" s="173">
        <v>2025</v>
      </c>
      <c r="K65" s="173" t="s">
        <v>3</v>
      </c>
      <c r="L65" s="173" t="s">
        <v>3</v>
      </c>
      <c r="M65" s="173" t="s">
        <v>4</v>
      </c>
      <c r="N65" s="173" t="s">
        <v>3</v>
      </c>
      <c r="O65" s="173" t="s">
        <v>3</v>
      </c>
      <c r="P65" s="173" t="s">
        <v>4</v>
      </c>
      <c r="Q65" s="173"/>
      <c r="R65" s="173"/>
      <c r="S65" s="173" t="s">
        <v>3</v>
      </c>
      <c r="T65" s="173" t="s">
        <v>4</v>
      </c>
      <c r="U65" s="173"/>
      <c r="V65" s="173"/>
      <c r="W65" s="173"/>
      <c r="X65" s="173" t="s">
        <v>4</v>
      </c>
      <c r="Y65" s="173"/>
      <c r="Z65" s="118"/>
      <c r="AA65" s="119">
        <f>COUNTIF(tblF42023[[#This Row],[CIV]:[BIBLE]],"A")</f>
        <v>0</v>
      </c>
      <c r="AB65" s="119">
        <v>16</v>
      </c>
      <c r="AC65" s="119" t="s">
        <v>10</v>
      </c>
      <c r="AD65" s="120">
        <v>6</v>
      </c>
      <c r="AE65" s="173">
        <v>8</v>
      </c>
      <c r="AF65" s="173" t="s">
        <v>661</v>
      </c>
      <c r="AG65" s="173">
        <v>8</v>
      </c>
      <c r="AH65" s="173">
        <v>7</v>
      </c>
      <c r="AI65" s="173">
        <v>7</v>
      </c>
      <c r="AJ65" s="173">
        <v>9</v>
      </c>
      <c r="AK65" s="173" t="s">
        <v>661</v>
      </c>
      <c r="AL65" s="173" t="s">
        <v>661</v>
      </c>
      <c r="AM65" s="173" t="s">
        <v>661</v>
      </c>
      <c r="AN65" s="173" t="s">
        <v>661</v>
      </c>
      <c r="AO65" s="173" t="s">
        <v>661</v>
      </c>
      <c r="AP6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6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6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65" s="173" t="s">
        <v>992</v>
      </c>
      <c r="AU6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6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6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6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6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66" spans="1:53" x14ac:dyDescent="0.3">
      <c r="A66" s="173" t="s">
        <v>608</v>
      </c>
      <c r="B66" s="173"/>
      <c r="C66" s="171" t="s">
        <v>609</v>
      </c>
      <c r="D66" s="172" t="s">
        <v>84</v>
      </c>
      <c r="E66" s="172" t="s">
        <v>42</v>
      </c>
      <c r="F66" s="117" t="str">
        <f>_xlfn.XLOOKUP(tblF42023[[#This Row],[FULL_NAME]],F6Results_2026[Full_Name],F6Results_2026[Comb],"",0,1)</f>
        <v/>
      </c>
      <c r="G66" s="117"/>
      <c r="H6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66" s="173" t="s">
        <v>530</v>
      </c>
      <c r="J66" s="173">
        <v>2025</v>
      </c>
      <c r="K66" s="173" t="s">
        <v>3</v>
      </c>
      <c r="L66" s="173" t="s">
        <v>3</v>
      </c>
      <c r="M66" s="173" t="s">
        <v>2</v>
      </c>
      <c r="N66" s="173" t="s">
        <v>2</v>
      </c>
      <c r="O66" s="173" t="s">
        <v>2</v>
      </c>
      <c r="P66" s="173"/>
      <c r="Q66" s="173"/>
      <c r="R66" s="173"/>
      <c r="S66" s="173"/>
      <c r="T66" s="173" t="s">
        <v>3</v>
      </c>
      <c r="U66" s="173"/>
      <c r="V66" s="173"/>
      <c r="W66" s="173" t="s">
        <v>3</v>
      </c>
      <c r="X66" s="173" t="s">
        <v>4</v>
      </c>
      <c r="Y66" s="173" t="s">
        <v>4</v>
      </c>
      <c r="Z66" s="118" t="s">
        <v>2</v>
      </c>
      <c r="AA66" s="119">
        <f>COUNTIF(tblF42023[[#This Row],[CIV]:[BIBLE]],"A")</f>
        <v>4</v>
      </c>
      <c r="AB66" s="119">
        <v>10</v>
      </c>
      <c r="AC66" s="119" t="s">
        <v>10</v>
      </c>
      <c r="AD66" s="120">
        <v>4</v>
      </c>
      <c r="AE66" s="173">
        <v>5</v>
      </c>
      <c r="AF66" s="173">
        <v>6</v>
      </c>
      <c r="AG66" s="173" t="s">
        <v>661</v>
      </c>
      <c r="AH66" s="173">
        <v>4</v>
      </c>
      <c r="AI66" s="173">
        <v>4</v>
      </c>
      <c r="AJ66" s="173">
        <v>5</v>
      </c>
      <c r="AK66" s="173" t="s">
        <v>661</v>
      </c>
      <c r="AL66" s="173">
        <v>8</v>
      </c>
      <c r="AM66" s="173">
        <v>7</v>
      </c>
      <c r="AN66" s="173" t="s">
        <v>661</v>
      </c>
      <c r="AO66" s="173" t="s">
        <v>661</v>
      </c>
      <c r="AP6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6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66" s="173" t="s">
        <v>991</v>
      </c>
      <c r="AU6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6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6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67" spans="1:53" x14ac:dyDescent="0.3">
      <c r="A67" s="173" t="s">
        <v>610</v>
      </c>
      <c r="B67" s="173"/>
      <c r="C67" s="171" t="s">
        <v>611</v>
      </c>
      <c r="D67" s="172" t="s">
        <v>84</v>
      </c>
      <c r="E67" s="172" t="s">
        <v>42</v>
      </c>
      <c r="F67" s="117" t="str">
        <f>_xlfn.XLOOKUP(tblF42023[[#This Row],[FULL_NAME]],F6Results_2026[Full_Name],F6Results_2026[Comb],"",0,1)</f>
        <v/>
      </c>
      <c r="G67" s="117"/>
      <c r="H6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67" s="173" t="s">
        <v>530</v>
      </c>
      <c r="J67" s="173">
        <v>2025</v>
      </c>
      <c r="K67" s="173" t="s">
        <v>2</v>
      </c>
      <c r="L67" s="173" t="s">
        <v>2</v>
      </c>
      <c r="M67" s="173" t="s">
        <v>3</v>
      </c>
      <c r="N67" s="173" t="s">
        <v>2</v>
      </c>
      <c r="O67" s="173" t="s">
        <v>3</v>
      </c>
      <c r="P67" s="173"/>
      <c r="Q67" s="173"/>
      <c r="R67" s="173"/>
      <c r="S67" s="173"/>
      <c r="T67" s="173" t="s">
        <v>3</v>
      </c>
      <c r="U67" s="173"/>
      <c r="V67" s="173"/>
      <c r="W67" s="173"/>
      <c r="X67" s="173" t="s">
        <v>3</v>
      </c>
      <c r="Y67" s="173"/>
      <c r="Z67" s="118" t="s">
        <v>2</v>
      </c>
      <c r="AA67" s="119">
        <f>COUNTIF(tblF42023[[#This Row],[CIV]:[BIBLE]],"A")</f>
        <v>4</v>
      </c>
      <c r="AB67" s="119">
        <v>10</v>
      </c>
      <c r="AC67" s="119" t="s">
        <v>10</v>
      </c>
      <c r="AD67" s="120">
        <v>4</v>
      </c>
      <c r="AE67" s="173">
        <v>5</v>
      </c>
      <c r="AF67" s="173" t="s">
        <v>661</v>
      </c>
      <c r="AG67" s="173" t="s">
        <v>661</v>
      </c>
      <c r="AH67" s="173">
        <v>5</v>
      </c>
      <c r="AI67" s="173">
        <v>4</v>
      </c>
      <c r="AJ67" s="173">
        <v>6</v>
      </c>
      <c r="AK67" s="173" t="s">
        <v>661</v>
      </c>
      <c r="AL67" s="173" t="s">
        <v>661</v>
      </c>
      <c r="AM67" s="173" t="s">
        <v>661</v>
      </c>
      <c r="AN67" s="173" t="s">
        <v>661</v>
      </c>
      <c r="AO67" s="173" t="s">
        <v>661</v>
      </c>
      <c r="AP6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6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67" s="173" t="s">
        <v>991</v>
      </c>
      <c r="AU6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6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6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68" spans="1:53" x14ac:dyDescent="0.3">
      <c r="A68" s="173" t="s">
        <v>612</v>
      </c>
      <c r="B68" s="173"/>
      <c r="C68" s="171" t="s">
        <v>613</v>
      </c>
      <c r="D68" s="172" t="s">
        <v>84</v>
      </c>
      <c r="E68" s="172" t="s">
        <v>42</v>
      </c>
      <c r="F68" s="117" t="str">
        <f>_xlfn.XLOOKUP(tblF42023[[#This Row],[FULL_NAME]],F6Results_2026[Full_Name],F6Results_2026[Comb],"",0,1)</f>
        <v/>
      </c>
      <c r="G68" s="117"/>
      <c r="H6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68" s="173" t="s">
        <v>530</v>
      </c>
      <c r="J68" s="173">
        <v>2025</v>
      </c>
      <c r="K68" s="173" t="s">
        <v>4</v>
      </c>
      <c r="L68" s="173" t="s">
        <v>4</v>
      </c>
      <c r="M68" s="173" t="s">
        <v>5</v>
      </c>
      <c r="N68" s="173" t="s">
        <v>4</v>
      </c>
      <c r="O68" s="173" t="s">
        <v>4</v>
      </c>
      <c r="P68" s="173" t="s">
        <v>5</v>
      </c>
      <c r="Q68" s="173"/>
      <c r="R68" s="173"/>
      <c r="S68" s="173"/>
      <c r="T68" s="173" t="s">
        <v>4</v>
      </c>
      <c r="U68" s="173"/>
      <c r="V68" s="173"/>
      <c r="W68" s="173"/>
      <c r="X68" s="173" t="s">
        <v>4</v>
      </c>
      <c r="Y68" s="173"/>
      <c r="Z68" s="118" t="s">
        <v>4</v>
      </c>
      <c r="AA68" s="119">
        <f>COUNTIF(tblF42023[[#This Row],[CIV]:[BIBLE]],"A")</f>
        <v>0</v>
      </c>
      <c r="AB68" s="119">
        <v>21</v>
      </c>
      <c r="AC68" s="119" t="s">
        <v>11</v>
      </c>
      <c r="AD68" s="120">
        <v>9</v>
      </c>
      <c r="AE68" s="173">
        <v>10</v>
      </c>
      <c r="AF68" s="173" t="s">
        <v>661</v>
      </c>
      <c r="AG68" s="173" t="s">
        <v>661</v>
      </c>
      <c r="AH68" s="173">
        <v>10</v>
      </c>
      <c r="AI68" s="173">
        <v>10</v>
      </c>
      <c r="AJ68" s="173">
        <v>10</v>
      </c>
      <c r="AK68" s="173" t="s">
        <v>661</v>
      </c>
      <c r="AL68" s="173" t="s">
        <v>661</v>
      </c>
      <c r="AM68" s="173" t="s">
        <v>661</v>
      </c>
      <c r="AN68" s="173" t="s">
        <v>661</v>
      </c>
      <c r="AO68" s="173" t="s">
        <v>661</v>
      </c>
      <c r="AP6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6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6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6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68" s="173" t="s">
        <v>992</v>
      </c>
      <c r="AU6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6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6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6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6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6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69" spans="1:53" x14ac:dyDescent="0.3">
      <c r="A69" s="173" t="s">
        <v>614</v>
      </c>
      <c r="B69" s="173"/>
      <c r="C69" s="171" t="s">
        <v>340</v>
      </c>
      <c r="D69" s="172" t="s">
        <v>84</v>
      </c>
      <c r="E69" s="172" t="s">
        <v>42</v>
      </c>
      <c r="F69" s="117" t="str">
        <f>_xlfn.XLOOKUP(tblF42023[[#This Row],[FULL_NAME]],F6Results_2026[Full_Name],F6Results_2026[Comb],"",0,1)</f>
        <v>PMCs</v>
      </c>
      <c r="G69" s="117"/>
      <c r="H6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69" s="173" t="s">
        <v>530</v>
      </c>
      <c r="J69" s="173">
        <v>2025</v>
      </c>
      <c r="K69" s="173" t="s">
        <v>2</v>
      </c>
      <c r="L69" s="173" t="s">
        <v>2</v>
      </c>
      <c r="M69" s="173" t="s">
        <v>2</v>
      </c>
      <c r="N69" s="173" t="s">
        <v>2</v>
      </c>
      <c r="O69" s="173" t="s">
        <v>2</v>
      </c>
      <c r="P69" s="173"/>
      <c r="Q69" s="173"/>
      <c r="R69" s="173"/>
      <c r="S69" s="173" t="s">
        <v>3</v>
      </c>
      <c r="T69" s="173" t="s">
        <v>3</v>
      </c>
      <c r="U69" s="173"/>
      <c r="V69" s="173"/>
      <c r="W69" s="173" t="s">
        <v>2</v>
      </c>
      <c r="X69" s="173" t="s">
        <v>2</v>
      </c>
      <c r="Y69" s="173" t="s">
        <v>4</v>
      </c>
      <c r="Z69" s="118"/>
      <c r="AA69" s="119">
        <f>COUNTIF(tblF42023[[#This Row],[CIV]:[BIBLE]],"A")</f>
        <v>7</v>
      </c>
      <c r="AB69" s="119">
        <v>7</v>
      </c>
      <c r="AC69" s="119" t="s">
        <v>10</v>
      </c>
      <c r="AD69" s="120">
        <v>3</v>
      </c>
      <c r="AE69" s="173">
        <v>4</v>
      </c>
      <c r="AF69" s="173">
        <v>3</v>
      </c>
      <c r="AG69" s="173">
        <v>6</v>
      </c>
      <c r="AH69" s="173">
        <v>3</v>
      </c>
      <c r="AI69" s="173">
        <v>3</v>
      </c>
      <c r="AJ69" s="173">
        <v>5</v>
      </c>
      <c r="AK69" s="173" t="s">
        <v>661</v>
      </c>
      <c r="AL69" s="173">
        <v>5</v>
      </c>
      <c r="AM69" s="173">
        <v>6</v>
      </c>
      <c r="AN69" s="173">
        <v>7</v>
      </c>
      <c r="AO69" s="173" t="s">
        <v>661</v>
      </c>
      <c r="AP6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6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6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6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69" s="173" t="s">
        <v>991</v>
      </c>
      <c r="AU6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6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6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6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6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6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6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70" spans="1:53" x14ac:dyDescent="0.3">
      <c r="A70" s="173" t="s">
        <v>615</v>
      </c>
      <c r="B70" s="173"/>
      <c r="C70" s="171" t="s">
        <v>175</v>
      </c>
      <c r="D70" s="172" t="s">
        <v>84</v>
      </c>
      <c r="E70" s="172" t="s">
        <v>42</v>
      </c>
      <c r="F70" s="117" t="str">
        <f>_xlfn.XLOOKUP(tblF42023[[#This Row],[FULL_NAME]],F6Results_2026[Full_Name],F6Results_2026[Comb],"",0,1)</f>
        <v>EGM</v>
      </c>
      <c r="G70" s="117"/>
      <c r="H7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70" s="173" t="s">
        <v>530</v>
      </c>
      <c r="J70" s="173">
        <v>2025</v>
      </c>
      <c r="K70" s="173" t="s">
        <v>2</v>
      </c>
      <c r="L70" s="173" t="s">
        <v>2</v>
      </c>
      <c r="M70" s="173" t="s">
        <v>2</v>
      </c>
      <c r="N70" s="173" t="s">
        <v>2</v>
      </c>
      <c r="O70" s="173" t="s">
        <v>2</v>
      </c>
      <c r="P70" s="173"/>
      <c r="Q70" s="173"/>
      <c r="R70" s="173"/>
      <c r="S70" s="173"/>
      <c r="T70" s="173" t="s">
        <v>2</v>
      </c>
      <c r="U70" s="173"/>
      <c r="V70" s="173" t="s">
        <v>4</v>
      </c>
      <c r="W70" s="173" t="s">
        <v>2</v>
      </c>
      <c r="X70" s="173" t="s">
        <v>2</v>
      </c>
      <c r="Y70" s="173" t="s">
        <v>4</v>
      </c>
      <c r="Z70" s="118"/>
      <c r="AA70" s="119">
        <f>COUNTIF(tblF42023[[#This Row],[CIV]:[BIBLE]],"A")</f>
        <v>8</v>
      </c>
      <c r="AB70" s="119">
        <v>7</v>
      </c>
      <c r="AC70" s="119" t="s">
        <v>10</v>
      </c>
      <c r="AD70" s="120">
        <v>3</v>
      </c>
      <c r="AE70" s="173">
        <v>3</v>
      </c>
      <c r="AF70" s="173">
        <v>3</v>
      </c>
      <c r="AG70" s="173" t="s">
        <v>661</v>
      </c>
      <c r="AH70" s="173">
        <v>3</v>
      </c>
      <c r="AI70" s="173">
        <v>3</v>
      </c>
      <c r="AJ70" s="173">
        <v>3</v>
      </c>
      <c r="AK70" s="173" t="s">
        <v>661</v>
      </c>
      <c r="AL70" s="173">
        <v>5</v>
      </c>
      <c r="AM70" s="173">
        <v>5</v>
      </c>
      <c r="AN70" s="173" t="s">
        <v>661</v>
      </c>
      <c r="AO70" s="173">
        <v>5</v>
      </c>
      <c r="AP7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7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7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7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0" s="173" t="s">
        <v>991</v>
      </c>
      <c r="AU7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7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7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7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7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71" spans="1:53" x14ac:dyDescent="0.3">
      <c r="A71" s="173" t="s">
        <v>616</v>
      </c>
      <c r="B71" s="173"/>
      <c r="C71" s="171" t="s">
        <v>183</v>
      </c>
      <c r="D71" s="172" t="s">
        <v>84</v>
      </c>
      <c r="E71" s="172" t="s">
        <v>42</v>
      </c>
      <c r="F71" s="117" t="str">
        <f>_xlfn.XLOOKUP(tblF42023[[#This Row],[FULL_NAME]],F6Results_2026[Full_Name],F6Results_2026[Comb],"",0,1)</f>
        <v>EGM</v>
      </c>
      <c r="G71" s="117"/>
      <c r="H7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71" s="173" t="s">
        <v>530</v>
      </c>
      <c r="J71" s="173">
        <v>2025</v>
      </c>
      <c r="K71" s="173" t="s">
        <v>2</v>
      </c>
      <c r="L71" s="173" t="s">
        <v>3</v>
      </c>
      <c r="M71" s="173" t="s">
        <v>3</v>
      </c>
      <c r="N71" s="173" t="s">
        <v>3</v>
      </c>
      <c r="O71" s="173" t="s">
        <v>3</v>
      </c>
      <c r="P71" s="173" t="s">
        <v>4</v>
      </c>
      <c r="Q71" s="173"/>
      <c r="R71" s="173"/>
      <c r="S71" s="173"/>
      <c r="T71" s="173" t="s">
        <v>3</v>
      </c>
      <c r="U71" s="173"/>
      <c r="V71" s="173"/>
      <c r="W71" s="173"/>
      <c r="X71" s="173" t="s">
        <v>4</v>
      </c>
      <c r="Y71" s="173"/>
      <c r="Z71" s="118"/>
      <c r="AA71" s="119">
        <f>COUNTIF(tblF42023[[#This Row],[CIV]:[BIBLE]],"A")</f>
        <v>1</v>
      </c>
      <c r="AB71" s="119">
        <v>14</v>
      </c>
      <c r="AC71" s="119" t="s">
        <v>10</v>
      </c>
      <c r="AD71" s="120">
        <v>6</v>
      </c>
      <c r="AE71" s="173">
        <v>6</v>
      </c>
      <c r="AF71" s="173" t="s">
        <v>661</v>
      </c>
      <c r="AG71" s="173" t="s">
        <v>661</v>
      </c>
      <c r="AH71" s="173">
        <v>6</v>
      </c>
      <c r="AI71" s="173">
        <v>6</v>
      </c>
      <c r="AJ71" s="173">
        <v>6</v>
      </c>
      <c r="AK71" s="173" t="s">
        <v>661</v>
      </c>
      <c r="AL71" s="173" t="s">
        <v>661</v>
      </c>
      <c r="AM71" s="173" t="s">
        <v>661</v>
      </c>
      <c r="AN71" s="173" t="s">
        <v>661</v>
      </c>
      <c r="AO71" s="173" t="s">
        <v>661</v>
      </c>
      <c r="AP7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7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7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7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1" s="173" t="s">
        <v>991</v>
      </c>
      <c r="AU7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7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7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7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7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72" spans="1:53" x14ac:dyDescent="0.3">
      <c r="A72" s="173" t="s">
        <v>617</v>
      </c>
      <c r="B72" s="173"/>
      <c r="C72" s="171" t="s">
        <v>618</v>
      </c>
      <c r="D72" s="172" t="s">
        <v>84</v>
      </c>
      <c r="E72" s="172" t="s">
        <v>42</v>
      </c>
      <c r="F72" s="117" t="str">
        <f>_xlfn.XLOOKUP(tblF42023[[#This Row],[FULL_NAME]],F6Results_2026[Full_Name],F6Results_2026[Comb],"",0,1)</f>
        <v/>
      </c>
      <c r="G72" s="117"/>
      <c r="H7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72" s="173" t="s">
        <v>530</v>
      </c>
      <c r="J72" s="173">
        <v>2025</v>
      </c>
      <c r="K72" s="173" t="s">
        <v>3</v>
      </c>
      <c r="L72" s="173" t="s">
        <v>4</v>
      </c>
      <c r="M72" s="173" t="s">
        <v>4</v>
      </c>
      <c r="N72" s="173" t="s">
        <v>3</v>
      </c>
      <c r="O72" s="173" t="s">
        <v>4</v>
      </c>
      <c r="P72" s="173" t="s">
        <v>4</v>
      </c>
      <c r="Q72" s="173"/>
      <c r="R72" s="173"/>
      <c r="S72" s="173"/>
      <c r="T72" s="173" t="s">
        <v>5</v>
      </c>
      <c r="U72" s="173"/>
      <c r="V72" s="173"/>
      <c r="W72" s="173"/>
      <c r="X72" s="173" t="s">
        <v>4</v>
      </c>
      <c r="Y72" s="173"/>
      <c r="Z72" s="118"/>
      <c r="AA72" s="119">
        <f>COUNTIF(tblF42023[[#This Row],[CIV]:[BIBLE]],"A")</f>
        <v>0</v>
      </c>
      <c r="AB72" s="119">
        <v>19</v>
      </c>
      <c r="AC72" s="119" t="s">
        <v>11</v>
      </c>
      <c r="AD72" s="120">
        <v>8</v>
      </c>
      <c r="AE72" s="173">
        <v>10</v>
      </c>
      <c r="AF72" s="173" t="s">
        <v>661</v>
      </c>
      <c r="AG72" s="173" t="s">
        <v>661</v>
      </c>
      <c r="AH72" s="173">
        <v>9</v>
      </c>
      <c r="AI72" s="173">
        <v>8</v>
      </c>
      <c r="AJ72" s="173">
        <v>11</v>
      </c>
      <c r="AK72" s="173" t="s">
        <v>661</v>
      </c>
      <c r="AL72" s="173" t="s">
        <v>661</v>
      </c>
      <c r="AM72" s="173" t="s">
        <v>661</v>
      </c>
      <c r="AN72" s="173" t="s">
        <v>661</v>
      </c>
      <c r="AO72" s="173" t="s">
        <v>661</v>
      </c>
      <c r="AP7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7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7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7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2" s="173" t="s">
        <v>992</v>
      </c>
      <c r="AU7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7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7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7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7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73" spans="1:53" x14ac:dyDescent="0.3">
      <c r="A73" s="173" t="s">
        <v>619</v>
      </c>
      <c r="B73" s="173"/>
      <c r="C73" s="171" t="s">
        <v>229</v>
      </c>
      <c r="D73" s="172" t="s">
        <v>84</v>
      </c>
      <c r="E73" s="172" t="s">
        <v>42</v>
      </c>
      <c r="F73" s="117" t="str">
        <f>_xlfn.XLOOKUP(tblF42023[[#This Row],[FULL_NAME]],F6Results_2026[Full_Name],F6Results_2026[Comb],"",0,1)</f>
        <v>PCM</v>
      </c>
      <c r="G73" s="117"/>
      <c r="H7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73" s="173" t="s">
        <v>530</v>
      </c>
      <c r="J73" s="173">
        <v>2025</v>
      </c>
      <c r="K73" s="173" t="s">
        <v>2</v>
      </c>
      <c r="L73" s="173" t="s">
        <v>3</v>
      </c>
      <c r="M73" s="173" t="s">
        <v>3</v>
      </c>
      <c r="N73" s="173" t="s">
        <v>2</v>
      </c>
      <c r="O73" s="173" t="s">
        <v>3</v>
      </c>
      <c r="P73" s="173"/>
      <c r="Q73" s="173"/>
      <c r="R73" s="173"/>
      <c r="S73" s="173"/>
      <c r="T73" s="173" t="s">
        <v>3</v>
      </c>
      <c r="U73" s="173"/>
      <c r="V73" s="173" t="s">
        <v>4</v>
      </c>
      <c r="W73" s="173" t="s">
        <v>2</v>
      </c>
      <c r="X73" s="173" t="s">
        <v>3</v>
      </c>
      <c r="Y73" s="173" t="s">
        <v>4</v>
      </c>
      <c r="Z73" s="118"/>
      <c r="AA73" s="119">
        <f>COUNTIF(tblF42023[[#This Row],[CIV]:[BIBLE]],"A")</f>
        <v>3</v>
      </c>
      <c r="AB73" s="119">
        <v>11</v>
      </c>
      <c r="AC73" s="119" t="s">
        <v>10</v>
      </c>
      <c r="AD73" s="120">
        <v>5</v>
      </c>
      <c r="AE73" s="173">
        <v>6</v>
      </c>
      <c r="AF73" s="173">
        <v>5</v>
      </c>
      <c r="AG73" s="173" t="s">
        <v>661</v>
      </c>
      <c r="AH73" s="173">
        <v>6</v>
      </c>
      <c r="AI73" s="173">
        <v>5</v>
      </c>
      <c r="AJ73" s="173">
        <v>6</v>
      </c>
      <c r="AK73" s="173" t="s">
        <v>661</v>
      </c>
      <c r="AL73" s="173">
        <v>6</v>
      </c>
      <c r="AM73" s="173">
        <v>6</v>
      </c>
      <c r="AN73" s="173" t="s">
        <v>661</v>
      </c>
      <c r="AO73" s="173">
        <v>6</v>
      </c>
      <c r="AP7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7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7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7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3" s="173" t="s">
        <v>991</v>
      </c>
      <c r="AU7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7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7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7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7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74" spans="1:53" x14ac:dyDescent="0.3">
      <c r="A74" s="173" t="s">
        <v>620</v>
      </c>
      <c r="B74" s="173"/>
      <c r="C74" s="171" t="s">
        <v>621</v>
      </c>
      <c r="D74" s="172" t="s">
        <v>84</v>
      </c>
      <c r="E74" s="172" t="s">
        <v>42</v>
      </c>
      <c r="F74" s="117" t="str">
        <f>_xlfn.XLOOKUP(tblF42023[[#This Row],[FULL_NAME]],F6Results_2026[Full_Name],F6Results_2026[Comb],"",0,1)</f>
        <v/>
      </c>
      <c r="G74" s="117"/>
      <c r="H7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74" s="173" t="s">
        <v>530</v>
      </c>
      <c r="J74" s="173">
        <v>2025</v>
      </c>
      <c r="K74" s="173" t="s">
        <v>2</v>
      </c>
      <c r="L74" s="173" t="s">
        <v>2</v>
      </c>
      <c r="M74" s="173" t="s">
        <v>2</v>
      </c>
      <c r="N74" s="173" t="s">
        <v>2</v>
      </c>
      <c r="O74" s="173" t="s">
        <v>2</v>
      </c>
      <c r="P74" s="173"/>
      <c r="Q74" s="173"/>
      <c r="R74" s="173"/>
      <c r="S74" s="173" t="s">
        <v>2</v>
      </c>
      <c r="T74" s="173" t="s">
        <v>2</v>
      </c>
      <c r="U74" s="173"/>
      <c r="V74" s="173"/>
      <c r="W74" s="173" t="s">
        <v>2</v>
      </c>
      <c r="X74" s="173" t="s">
        <v>3</v>
      </c>
      <c r="Y74" s="173" t="s">
        <v>4</v>
      </c>
      <c r="Z74" s="118"/>
      <c r="AA74" s="119">
        <f>COUNTIF(tblF42023[[#This Row],[CIV]:[BIBLE]],"A")</f>
        <v>8</v>
      </c>
      <c r="AB74" s="119">
        <v>7</v>
      </c>
      <c r="AC74" s="119" t="s">
        <v>10</v>
      </c>
      <c r="AD74" s="120">
        <v>3</v>
      </c>
      <c r="AE74" s="173">
        <v>3</v>
      </c>
      <c r="AF74" s="173">
        <v>4</v>
      </c>
      <c r="AG74" s="173">
        <v>3</v>
      </c>
      <c r="AH74" s="173">
        <v>3</v>
      </c>
      <c r="AI74" s="173">
        <v>3</v>
      </c>
      <c r="AJ74" s="173">
        <v>3</v>
      </c>
      <c r="AK74" s="173" t="s">
        <v>661</v>
      </c>
      <c r="AL74" s="173">
        <v>6</v>
      </c>
      <c r="AM74" s="173">
        <v>5</v>
      </c>
      <c r="AN74" s="173">
        <v>5</v>
      </c>
      <c r="AO74" s="173" t="s">
        <v>661</v>
      </c>
      <c r="AP7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7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7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7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74" s="173" t="s">
        <v>991</v>
      </c>
      <c r="AU7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7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7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7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7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7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75" spans="1:53" x14ac:dyDescent="0.3">
      <c r="A75" s="173" t="s">
        <v>622</v>
      </c>
      <c r="B75" s="173"/>
      <c r="C75" s="171" t="s">
        <v>623</v>
      </c>
      <c r="D75" s="172" t="s">
        <v>84</v>
      </c>
      <c r="E75" s="172" t="s">
        <v>42</v>
      </c>
      <c r="F75" s="117" t="str">
        <f>_xlfn.XLOOKUP(tblF42023[[#This Row],[FULL_NAME]],F6Results_2026[Full_Name],F6Results_2026[Comb],"",0,1)</f>
        <v/>
      </c>
      <c r="G75" s="117"/>
      <c r="H7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75" s="173" t="s">
        <v>530</v>
      </c>
      <c r="J75" s="173">
        <v>2025</v>
      </c>
      <c r="K75" s="173" t="s">
        <v>3</v>
      </c>
      <c r="L75" s="173" t="s">
        <v>3</v>
      </c>
      <c r="M75" s="173" t="s">
        <v>4</v>
      </c>
      <c r="N75" s="173" t="s">
        <v>4</v>
      </c>
      <c r="O75" s="173" t="s">
        <v>3</v>
      </c>
      <c r="P75" s="173" t="s">
        <v>4</v>
      </c>
      <c r="Q75" s="173"/>
      <c r="R75" s="173"/>
      <c r="S75" s="173"/>
      <c r="T75" s="173" t="s">
        <v>4</v>
      </c>
      <c r="U75" s="173"/>
      <c r="V75" s="173"/>
      <c r="W75" s="173"/>
      <c r="X75" s="173" t="s">
        <v>4</v>
      </c>
      <c r="Y75" s="173"/>
      <c r="Z75" s="118"/>
      <c r="AA75" s="119">
        <f>COUNTIF(tblF42023[[#This Row],[CIV]:[BIBLE]],"A")</f>
        <v>0</v>
      </c>
      <c r="AB75" s="119">
        <v>18</v>
      </c>
      <c r="AC75" s="119" t="s">
        <v>11</v>
      </c>
      <c r="AD75" s="120">
        <v>7</v>
      </c>
      <c r="AE75" s="173">
        <v>8</v>
      </c>
      <c r="AF75" s="173" t="s">
        <v>661</v>
      </c>
      <c r="AG75" s="173" t="s">
        <v>661</v>
      </c>
      <c r="AH75" s="173">
        <v>7</v>
      </c>
      <c r="AI75" s="173">
        <v>8</v>
      </c>
      <c r="AJ75" s="173">
        <v>9</v>
      </c>
      <c r="AK75" s="173" t="s">
        <v>661</v>
      </c>
      <c r="AL75" s="173" t="s">
        <v>661</v>
      </c>
      <c r="AM75" s="173" t="s">
        <v>661</v>
      </c>
      <c r="AN75" s="173" t="s">
        <v>661</v>
      </c>
      <c r="AO75" s="173" t="s">
        <v>661</v>
      </c>
      <c r="AP7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7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7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7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5" s="173" t="s">
        <v>992</v>
      </c>
      <c r="AU7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7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7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7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7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76" spans="1:53" x14ac:dyDescent="0.3">
      <c r="A76" s="173" t="s">
        <v>624</v>
      </c>
      <c r="B76" s="173"/>
      <c r="C76" s="171" t="s">
        <v>169</v>
      </c>
      <c r="D76" s="172" t="s">
        <v>84</v>
      </c>
      <c r="E76" s="172" t="s">
        <v>42</v>
      </c>
      <c r="F76" s="117" t="str">
        <f>_xlfn.XLOOKUP(tblF42023[[#This Row],[FULL_NAME]],F6Results_2026[Full_Name],F6Results_2026[Comb],"",0,1)</f>
        <v>EGM</v>
      </c>
      <c r="G76" s="117"/>
      <c r="H7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76" s="173" t="s">
        <v>530</v>
      </c>
      <c r="J76" s="173">
        <v>2025</v>
      </c>
      <c r="K76" s="173" t="s">
        <v>2</v>
      </c>
      <c r="L76" s="173" t="s">
        <v>2</v>
      </c>
      <c r="M76" s="173" t="s">
        <v>2</v>
      </c>
      <c r="N76" s="173" t="s">
        <v>3</v>
      </c>
      <c r="O76" s="173" t="s">
        <v>3</v>
      </c>
      <c r="P76" s="173"/>
      <c r="Q76" s="173"/>
      <c r="R76" s="173"/>
      <c r="S76" s="173"/>
      <c r="T76" s="173" t="s">
        <v>3</v>
      </c>
      <c r="U76" s="173"/>
      <c r="V76" s="173" t="s">
        <v>4</v>
      </c>
      <c r="W76" s="173" t="s">
        <v>3</v>
      </c>
      <c r="X76" s="173" t="s">
        <v>4</v>
      </c>
      <c r="Y76" s="173" t="s">
        <v>4</v>
      </c>
      <c r="Z76" s="118"/>
      <c r="AA76" s="119">
        <f>COUNTIF(tblF42023[[#This Row],[CIV]:[BIBLE]],"A")</f>
        <v>3</v>
      </c>
      <c r="AB76" s="119">
        <v>11</v>
      </c>
      <c r="AC76" s="119" t="s">
        <v>10</v>
      </c>
      <c r="AD76" s="120">
        <v>5</v>
      </c>
      <c r="AE76" s="173">
        <v>4</v>
      </c>
      <c r="AF76" s="173">
        <v>6</v>
      </c>
      <c r="AG76" s="173" t="s">
        <v>661</v>
      </c>
      <c r="AH76" s="173">
        <v>4</v>
      </c>
      <c r="AI76" s="173">
        <v>4</v>
      </c>
      <c r="AJ76" s="173">
        <v>5</v>
      </c>
      <c r="AK76" s="173" t="s">
        <v>661</v>
      </c>
      <c r="AL76" s="173">
        <v>8</v>
      </c>
      <c r="AM76" s="173">
        <v>7</v>
      </c>
      <c r="AN76" s="173" t="s">
        <v>661</v>
      </c>
      <c r="AO76" s="173">
        <v>8</v>
      </c>
      <c r="AP7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7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7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7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6" s="173" t="s">
        <v>991</v>
      </c>
      <c r="AU7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7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7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7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7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N</v>
      </c>
    </row>
    <row r="77" spans="1:53" x14ac:dyDescent="0.3">
      <c r="A77" s="173" t="s">
        <v>625</v>
      </c>
      <c r="B77" s="173"/>
      <c r="C77" s="171" t="s">
        <v>181</v>
      </c>
      <c r="D77" s="172" t="s">
        <v>84</v>
      </c>
      <c r="E77" s="172" t="s">
        <v>42</v>
      </c>
      <c r="F77" s="117" t="str">
        <f>_xlfn.XLOOKUP(tblF42023[[#This Row],[FULL_NAME]],F6Results_2026[Full_Name],F6Results_2026[Comb],"",0,1)</f>
        <v>EGM</v>
      </c>
      <c r="G77" s="117"/>
      <c r="H7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77" s="173" t="s">
        <v>530</v>
      </c>
      <c r="J77" s="173">
        <v>2025</v>
      </c>
      <c r="K77" s="173" t="s">
        <v>2</v>
      </c>
      <c r="L77" s="173" t="s">
        <v>2</v>
      </c>
      <c r="M77" s="173" t="s">
        <v>2</v>
      </c>
      <c r="N77" s="173" t="s">
        <v>2</v>
      </c>
      <c r="O77" s="173" t="s">
        <v>3</v>
      </c>
      <c r="P77" s="173"/>
      <c r="Q77" s="173"/>
      <c r="R77" s="173"/>
      <c r="S77" s="173"/>
      <c r="T77" s="173" t="s">
        <v>3</v>
      </c>
      <c r="U77" s="173"/>
      <c r="V77" s="173" t="s">
        <v>4</v>
      </c>
      <c r="W77" s="173" t="s">
        <v>3</v>
      </c>
      <c r="X77" s="173" t="s">
        <v>3</v>
      </c>
      <c r="Y77" s="173" t="s">
        <v>4</v>
      </c>
      <c r="Z77" s="118"/>
      <c r="AA77" s="119">
        <f>COUNTIF(tblF42023[[#This Row],[CIV]:[BIBLE]],"A")</f>
        <v>4</v>
      </c>
      <c r="AB77" s="119">
        <v>10</v>
      </c>
      <c r="AC77" s="119" t="s">
        <v>10</v>
      </c>
      <c r="AD77" s="120">
        <v>4</v>
      </c>
      <c r="AE77" s="173">
        <v>4</v>
      </c>
      <c r="AF77" s="173">
        <v>5</v>
      </c>
      <c r="AG77" s="173" t="s">
        <v>661</v>
      </c>
      <c r="AH77" s="173">
        <v>4</v>
      </c>
      <c r="AI77" s="173">
        <v>3</v>
      </c>
      <c r="AJ77" s="173">
        <v>5</v>
      </c>
      <c r="AK77" s="173" t="s">
        <v>661</v>
      </c>
      <c r="AL77" s="173">
        <v>7</v>
      </c>
      <c r="AM77" s="173">
        <v>7</v>
      </c>
      <c r="AN77" s="173" t="s">
        <v>661</v>
      </c>
      <c r="AO77" s="173">
        <v>7</v>
      </c>
      <c r="AP7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7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7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7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7" s="173" t="s">
        <v>991</v>
      </c>
      <c r="AU7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7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7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7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7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78" spans="1:53" x14ac:dyDescent="0.3">
      <c r="A78" s="173" t="s">
        <v>626</v>
      </c>
      <c r="B78" s="173"/>
      <c r="C78" s="171" t="s">
        <v>627</v>
      </c>
      <c r="D78" s="172" t="s">
        <v>84</v>
      </c>
      <c r="E78" s="172" t="s">
        <v>42</v>
      </c>
      <c r="F78" s="117" t="str">
        <f>_xlfn.XLOOKUP(tblF42023[[#This Row],[FULL_NAME]],F6Results_2026[Full_Name],F6Results_2026[Comb],"",0,1)</f>
        <v/>
      </c>
      <c r="G78" s="117"/>
      <c r="H7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78" s="173" t="s">
        <v>530</v>
      </c>
      <c r="J78" s="173">
        <v>2025</v>
      </c>
      <c r="K78" s="173" t="s">
        <v>4</v>
      </c>
      <c r="L78" s="173" t="s">
        <v>4</v>
      </c>
      <c r="M78" s="173" t="s">
        <v>4</v>
      </c>
      <c r="N78" s="173" t="s">
        <v>3</v>
      </c>
      <c r="O78" s="173" t="s">
        <v>4</v>
      </c>
      <c r="P78" s="173" t="s">
        <v>5</v>
      </c>
      <c r="Q78" s="173"/>
      <c r="R78" s="173"/>
      <c r="S78" s="173"/>
      <c r="T78" s="173" t="s">
        <v>4</v>
      </c>
      <c r="U78" s="173"/>
      <c r="V78" s="173"/>
      <c r="W78" s="173"/>
      <c r="X78" s="173" t="s">
        <v>4</v>
      </c>
      <c r="Y78" s="173"/>
      <c r="Z78" s="118" t="s">
        <v>3</v>
      </c>
      <c r="AA78" s="119">
        <f>COUNTIF(tblF42023[[#This Row],[CIV]:[BIBLE]],"A")</f>
        <v>0</v>
      </c>
      <c r="AB78" s="119">
        <v>19</v>
      </c>
      <c r="AC78" s="119" t="s">
        <v>11</v>
      </c>
      <c r="AD78" s="120">
        <v>8</v>
      </c>
      <c r="AE78" s="173">
        <v>9</v>
      </c>
      <c r="AF78" s="173" t="s">
        <v>661</v>
      </c>
      <c r="AG78" s="173" t="s">
        <v>661</v>
      </c>
      <c r="AH78" s="173">
        <v>9</v>
      </c>
      <c r="AI78" s="173">
        <v>8</v>
      </c>
      <c r="AJ78" s="173">
        <v>9</v>
      </c>
      <c r="AK78" s="173" t="s">
        <v>661</v>
      </c>
      <c r="AL78" s="173" t="s">
        <v>661</v>
      </c>
      <c r="AM78" s="173" t="s">
        <v>661</v>
      </c>
      <c r="AN78" s="173" t="s">
        <v>661</v>
      </c>
      <c r="AO78" s="173" t="s">
        <v>661</v>
      </c>
      <c r="AP7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7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7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7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8" s="173" t="s">
        <v>992</v>
      </c>
      <c r="AU7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7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7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7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7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79" spans="1:53" x14ac:dyDescent="0.3">
      <c r="A79" s="173" t="s">
        <v>628</v>
      </c>
      <c r="B79" s="173"/>
      <c r="C79" s="171" t="s">
        <v>629</v>
      </c>
      <c r="D79" s="172" t="s">
        <v>84</v>
      </c>
      <c r="E79" s="172" t="s">
        <v>42</v>
      </c>
      <c r="F79" s="117" t="str">
        <f>_xlfn.XLOOKUP(tblF42023[[#This Row],[FULL_NAME]],F6Results_2026[Full_Name],F6Results_2026[Comb],"",0,1)</f>
        <v/>
      </c>
      <c r="G79" s="117"/>
      <c r="H7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79" s="173" t="s">
        <v>530</v>
      </c>
      <c r="J79" s="173">
        <v>2025</v>
      </c>
      <c r="K79" s="173" t="s">
        <v>4</v>
      </c>
      <c r="L79" s="173" t="s">
        <v>4</v>
      </c>
      <c r="M79" s="173" t="s">
        <v>3</v>
      </c>
      <c r="N79" s="173" t="s">
        <v>3</v>
      </c>
      <c r="O79" s="173" t="s">
        <v>3</v>
      </c>
      <c r="P79" s="173" t="s">
        <v>4</v>
      </c>
      <c r="Q79" s="173"/>
      <c r="R79" s="173"/>
      <c r="S79" s="173"/>
      <c r="T79" s="173" t="s">
        <v>5</v>
      </c>
      <c r="U79" s="173"/>
      <c r="V79" s="173"/>
      <c r="W79" s="173"/>
      <c r="X79" s="173" t="s">
        <v>4</v>
      </c>
      <c r="Y79" s="173"/>
      <c r="Z79" s="118" t="s">
        <v>3</v>
      </c>
      <c r="AA79" s="119">
        <f>COUNTIF(tblF42023[[#This Row],[CIV]:[BIBLE]],"A")</f>
        <v>0</v>
      </c>
      <c r="AB79" s="119">
        <v>17</v>
      </c>
      <c r="AC79" s="119" t="s">
        <v>10</v>
      </c>
      <c r="AD79" s="120">
        <v>7</v>
      </c>
      <c r="AE79" s="173">
        <v>9</v>
      </c>
      <c r="AF79" s="173" t="s">
        <v>661</v>
      </c>
      <c r="AG79" s="173" t="s">
        <v>661</v>
      </c>
      <c r="AH79" s="173">
        <v>7</v>
      </c>
      <c r="AI79" s="173">
        <v>7</v>
      </c>
      <c r="AJ79" s="173">
        <v>10</v>
      </c>
      <c r="AK79" s="173" t="s">
        <v>661</v>
      </c>
      <c r="AL79" s="173" t="s">
        <v>661</v>
      </c>
      <c r="AM79" s="173" t="s">
        <v>661</v>
      </c>
      <c r="AN79" s="173" t="s">
        <v>661</v>
      </c>
      <c r="AO79" s="173" t="s">
        <v>661</v>
      </c>
      <c r="AP7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7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7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7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79" s="173" t="s">
        <v>992</v>
      </c>
      <c r="AU7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7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7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7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7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7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7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0" spans="1:53" x14ac:dyDescent="0.3">
      <c r="A80" s="173" t="s">
        <v>630</v>
      </c>
      <c r="B80" s="173"/>
      <c r="C80" s="171" t="s">
        <v>90</v>
      </c>
      <c r="D80" s="172" t="s">
        <v>84</v>
      </c>
      <c r="E80" s="172" t="s">
        <v>42</v>
      </c>
      <c r="F80" s="117" t="str">
        <f>_xlfn.XLOOKUP(tblF42023[[#This Row],[FULL_NAME]],F6Results_2026[Full_Name],F6Results_2026[Comb],"",0,1)</f>
        <v>HGL</v>
      </c>
      <c r="G80" s="117"/>
      <c r="H8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80" s="173" t="s">
        <v>530</v>
      </c>
      <c r="J80" s="173">
        <v>2025</v>
      </c>
      <c r="K80" s="173" t="s">
        <v>4</v>
      </c>
      <c r="L80" s="173" t="s">
        <v>3</v>
      </c>
      <c r="M80" s="173" t="s">
        <v>2</v>
      </c>
      <c r="N80" s="173" t="s">
        <v>4</v>
      </c>
      <c r="O80" s="173" t="s">
        <v>4</v>
      </c>
      <c r="P80" s="173"/>
      <c r="Q80" s="173" t="s">
        <v>4</v>
      </c>
      <c r="R80" s="173" t="s">
        <v>5</v>
      </c>
      <c r="S80" s="173"/>
      <c r="T80" s="173" t="s">
        <v>4</v>
      </c>
      <c r="U80" s="173"/>
      <c r="V80" s="173"/>
      <c r="W80" s="173"/>
      <c r="X80" s="173" t="s">
        <v>3</v>
      </c>
      <c r="Y80" s="173"/>
      <c r="Z80" s="118" t="s">
        <v>2</v>
      </c>
      <c r="AA80" s="119">
        <f>COUNTIF(tblF42023[[#This Row],[CIV]:[BIBLE]],"A")</f>
        <v>2</v>
      </c>
      <c r="AB80" s="119">
        <v>15</v>
      </c>
      <c r="AC80" s="119" t="s">
        <v>10</v>
      </c>
      <c r="AD80" s="120">
        <v>8</v>
      </c>
      <c r="AE80" s="173">
        <v>6</v>
      </c>
      <c r="AF80" s="173" t="s">
        <v>661</v>
      </c>
      <c r="AG80" s="173" t="s">
        <v>661</v>
      </c>
      <c r="AH80" s="173">
        <v>6</v>
      </c>
      <c r="AI80" s="173">
        <v>6</v>
      </c>
      <c r="AJ80" s="173">
        <v>7</v>
      </c>
      <c r="AK80" s="173">
        <v>10</v>
      </c>
      <c r="AL80" s="173" t="s">
        <v>661</v>
      </c>
      <c r="AM80" s="173" t="s">
        <v>661</v>
      </c>
      <c r="AN80" s="173" t="s">
        <v>661</v>
      </c>
      <c r="AO80" s="173" t="s">
        <v>661</v>
      </c>
      <c r="AP8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8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8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0" s="173" t="s">
        <v>991</v>
      </c>
      <c r="AU8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8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8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1" spans="1:53" x14ac:dyDescent="0.3">
      <c r="A81" s="173" t="s">
        <v>631</v>
      </c>
      <c r="B81" s="173"/>
      <c r="C81" s="171" t="s">
        <v>632</v>
      </c>
      <c r="D81" s="172" t="s">
        <v>84</v>
      </c>
      <c r="E81" s="172" t="s">
        <v>42</v>
      </c>
      <c r="F81" s="117" t="str">
        <f>_xlfn.XLOOKUP(tblF42023[[#This Row],[FULL_NAME]],F6Results_2026[Full_Name],F6Results_2026[Comb],"",0,1)</f>
        <v/>
      </c>
      <c r="G81" s="117"/>
      <c r="H8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81" s="173" t="s">
        <v>530</v>
      </c>
      <c r="J81" s="173">
        <v>2025</v>
      </c>
      <c r="K81" s="173" t="s">
        <v>4</v>
      </c>
      <c r="L81" s="173" t="s">
        <v>5</v>
      </c>
      <c r="M81" s="173" t="s">
        <v>4</v>
      </c>
      <c r="N81" s="173" t="s">
        <v>4</v>
      </c>
      <c r="O81" s="173" t="s">
        <v>3</v>
      </c>
      <c r="P81" s="173" t="s">
        <v>4</v>
      </c>
      <c r="Q81" s="173"/>
      <c r="R81" s="173"/>
      <c r="S81" s="173"/>
      <c r="T81" s="173" t="s">
        <v>5</v>
      </c>
      <c r="U81" s="173"/>
      <c r="V81" s="173"/>
      <c r="W81" s="173"/>
      <c r="X81" s="173" t="s">
        <v>4</v>
      </c>
      <c r="Y81" s="173"/>
      <c r="Z81" s="118"/>
      <c r="AA81" s="119">
        <f>COUNTIF(tblF42023[[#This Row],[CIV]:[BIBLE]],"A")</f>
        <v>0</v>
      </c>
      <c r="AB81" s="119">
        <v>21</v>
      </c>
      <c r="AC81" s="119" t="s">
        <v>11</v>
      </c>
      <c r="AD81" s="120">
        <v>9</v>
      </c>
      <c r="AE81" s="173">
        <v>11</v>
      </c>
      <c r="AF81" s="173" t="s">
        <v>661</v>
      </c>
      <c r="AG81" s="173" t="s">
        <v>661</v>
      </c>
      <c r="AH81" s="173">
        <v>9</v>
      </c>
      <c r="AI81" s="173">
        <v>10</v>
      </c>
      <c r="AJ81" s="173">
        <v>11</v>
      </c>
      <c r="AK81" s="173" t="s">
        <v>661</v>
      </c>
      <c r="AL81" s="173" t="s">
        <v>661</v>
      </c>
      <c r="AM81" s="173" t="s">
        <v>661</v>
      </c>
      <c r="AN81" s="173" t="s">
        <v>661</v>
      </c>
      <c r="AO81" s="173" t="s">
        <v>661</v>
      </c>
      <c r="AP8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8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1" s="173" t="s">
        <v>992</v>
      </c>
      <c r="AU8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8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2" spans="1:53" x14ac:dyDescent="0.3">
      <c r="A82" s="173" t="s">
        <v>633</v>
      </c>
      <c r="B82" s="173"/>
      <c r="C82" s="171" t="s">
        <v>167</v>
      </c>
      <c r="D82" s="172" t="s">
        <v>84</v>
      </c>
      <c r="E82" s="172" t="s">
        <v>42</v>
      </c>
      <c r="F82" s="117" t="str">
        <f>_xlfn.XLOOKUP(tblF42023[[#This Row],[FULL_NAME]],F6Results_2026[Full_Name],F6Results_2026[Comb],"",0,1)</f>
        <v>EGM</v>
      </c>
      <c r="G82" s="117"/>
      <c r="H8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82" s="173" t="s">
        <v>530</v>
      </c>
      <c r="J82" s="173">
        <v>2025</v>
      </c>
      <c r="K82" s="173" t="s">
        <v>2</v>
      </c>
      <c r="L82" s="173" t="s">
        <v>3</v>
      </c>
      <c r="M82" s="173" t="s">
        <v>3</v>
      </c>
      <c r="N82" s="173" t="s">
        <v>2</v>
      </c>
      <c r="O82" s="173" t="s">
        <v>2</v>
      </c>
      <c r="P82" s="173"/>
      <c r="Q82" s="173"/>
      <c r="R82" s="173"/>
      <c r="S82" s="173"/>
      <c r="T82" s="173" t="s">
        <v>3</v>
      </c>
      <c r="U82" s="173"/>
      <c r="V82" s="173" t="s">
        <v>4</v>
      </c>
      <c r="W82" s="173"/>
      <c r="X82" s="173" t="s">
        <v>4</v>
      </c>
      <c r="Y82" s="173"/>
      <c r="Z82" s="118"/>
      <c r="AA82" s="119">
        <f>COUNTIF(tblF42023[[#This Row],[CIV]:[BIBLE]],"A")</f>
        <v>3</v>
      </c>
      <c r="AB82" s="119">
        <v>12</v>
      </c>
      <c r="AC82" s="119" t="s">
        <v>10</v>
      </c>
      <c r="AD82" s="120">
        <v>4</v>
      </c>
      <c r="AE82" s="173">
        <v>6</v>
      </c>
      <c r="AF82" s="173" t="s">
        <v>661</v>
      </c>
      <c r="AG82" s="173" t="s">
        <v>661</v>
      </c>
      <c r="AH82" s="173">
        <v>5</v>
      </c>
      <c r="AI82" s="173">
        <v>5</v>
      </c>
      <c r="AJ82" s="173">
        <v>6</v>
      </c>
      <c r="AK82" s="173" t="s">
        <v>661</v>
      </c>
      <c r="AL82" s="173" t="s">
        <v>661</v>
      </c>
      <c r="AM82" s="173" t="s">
        <v>661</v>
      </c>
      <c r="AN82" s="173" t="s">
        <v>661</v>
      </c>
      <c r="AO82" s="173" t="s">
        <v>661</v>
      </c>
      <c r="AP8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8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8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2" s="173" t="s">
        <v>991</v>
      </c>
      <c r="AU8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8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8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3" spans="1:53" x14ac:dyDescent="0.3">
      <c r="A83" s="173" t="s">
        <v>634</v>
      </c>
      <c r="B83" s="173"/>
      <c r="C83" s="171" t="s">
        <v>92</v>
      </c>
      <c r="D83" s="172" t="s">
        <v>84</v>
      </c>
      <c r="E83" s="172" t="s">
        <v>42</v>
      </c>
      <c r="F83" s="117" t="str">
        <f>_xlfn.XLOOKUP(tblF42023[[#This Row],[FULL_NAME]],F6Results_2026[Full_Name],F6Results_2026[Comb],"",0,1)</f>
        <v>HGL</v>
      </c>
      <c r="G83" s="117"/>
      <c r="H8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83" s="173" t="s">
        <v>530</v>
      </c>
      <c r="J83" s="173">
        <v>2025</v>
      </c>
      <c r="K83" s="173" t="s">
        <v>3</v>
      </c>
      <c r="L83" s="173" t="s">
        <v>3</v>
      </c>
      <c r="M83" s="173" t="s">
        <v>3</v>
      </c>
      <c r="N83" s="173" t="s">
        <v>4</v>
      </c>
      <c r="O83" s="173" t="s">
        <v>3</v>
      </c>
      <c r="P83" s="173"/>
      <c r="Q83" s="173"/>
      <c r="R83" s="173"/>
      <c r="S83" s="173" t="s">
        <v>3</v>
      </c>
      <c r="T83" s="173" t="s">
        <v>4</v>
      </c>
      <c r="U83" s="173"/>
      <c r="V83" s="173"/>
      <c r="W83" s="173"/>
      <c r="X83" s="173" t="s">
        <v>3</v>
      </c>
      <c r="Y83" s="173"/>
      <c r="Z83" s="118"/>
      <c r="AA83" s="119">
        <f>COUNTIF(tblF42023[[#This Row],[CIV]:[BIBLE]],"A")</f>
        <v>0</v>
      </c>
      <c r="AB83" s="119">
        <v>15</v>
      </c>
      <c r="AC83" s="119" t="s">
        <v>10</v>
      </c>
      <c r="AD83" s="120">
        <v>7</v>
      </c>
      <c r="AE83" s="173">
        <v>7</v>
      </c>
      <c r="AF83" s="173" t="s">
        <v>661</v>
      </c>
      <c r="AG83" s="173">
        <v>8</v>
      </c>
      <c r="AH83" s="173">
        <v>6</v>
      </c>
      <c r="AI83" s="173">
        <v>7</v>
      </c>
      <c r="AJ83" s="173">
        <v>8</v>
      </c>
      <c r="AK83" s="173" t="s">
        <v>661</v>
      </c>
      <c r="AL83" s="173" t="s">
        <v>661</v>
      </c>
      <c r="AM83" s="173" t="s">
        <v>661</v>
      </c>
      <c r="AN83" s="173" t="s">
        <v>661</v>
      </c>
      <c r="AO83" s="173" t="s">
        <v>661</v>
      </c>
      <c r="AP8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8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83" s="173" t="s">
        <v>991</v>
      </c>
      <c r="AU8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8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4" spans="1:53" x14ac:dyDescent="0.3">
      <c r="A84" s="173" t="s">
        <v>635</v>
      </c>
      <c r="B84" s="173"/>
      <c r="C84" s="171" t="s">
        <v>636</v>
      </c>
      <c r="D84" s="172" t="s">
        <v>84</v>
      </c>
      <c r="E84" s="172" t="s">
        <v>42</v>
      </c>
      <c r="F84" s="117" t="str">
        <f>_xlfn.XLOOKUP(tblF42023[[#This Row],[FULL_NAME]],F6Results_2026[Full_Name],F6Results_2026[Comb],"",0,1)</f>
        <v/>
      </c>
      <c r="G84" s="117"/>
      <c r="H8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84" s="173" t="s">
        <v>530</v>
      </c>
      <c r="J84" s="173">
        <v>2025</v>
      </c>
      <c r="K84" s="173" t="s">
        <v>2</v>
      </c>
      <c r="L84" s="173" t="s">
        <v>3</v>
      </c>
      <c r="M84" s="173" t="s">
        <v>3</v>
      </c>
      <c r="N84" s="173" t="s">
        <v>2</v>
      </c>
      <c r="O84" s="173" t="s">
        <v>3</v>
      </c>
      <c r="P84" s="173" t="s">
        <v>4</v>
      </c>
      <c r="Q84" s="173"/>
      <c r="R84" s="173"/>
      <c r="S84" s="173"/>
      <c r="T84" s="173" t="s">
        <v>8</v>
      </c>
      <c r="U84" s="173"/>
      <c r="V84" s="173"/>
      <c r="W84" s="173"/>
      <c r="X84" s="173" t="s">
        <v>4</v>
      </c>
      <c r="Y84" s="173"/>
      <c r="Z84" s="118"/>
      <c r="AA84" s="119">
        <f>COUNTIF(tblF42023[[#This Row],[CIV]:[BIBLE]],"A")</f>
        <v>2</v>
      </c>
      <c r="AB84" s="119">
        <v>14</v>
      </c>
      <c r="AC84" s="119" t="s">
        <v>10</v>
      </c>
      <c r="AD84" s="120">
        <v>5</v>
      </c>
      <c r="AE84" s="173">
        <v>9</v>
      </c>
      <c r="AF84" s="173" t="s">
        <v>661</v>
      </c>
      <c r="AG84" s="173" t="s">
        <v>661</v>
      </c>
      <c r="AH84" s="173">
        <v>6</v>
      </c>
      <c r="AI84" s="173">
        <v>5</v>
      </c>
      <c r="AJ84" s="173">
        <v>12</v>
      </c>
      <c r="AK84" s="173" t="s">
        <v>661</v>
      </c>
      <c r="AL84" s="173" t="s">
        <v>661</v>
      </c>
      <c r="AM84" s="173" t="s">
        <v>661</v>
      </c>
      <c r="AN84" s="173" t="s">
        <v>661</v>
      </c>
      <c r="AO84" s="173" t="s">
        <v>661</v>
      </c>
      <c r="AP8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8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4" s="173" t="s">
        <v>991</v>
      </c>
      <c r="AU8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8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5" spans="1:53" x14ac:dyDescent="0.3">
      <c r="A85" s="173" t="s">
        <v>637</v>
      </c>
      <c r="B85" s="173"/>
      <c r="C85" s="171" t="s">
        <v>638</v>
      </c>
      <c r="D85" s="172" t="s">
        <v>84</v>
      </c>
      <c r="E85" s="172" t="s">
        <v>42</v>
      </c>
      <c r="F85" s="117" t="str">
        <f>_xlfn.XLOOKUP(tblF42023[[#This Row],[FULL_NAME]],F6Results_2026[Full_Name],F6Results_2026[Comb],"",0,1)</f>
        <v/>
      </c>
      <c r="G85" s="117"/>
      <c r="H8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85" s="173" t="s">
        <v>530</v>
      </c>
      <c r="J85" s="173">
        <v>2025</v>
      </c>
      <c r="K85" s="173" t="s">
        <v>2</v>
      </c>
      <c r="L85" s="173" t="s">
        <v>2</v>
      </c>
      <c r="M85" s="173" t="s">
        <v>3</v>
      </c>
      <c r="N85" s="173" t="s">
        <v>2</v>
      </c>
      <c r="O85" s="173" t="s">
        <v>2</v>
      </c>
      <c r="P85" s="173" t="s">
        <v>3</v>
      </c>
      <c r="Q85" s="173"/>
      <c r="R85" s="173"/>
      <c r="S85" s="173"/>
      <c r="T85" s="173" t="s">
        <v>5</v>
      </c>
      <c r="U85" s="173"/>
      <c r="V85" s="173"/>
      <c r="W85" s="173"/>
      <c r="X85" s="173" t="s">
        <v>3</v>
      </c>
      <c r="Y85" s="173"/>
      <c r="Z85" s="118"/>
      <c r="AA85" s="119">
        <f>COUNTIF(tblF42023[[#This Row],[CIV]:[BIBLE]],"A")</f>
        <v>4</v>
      </c>
      <c r="AB85" s="119">
        <v>10</v>
      </c>
      <c r="AC85" s="119" t="s">
        <v>10</v>
      </c>
      <c r="AD85" s="120">
        <v>3</v>
      </c>
      <c r="AE85" s="173">
        <v>7</v>
      </c>
      <c r="AF85" s="173" t="s">
        <v>661</v>
      </c>
      <c r="AG85" s="173" t="s">
        <v>661</v>
      </c>
      <c r="AH85" s="173">
        <v>4</v>
      </c>
      <c r="AI85" s="173">
        <v>4</v>
      </c>
      <c r="AJ85" s="173">
        <v>10</v>
      </c>
      <c r="AK85" s="173" t="s">
        <v>661</v>
      </c>
      <c r="AL85" s="173" t="s">
        <v>661</v>
      </c>
      <c r="AM85" s="173" t="s">
        <v>661</v>
      </c>
      <c r="AN85" s="173" t="s">
        <v>661</v>
      </c>
      <c r="AO85" s="173" t="s">
        <v>661</v>
      </c>
      <c r="AP8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8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5" s="173" t="s">
        <v>991</v>
      </c>
      <c r="AU8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8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6" spans="1:53" x14ac:dyDescent="0.3">
      <c r="A86" s="173" t="s">
        <v>639</v>
      </c>
      <c r="B86" s="173"/>
      <c r="C86" s="171" t="s">
        <v>640</v>
      </c>
      <c r="D86" s="172" t="s">
        <v>84</v>
      </c>
      <c r="E86" s="172" t="s">
        <v>42</v>
      </c>
      <c r="F86" s="117" t="str">
        <f>_xlfn.XLOOKUP(tblF42023[[#This Row],[FULL_NAME]],F6Results_2026[Full_Name],F6Results_2026[Comb],"",0,1)</f>
        <v/>
      </c>
      <c r="G86" s="117"/>
      <c r="H8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86" s="173" t="s">
        <v>530</v>
      </c>
      <c r="J86" s="173">
        <v>2025</v>
      </c>
      <c r="K86" s="173" t="s">
        <v>3</v>
      </c>
      <c r="L86" s="173" t="s">
        <v>4</v>
      </c>
      <c r="M86" s="173" t="s">
        <v>3</v>
      </c>
      <c r="N86" s="173" t="s">
        <v>3</v>
      </c>
      <c r="O86" s="173" t="s">
        <v>3</v>
      </c>
      <c r="P86" s="173"/>
      <c r="Q86" s="173" t="s">
        <v>4</v>
      </c>
      <c r="R86" s="173" t="s">
        <v>4</v>
      </c>
      <c r="S86" s="173"/>
      <c r="T86" s="173" t="s">
        <v>4</v>
      </c>
      <c r="U86" s="173"/>
      <c r="V86" s="173"/>
      <c r="W86" s="173"/>
      <c r="X86" s="173" t="s">
        <v>4</v>
      </c>
      <c r="Y86" s="173"/>
      <c r="Z86" s="118" t="s">
        <v>2</v>
      </c>
      <c r="AA86" s="119">
        <f>COUNTIF(tblF42023[[#This Row],[CIV]:[BIBLE]],"A")</f>
        <v>1</v>
      </c>
      <c r="AB86" s="119">
        <v>15</v>
      </c>
      <c r="AC86" s="119" t="s">
        <v>10</v>
      </c>
      <c r="AD86" s="120">
        <v>7</v>
      </c>
      <c r="AE86" s="173">
        <v>8</v>
      </c>
      <c r="AF86" s="173" t="s">
        <v>661</v>
      </c>
      <c r="AG86" s="173" t="s">
        <v>661</v>
      </c>
      <c r="AH86" s="173">
        <v>7</v>
      </c>
      <c r="AI86" s="173">
        <v>7</v>
      </c>
      <c r="AJ86" s="173">
        <v>8</v>
      </c>
      <c r="AK86" s="173">
        <v>9</v>
      </c>
      <c r="AL86" s="173" t="s">
        <v>661</v>
      </c>
      <c r="AM86" s="173" t="s">
        <v>661</v>
      </c>
      <c r="AN86" s="173" t="s">
        <v>661</v>
      </c>
      <c r="AO86" s="173" t="s">
        <v>661</v>
      </c>
      <c r="AP8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8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6" s="173" t="s">
        <v>992</v>
      </c>
      <c r="AU8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8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8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7" spans="1:53" x14ac:dyDescent="0.3">
      <c r="A87" s="173" t="s">
        <v>641</v>
      </c>
      <c r="B87" s="173"/>
      <c r="C87" s="171" t="s">
        <v>189</v>
      </c>
      <c r="D87" s="172" t="s">
        <v>84</v>
      </c>
      <c r="E87" s="172" t="s">
        <v>42</v>
      </c>
      <c r="F87" s="117" t="str">
        <f>_xlfn.XLOOKUP(tblF42023[[#This Row],[FULL_NAME]],F6Results_2026[Full_Name],F6Results_2026[Comb],"",0,1)</f>
        <v>EGM</v>
      </c>
      <c r="G87" s="117"/>
      <c r="H8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87" s="173" t="s">
        <v>530</v>
      </c>
      <c r="J87" s="173">
        <v>2025</v>
      </c>
      <c r="K87" s="173" t="s">
        <v>4</v>
      </c>
      <c r="L87" s="173" t="s">
        <v>4</v>
      </c>
      <c r="M87" s="173" t="s">
        <v>4</v>
      </c>
      <c r="N87" s="173" t="s">
        <v>3</v>
      </c>
      <c r="O87" s="173" t="s">
        <v>4</v>
      </c>
      <c r="P87" s="173" t="s">
        <v>5</v>
      </c>
      <c r="Q87" s="173"/>
      <c r="R87" s="173"/>
      <c r="S87" s="173"/>
      <c r="T87" s="173" t="s">
        <v>3</v>
      </c>
      <c r="U87" s="173"/>
      <c r="V87" s="173"/>
      <c r="W87" s="173"/>
      <c r="X87" s="173" t="s">
        <v>5</v>
      </c>
      <c r="Y87" s="173"/>
      <c r="Z87" s="118" t="s">
        <v>3</v>
      </c>
      <c r="AA87" s="119">
        <f>COUNTIF(tblF42023[[#This Row],[CIV]:[BIBLE]],"A")</f>
        <v>0</v>
      </c>
      <c r="AB87" s="119">
        <v>18</v>
      </c>
      <c r="AC87" s="119" t="s">
        <v>11</v>
      </c>
      <c r="AD87" s="120">
        <v>8</v>
      </c>
      <c r="AE87" s="173">
        <v>8</v>
      </c>
      <c r="AF87" s="173" t="s">
        <v>661</v>
      </c>
      <c r="AG87" s="173" t="s">
        <v>661</v>
      </c>
      <c r="AH87" s="173">
        <v>9</v>
      </c>
      <c r="AI87" s="173">
        <v>8</v>
      </c>
      <c r="AJ87" s="173">
        <v>7</v>
      </c>
      <c r="AK87" s="173" t="s">
        <v>661</v>
      </c>
      <c r="AL87" s="173" t="s">
        <v>661</v>
      </c>
      <c r="AM87" s="173" t="s">
        <v>661</v>
      </c>
      <c r="AN87" s="173" t="s">
        <v>661</v>
      </c>
      <c r="AO87" s="173" t="s">
        <v>661</v>
      </c>
      <c r="AP8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8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8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7" s="173" t="s">
        <v>992</v>
      </c>
      <c r="AU8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8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8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8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88" spans="1:53" x14ac:dyDescent="0.3">
      <c r="A88" s="173" t="s">
        <v>642</v>
      </c>
      <c r="B88" s="173"/>
      <c r="C88" s="171" t="s">
        <v>643</v>
      </c>
      <c r="D88" s="172" t="s">
        <v>84</v>
      </c>
      <c r="E88" s="172" t="s">
        <v>42</v>
      </c>
      <c r="F88" s="117" t="str">
        <f>_xlfn.XLOOKUP(tblF42023[[#This Row],[FULL_NAME]],F6Results_2026[Full_Name],F6Results_2026[Comb],"",0,1)</f>
        <v/>
      </c>
      <c r="G88" s="117"/>
      <c r="H8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88" s="173" t="s">
        <v>530</v>
      </c>
      <c r="J88" s="173">
        <v>2025</v>
      </c>
      <c r="K88" s="173" t="s">
        <v>3</v>
      </c>
      <c r="L88" s="173" t="s">
        <v>2</v>
      </c>
      <c r="M88" s="173" t="s">
        <v>3</v>
      </c>
      <c r="N88" s="173" t="s">
        <v>2</v>
      </c>
      <c r="O88" s="173" t="s">
        <v>3</v>
      </c>
      <c r="P88" s="173"/>
      <c r="Q88" s="173"/>
      <c r="R88" s="173"/>
      <c r="S88" s="173"/>
      <c r="T88" s="173" t="s">
        <v>3</v>
      </c>
      <c r="U88" s="173"/>
      <c r="V88" s="173" t="s">
        <v>4</v>
      </c>
      <c r="W88" s="173" t="s">
        <v>3</v>
      </c>
      <c r="X88" s="173" t="s">
        <v>4</v>
      </c>
      <c r="Y88" s="173" t="s">
        <v>5</v>
      </c>
      <c r="Z88" s="118"/>
      <c r="AA88" s="119">
        <f>COUNTIF(tblF42023[[#This Row],[CIV]:[BIBLE]],"A")</f>
        <v>2</v>
      </c>
      <c r="AB88" s="119">
        <v>12</v>
      </c>
      <c r="AC88" s="119" t="s">
        <v>10</v>
      </c>
      <c r="AD88" s="120">
        <v>4</v>
      </c>
      <c r="AE88" s="173">
        <v>5</v>
      </c>
      <c r="AF88" s="173">
        <v>7</v>
      </c>
      <c r="AG88" s="173" t="s">
        <v>661</v>
      </c>
      <c r="AH88" s="173">
        <v>5</v>
      </c>
      <c r="AI88" s="173">
        <v>4</v>
      </c>
      <c r="AJ88" s="173">
        <v>6</v>
      </c>
      <c r="AK88" s="173" t="s">
        <v>661</v>
      </c>
      <c r="AL88" s="173">
        <v>9</v>
      </c>
      <c r="AM88" s="173">
        <v>8</v>
      </c>
      <c r="AN88" s="173" t="s">
        <v>661</v>
      </c>
      <c r="AO88" s="173">
        <v>8</v>
      </c>
      <c r="AP8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8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8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8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8" s="173" t="s">
        <v>991</v>
      </c>
      <c r="AU8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8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8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8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8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N</v>
      </c>
    </row>
    <row r="89" spans="1:53" x14ac:dyDescent="0.3">
      <c r="A89" s="173" t="s">
        <v>644</v>
      </c>
      <c r="B89" s="173"/>
      <c r="C89" s="171" t="s">
        <v>332</v>
      </c>
      <c r="D89" s="172" t="s">
        <v>84</v>
      </c>
      <c r="E89" s="172" t="s">
        <v>42</v>
      </c>
      <c r="F89" s="117" t="str">
        <f>_xlfn.XLOOKUP(tblF42023[[#This Row],[FULL_NAME]],F6Results_2026[Full_Name],F6Results_2026[Comb],"",0,1)</f>
        <v>CBA</v>
      </c>
      <c r="G89" s="117"/>
      <c r="H8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89" s="173" t="s">
        <v>530</v>
      </c>
      <c r="J89" s="173">
        <v>2025</v>
      </c>
      <c r="K89" s="173" t="s">
        <v>3</v>
      </c>
      <c r="L89" s="173" t="s">
        <v>3</v>
      </c>
      <c r="M89" s="173" t="s">
        <v>3</v>
      </c>
      <c r="N89" s="173" t="s">
        <v>3</v>
      </c>
      <c r="O89" s="173" t="s">
        <v>4</v>
      </c>
      <c r="P89" s="173"/>
      <c r="Q89" s="173"/>
      <c r="R89" s="173"/>
      <c r="S89" s="173"/>
      <c r="T89" s="173" t="s">
        <v>4</v>
      </c>
      <c r="U89" s="173"/>
      <c r="V89" s="173" t="s">
        <v>4</v>
      </c>
      <c r="W89" s="173" t="s">
        <v>3</v>
      </c>
      <c r="X89" s="173" t="s">
        <v>3</v>
      </c>
      <c r="Y89" s="173" t="s">
        <v>5</v>
      </c>
      <c r="Z89" s="118"/>
      <c r="AA89" s="119">
        <f>COUNTIF(tblF42023[[#This Row],[CIV]:[BIBLE]],"A")</f>
        <v>0</v>
      </c>
      <c r="AB89" s="119">
        <v>15</v>
      </c>
      <c r="AC89" s="119" t="s">
        <v>10</v>
      </c>
      <c r="AD89" s="120">
        <v>7</v>
      </c>
      <c r="AE89" s="173">
        <v>7</v>
      </c>
      <c r="AF89" s="173">
        <v>6</v>
      </c>
      <c r="AG89" s="173" t="s">
        <v>661</v>
      </c>
      <c r="AH89" s="173">
        <v>7</v>
      </c>
      <c r="AI89" s="173">
        <v>6</v>
      </c>
      <c r="AJ89" s="173">
        <v>8</v>
      </c>
      <c r="AK89" s="173" t="s">
        <v>661</v>
      </c>
      <c r="AL89" s="173">
        <v>8</v>
      </c>
      <c r="AM89" s="173">
        <v>9</v>
      </c>
      <c r="AN89" s="173" t="s">
        <v>661</v>
      </c>
      <c r="AO89" s="173">
        <v>7</v>
      </c>
      <c r="AP8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8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8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8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89" s="173" t="s">
        <v>992</v>
      </c>
      <c r="AU8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8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8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8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8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8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8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90" spans="1:53" x14ac:dyDescent="0.3">
      <c r="A90" s="173" t="s">
        <v>645</v>
      </c>
      <c r="B90" s="173"/>
      <c r="C90" s="171" t="s">
        <v>646</v>
      </c>
      <c r="D90" s="172" t="s">
        <v>84</v>
      </c>
      <c r="E90" s="172" t="s">
        <v>42</v>
      </c>
      <c r="F90" s="117" t="str">
        <f>_xlfn.XLOOKUP(tblF42023[[#This Row],[FULL_NAME]],F6Results_2026[Full_Name],F6Results_2026[Comb],"",0,1)</f>
        <v/>
      </c>
      <c r="G90" s="117"/>
      <c r="H9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90" s="173" t="s">
        <v>530</v>
      </c>
      <c r="J90" s="173">
        <v>2025</v>
      </c>
      <c r="K90" s="173" t="s">
        <v>3</v>
      </c>
      <c r="L90" s="173" t="s">
        <v>3</v>
      </c>
      <c r="M90" s="173" t="s">
        <v>3</v>
      </c>
      <c r="N90" s="173" t="s">
        <v>2</v>
      </c>
      <c r="O90" s="173" t="s">
        <v>2</v>
      </c>
      <c r="P90" s="173"/>
      <c r="Q90" s="173"/>
      <c r="R90" s="173"/>
      <c r="S90" s="173"/>
      <c r="T90" s="173" t="s">
        <v>2</v>
      </c>
      <c r="U90" s="173" t="s">
        <v>3</v>
      </c>
      <c r="V90" s="173"/>
      <c r="W90" s="173" t="s">
        <v>3</v>
      </c>
      <c r="X90" s="173" t="s">
        <v>4</v>
      </c>
      <c r="Y90" s="173" t="s">
        <v>4</v>
      </c>
      <c r="Z90" s="118"/>
      <c r="AA90" s="119">
        <f>COUNTIF(tblF42023[[#This Row],[CIV]:[BIBLE]],"A")</f>
        <v>3</v>
      </c>
      <c r="AB90" s="119">
        <v>11</v>
      </c>
      <c r="AC90" s="119" t="s">
        <v>10</v>
      </c>
      <c r="AD90" s="120">
        <v>4</v>
      </c>
      <c r="AE90" s="173">
        <v>5</v>
      </c>
      <c r="AF90" s="173">
        <v>7</v>
      </c>
      <c r="AG90" s="173" t="s">
        <v>661</v>
      </c>
      <c r="AH90" s="173">
        <v>5</v>
      </c>
      <c r="AI90" s="173">
        <v>5</v>
      </c>
      <c r="AJ90" s="173">
        <v>4</v>
      </c>
      <c r="AK90" s="173" t="s">
        <v>661</v>
      </c>
      <c r="AL90" s="173">
        <v>8</v>
      </c>
      <c r="AM90" s="173">
        <v>6</v>
      </c>
      <c r="AN90" s="173" t="s">
        <v>661</v>
      </c>
      <c r="AO90" s="173" t="s">
        <v>661</v>
      </c>
      <c r="AP9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9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9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0" s="173" t="s">
        <v>991</v>
      </c>
      <c r="AU9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9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9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1" spans="1:53" x14ac:dyDescent="0.3">
      <c r="A91" s="173" t="s">
        <v>647</v>
      </c>
      <c r="B91" s="173"/>
      <c r="C91" s="171" t="s">
        <v>648</v>
      </c>
      <c r="D91" s="172" t="s">
        <v>84</v>
      </c>
      <c r="E91" s="172" t="s">
        <v>42</v>
      </c>
      <c r="F91" s="117" t="str">
        <f>_xlfn.XLOOKUP(tblF42023[[#This Row],[FULL_NAME]],F6Results_2026[Full_Name],F6Results_2026[Comb],"",0,1)</f>
        <v/>
      </c>
      <c r="G91" s="117"/>
      <c r="H9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91" s="173" t="s">
        <v>530</v>
      </c>
      <c r="J91" s="173">
        <v>2025</v>
      </c>
      <c r="K91" s="173" t="s">
        <v>3</v>
      </c>
      <c r="L91" s="173" t="s">
        <v>4</v>
      </c>
      <c r="M91" s="173" t="s">
        <v>4</v>
      </c>
      <c r="N91" s="173" t="s">
        <v>3</v>
      </c>
      <c r="O91" s="173" t="s">
        <v>5</v>
      </c>
      <c r="P91" s="173"/>
      <c r="Q91" s="173" t="s">
        <v>3</v>
      </c>
      <c r="R91" s="173" t="s">
        <v>5</v>
      </c>
      <c r="S91" s="173"/>
      <c r="T91" s="173" t="s">
        <v>2</v>
      </c>
      <c r="U91" s="173"/>
      <c r="V91" s="173"/>
      <c r="W91" s="173"/>
      <c r="X91" s="173" t="s">
        <v>4</v>
      </c>
      <c r="Y91" s="173"/>
      <c r="Z91" s="118" t="s">
        <v>3</v>
      </c>
      <c r="AA91" s="119">
        <f>COUNTIF(tblF42023[[#This Row],[CIV]:[BIBLE]],"A")</f>
        <v>1</v>
      </c>
      <c r="AB91" s="119">
        <v>15</v>
      </c>
      <c r="AC91" s="119" t="s">
        <v>10</v>
      </c>
      <c r="AD91" s="120">
        <v>9</v>
      </c>
      <c r="AE91" s="173">
        <v>7</v>
      </c>
      <c r="AF91" s="173" t="s">
        <v>661</v>
      </c>
      <c r="AG91" s="173" t="s">
        <v>661</v>
      </c>
      <c r="AH91" s="173">
        <v>10</v>
      </c>
      <c r="AI91" s="173">
        <v>8</v>
      </c>
      <c r="AJ91" s="173">
        <v>5</v>
      </c>
      <c r="AK91" s="173">
        <v>7</v>
      </c>
      <c r="AL91" s="173" t="s">
        <v>661</v>
      </c>
      <c r="AM91" s="173" t="s">
        <v>661</v>
      </c>
      <c r="AN91" s="173" t="s">
        <v>661</v>
      </c>
      <c r="AO91" s="173" t="s">
        <v>661</v>
      </c>
      <c r="AP9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9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9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9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1" s="173" t="s">
        <v>992</v>
      </c>
      <c r="AU9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9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9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9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9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2" spans="1:53" x14ac:dyDescent="0.3">
      <c r="A92" s="173" t="s">
        <v>649</v>
      </c>
      <c r="B92" s="173"/>
      <c r="C92" s="171" t="s">
        <v>88</v>
      </c>
      <c r="D92" s="172" t="s">
        <v>84</v>
      </c>
      <c r="E92" s="172" t="s">
        <v>42</v>
      </c>
      <c r="F92" s="117" t="str">
        <f>_xlfn.XLOOKUP(tblF42023[[#This Row],[FULL_NAME]],F6Results_2026[Full_Name],F6Results_2026[Comb],"",0,1)</f>
        <v>HGL</v>
      </c>
      <c r="G92" s="117"/>
      <c r="H9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92" s="173" t="s">
        <v>530</v>
      </c>
      <c r="J92" s="173">
        <v>2025</v>
      </c>
      <c r="K92" s="173" t="s">
        <v>3</v>
      </c>
      <c r="L92" s="173" t="s">
        <v>4</v>
      </c>
      <c r="M92" s="173" t="s">
        <v>4</v>
      </c>
      <c r="N92" s="173" t="s">
        <v>4</v>
      </c>
      <c r="O92" s="173" t="s">
        <v>3</v>
      </c>
      <c r="P92" s="173"/>
      <c r="Q92" s="173" t="s">
        <v>4</v>
      </c>
      <c r="R92" s="173" t="s">
        <v>4</v>
      </c>
      <c r="S92" s="173"/>
      <c r="T92" s="173" t="s">
        <v>4</v>
      </c>
      <c r="U92" s="173"/>
      <c r="V92" s="173"/>
      <c r="W92" s="173"/>
      <c r="X92" s="173" t="s">
        <v>4</v>
      </c>
      <c r="Y92" s="173"/>
      <c r="Z92" s="118" t="s">
        <v>2</v>
      </c>
      <c r="AA92" s="119">
        <f>COUNTIF(tblF42023[[#This Row],[CIV]:[BIBLE]],"A")</f>
        <v>1</v>
      </c>
      <c r="AB92" s="119">
        <v>17</v>
      </c>
      <c r="AC92" s="119" t="s">
        <v>10</v>
      </c>
      <c r="AD92" s="120">
        <v>8</v>
      </c>
      <c r="AE92" s="173">
        <v>9</v>
      </c>
      <c r="AF92" s="173" t="s">
        <v>661</v>
      </c>
      <c r="AG92" s="173" t="s">
        <v>661</v>
      </c>
      <c r="AH92" s="173">
        <v>8</v>
      </c>
      <c r="AI92" s="173">
        <v>9</v>
      </c>
      <c r="AJ92" s="173">
        <v>9</v>
      </c>
      <c r="AK92" s="173">
        <v>9</v>
      </c>
      <c r="AL92" s="173" t="s">
        <v>661</v>
      </c>
      <c r="AM92" s="173" t="s">
        <v>661</v>
      </c>
      <c r="AN92" s="173" t="s">
        <v>661</v>
      </c>
      <c r="AO92" s="173" t="s">
        <v>661</v>
      </c>
      <c r="AP9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9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9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9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2" s="173" t="s">
        <v>992</v>
      </c>
      <c r="AU9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9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9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9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9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9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3" spans="1:53" x14ac:dyDescent="0.3">
      <c r="A93" s="173" t="s">
        <v>650</v>
      </c>
      <c r="B93" s="173"/>
      <c r="C93" s="171" t="s">
        <v>651</v>
      </c>
      <c r="D93" s="172" t="s">
        <v>84</v>
      </c>
      <c r="E93" s="172" t="s">
        <v>42</v>
      </c>
      <c r="F93" s="117" t="str">
        <f>_xlfn.XLOOKUP(tblF42023[[#This Row],[FULL_NAME]],F6Results_2026[Full_Name],F6Results_2026[Comb],"",0,1)</f>
        <v/>
      </c>
      <c r="G93" s="117"/>
      <c r="H9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Busi</v>
      </c>
      <c r="I93" s="173" t="s">
        <v>530</v>
      </c>
      <c r="J93" s="173">
        <v>2025</v>
      </c>
      <c r="K93" s="173" t="s">
        <v>4</v>
      </c>
      <c r="L93" s="173" t="s">
        <v>4</v>
      </c>
      <c r="M93" s="173" t="s">
        <v>3</v>
      </c>
      <c r="N93" s="173" t="s">
        <v>4</v>
      </c>
      <c r="O93" s="173" t="s">
        <v>4</v>
      </c>
      <c r="P93" s="173" t="s">
        <v>5</v>
      </c>
      <c r="Q93" s="173" t="s">
        <v>4</v>
      </c>
      <c r="R93" s="173" t="s">
        <v>4</v>
      </c>
      <c r="S93" s="173"/>
      <c r="T93" s="173" t="s">
        <v>4</v>
      </c>
      <c r="U93" s="173"/>
      <c r="V93" s="173"/>
      <c r="W93" s="173"/>
      <c r="X93" s="173" t="s">
        <v>4</v>
      </c>
      <c r="Y93" s="173"/>
      <c r="Z93" s="118"/>
      <c r="AA93" s="119">
        <f>COUNTIF(tblF42023[[#This Row],[CIV]:[BIBLE]],"A")</f>
        <v>0</v>
      </c>
      <c r="AB93" s="119">
        <v>20</v>
      </c>
      <c r="AC93" s="119" t="s">
        <v>11</v>
      </c>
      <c r="AD93" s="120">
        <v>9</v>
      </c>
      <c r="AE93" s="173">
        <v>8</v>
      </c>
      <c r="AF93" s="173" t="s">
        <v>661</v>
      </c>
      <c r="AG93" s="173" t="s">
        <v>661</v>
      </c>
      <c r="AH93" s="173">
        <v>8</v>
      </c>
      <c r="AI93" s="173">
        <v>8</v>
      </c>
      <c r="AJ93" s="173">
        <v>8</v>
      </c>
      <c r="AK93" s="173">
        <v>9</v>
      </c>
      <c r="AL93" s="173" t="s">
        <v>661</v>
      </c>
      <c r="AM93" s="173" t="s">
        <v>661</v>
      </c>
      <c r="AN93" s="173" t="s">
        <v>661</v>
      </c>
      <c r="AO93" s="173" t="s">
        <v>661</v>
      </c>
      <c r="AP9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9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9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9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3" s="173" t="s">
        <v>992</v>
      </c>
      <c r="AU9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9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9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9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9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9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4" spans="1:53" x14ac:dyDescent="0.3">
      <c r="A94" s="173" t="s">
        <v>652</v>
      </c>
      <c r="B94" s="173"/>
      <c r="C94" s="171" t="s">
        <v>653</v>
      </c>
      <c r="D94" s="172" t="s">
        <v>84</v>
      </c>
      <c r="E94" s="172" t="s">
        <v>42</v>
      </c>
      <c r="F94" s="117" t="str">
        <f>_xlfn.XLOOKUP(tblF42023[[#This Row],[FULL_NAME]],F6Results_2026[Full_Name],F6Results_2026[Comb],"",0,1)</f>
        <v/>
      </c>
      <c r="G94" s="117"/>
      <c r="H9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94" s="173" t="s">
        <v>530</v>
      </c>
      <c r="J94" s="173">
        <v>2025</v>
      </c>
      <c r="K94" s="173" t="s">
        <v>2</v>
      </c>
      <c r="L94" s="173" t="s">
        <v>2</v>
      </c>
      <c r="M94" s="173" t="s">
        <v>2</v>
      </c>
      <c r="N94" s="173" t="s">
        <v>2</v>
      </c>
      <c r="O94" s="173" t="s">
        <v>2</v>
      </c>
      <c r="P94" s="173"/>
      <c r="Q94" s="173"/>
      <c r="R94" s="173"/>
      <c r="S94" s="173"/>
      <c r="T94" s="173" t="s">
        <v>2</v>
      </c>
      <c r="U94" s="173" t="s">
        <v>3</v>
      </c>
      <c r="V94" s="173"/>
      <c r="W94" s="173" t="s">
        <v>2</v>
      </c>
      <c r="X94" s="173" t="s">
        <v>2</v>
      </c>
      <c r="Y94" s="173" t="s">
        <v>3</v>
      </c>
      <c r="Z94" s="118"/>
      <c r="AA94" s="119">
        <f>COUNTIF(tblF42023[[#This Row],[CIV]:[BIBLE]],"A")</f>
        <v>8</v>
      </c>
      <c r="AB94" s="119">
        <v>7</v>
      </c>
      <c r="AC94" s="119" t="s">
        <v>10</v>
      </c>
      <c r="AD94" s="120">
        <v>3</v>
      </c>
      <c r="AE94" s="173">
        <v>3</v>
      </c>
      <c r="AF94" s="173">
        <v>3</v>
      </c>
      <c r="AG94" s="173" t="s">
        <v>661</v>
      </c>
      <c r="AH94" s="173">
        <v>3</v>
      </c>
      <c r="AI94" s="173">
        <v>3</v>
      </c>
      <c r="AJ94" s="173">
        <v>3</v>
      </c>
      <c r="AK94" s="173" t="s">
        <v>661</v>
      </c>
      <c r="AL94" s="173">
        <v>4</v>
      </c>
      <c r="AM94" s="173">
        <v>4</v>
      </c>
      <c r="AN94" s="173" t="s">
        <v>661</v>
      </c>
      <c r="AO94" s="173" t="s">
        <v>661</v>
      </c>
      <c r="AP9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9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9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4" s="173" t="s">
        <v>991</v>
      </c>
      <c r="AU9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9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9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5" spans="1:53" x14ac:dyDescent="0.3">
      <c r="A95" s="173" t="s">
        <v>654</v>
      </c>
      <c r="B95" s="173"/>
      <c r="C95" s="171" t="s">
        <v>655</v>
      </c>
      <c r="D95" s="172" t="s">
        <v>84</v>
      </c>
      <c r="E95" s="172" t="s">
        <v>42</v>
      </c>
      <c r="F95" s="117" t="str">
        <f>_xlfn.XLOOKUP(tblF42023[[#This Row],[FULL_NAME]],F6Results_2026[Full_Name],F6Results_2026[Comb],"",0,1)</f>
        <v/>
      </c>
      <c r="G95" s="117"/>
      <c r="H9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95" s="173" t="s">
        <v>530</v>
      </c>
      <c r="J95" s="173">
        <v>2025</v>
      </c>
      <c r="K95" s="173" t="s">
        <v>2</v>
      </c>
      <c r="L95" s="173" t="s">
        <v>2</v>
      </c>
      <c r="M95" s="173" t="s">
        <v>2</v>
      </c>
      <c r="N95" s="173" t="s">
        <v>2</v>
      </c>
      <c r="O95" s="173" t="s">
        <v>3</v>
      </c>
      <c r="P95" s="173"/>
      <c r="Q95" s="173"/>
      <c r="R95" s="173"/>
      <c r="S95" s="173"/>
      <c r="T95" s="173" t="s">
        <v>2</v>
      </c>
      <c r="U95" s="173"/>
      <c r="V95" s="173" t="s">
        <v>4</v>
      </c>
      <c r="W95" s="173" t="s">
        <v>2</v>
      </c>
      <c r="X95" s="173" t="s">
        <v>3</v>
      </c>
      <c r="Y95" s="173" t="s">
        <v>4</v>
      </c>
      <c r="Z95" s="118"/>
      <c r="AA95" s="119">
        <f>COUNTIF(tblF42023[[#This Row],[CIV]:[BIBLE]],"A")</f>
        <v>6</v>
      </c>
      <c r="AB95" s="119">
        <v>8</v>
      </c>
      <c r="AC95" s="119" t="s">
        <v>10</v>
      </c>
      <c r="AD95" s="120">
        <v>4</v>
      </c>
      <c r="AE95" s="173">
        <v>3</v>
      </c>
      <c r="AF95" s="173">
        <v>4</v>
      </c>
      <c r="AG95" s="173" t="s">
        <v>661</v>
      </c>
      <c r="AH95" s="173">
        <v>4</v>
      </c>
      <c r="AI95" s="173">
        <v>3</v>
      </c>
      <c r="AJ95" s="173">
        <v>3</v>
      </c>
      <c r="AK95" s="173" t="s">
        <v>661</v>
      </c>
      <c r="AL95" s="173">
        <v>6</v>
      </c>
      <c r="AM95" s="173">
        <v>5</v>
      </c>
      <c r="AN95" s="173" t="s">
        <v>661</v>
      </c>
      <c r="AO95" s="173">
        <v>6</v>
      </c>
      <c r="AP9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9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9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5" s="173" t="s">
        <v>991</v>
      </c>
      <c r="AU9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9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9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>Y</v>
      </c>
    </row>
    <row r="96" spans="1:53" x14ac:dyDescent="0.3">
      <c r="A96" s="173" t="s">
        <v>656</v>
      </c>
      <c r="B96" s="173"/>
      <c r="C96" s="171" t="s">
        <v>187</v>
      </c>
      <c r="D96" s="172" t="s">
        <v>84</v>
      </c>
      <c r="E96" s="172" t="s">
        <v>42</v>
      </c>
      <c r="F96" s="117" t="str">
        <f>_xlfn.XLOOKUP(tblF42023[[#This Row],[FULL_NAME]],F6Results_2026[Full_Name],F6Results_2026[Comb],"",0,1)</f>
        <v>EGM</v>
      </c>
      <c r="G96" s="117"/>
      <c r="H9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Art</v>
      </c>
      <c r="I96" s="173" t="s">
        <v>530</v>
      </c>
      <c r="J96" s="173">
        <v>2025</v>
      </c>
      <c r="K96" s="173" t="s">
        <v>2</v>
      </c>
      <c r="L96" s="173" t="s">
        <v>2</v>
      </c>
      <c r="M96" s="173" t="s">
        <v>2</v>
      </c>
      <c r="N96" s="173" t="s">
        <v>2</v>
      </c>
      <c r="O96" s="173" t="s">
        <v>3</v>
      </c>
      <c r="P96" s="173" t="s">
        <v>4</v>
      </c>
      <c r="Q96" s="173"/>
      <c r="R96" s="173"/>
      <c r="S96" s="173"/>
      <c r="T96" s="173" t="s">
        <v>2</v>
      </c>
      <c r="U96" s="173"/>
      <c r="V96" s="173"/>
      <c r="W96" s="173"/>
      <c r="X96" s="173" t="s">
        <v>3</v>
      </c>
      <c r="Y96" s="173"/>
      <c r="Z96" s="118"/>
      <c r="AA96" s="119">
        <f>COUNTIF(tblF42023[[#This Row],[CIV]:[BIBLE]],"A")</f>
        <v>5</v>
      </c>
      <c r="AB96" s="119">
        <v>9</v>
      </c>
      <c r="AC96" s="119" t="s">
        <v>10</v>
      </c>
      <c r="AD96" s="120">
        <v>4</v>
      </c>
      <c r="AE96" s="173">
        <v>3</v>
      </c>
      <c r="AF96" s="173" t="s">
        <v>661</v>
      </c>
      <c r="AG96" s="173" t="s">
        <v>661</v>
      </c>
      <c r="AH96" s="173">
        <v>4</v>
      </c>
      <c r="AI96" s="173">
        <v>3</v>
      </c>
      <c r="AJ96" s="173">
        <v>3</v>
      </c>
      <c r="AK96" s="173" t="s">
        <v>661</v>
      </c>
      <c r="AL96" s="173" t="s">
        <v>661</v>
      </c>
      <c r="AM96" s="173" t="s">
        <v>661</v>
      </c>
      <c r="AN96" s="173" t="s">
        <v>661</v>
      </c>
      <c r="AO96" s="173" t="s">
        <v>661</v>
      </c>
      <c r="AP9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9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9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6" s="173" t="s">
        <v>991</v>
      </c>
      <c r="AU9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9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9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7" spans="1:53" x14ac:dyDescent="0.3">
      <c r="A97" s="173" t="s">
        <v>657</v>
      </c>
      <c r="B97" s="173"/>
      <c r="C97" s="171" t="s">
        <v>193</v>
      </c>
      <c r="D97" s="172" t="s">
        <v>8</v>
      </c>
      <c r="E97" s="172" t="s">
        <v>42</v>
      </c>
      <c r="F97" s="117" t="str">
        <f>_xlfn.XLOOKUP(tblF42023[[#This Row],[FULL_NAME]],F6Results_2026[Full_Name],F6Results_2026[Comb],"",0,1)</f>
        <v>PCM</v>
      </c>
      <c r="G97" s="117"/>
      <c r="H9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97" s="173" t="s">
        <v>530</v>
      </c>
      <c r="J97" s="173">
        <v>2025</v>
      </c>
      <c r="K97" s="121" t="s">
        <v>3</v>
      </c>
      <c r="L97" s="121" t="s">
        <v>2</v>
      </c>
      <c r="M97" s="121" t="s">
        <v>3</v>
      </c>
      <c r="N97" s="121" t="s">
        <v>2</v>
      </c>
      <c r="O97" s="121" t="s">
        <v>3</v>
      </c>
      <c r="P97" s="121"/>
      <c r="Q97" s="121"/>
      <c r="R97" s="121"/>
      <c r="S97" s="121"/>
      <c r="T97" s="121" t="s">
        <v>3</v>
      </c>
      <c r="U97" s="121"/>
      <c r="V97" s="121"/>
      <c r="W97" s="121" t="s">
        <v>3</v>
      </c>
      <c r="X97" s="121" t="s">
        <v>3</v>
      </c>
      <c r="Y97" s="121" t="s">
        <v>4</v>
      </c>
      <c r="Z97" s="122" t="s">
        <v>2</v>
      </c>
      <c r="AA97" s="119">
        <f>COUNTIF(tblF42023[[#This Row],[CIV]:[BIBLE]],"A")</f>
        <v>3</v>
      </c>
      <c r="AB97" s="119">
        <v>11</v>
      </c>
      <c r="AC97" s="119" t="s">
        <v>10</v>
      </c>
      <c r="AD97" s="120">
        <v>4</v>
      </c>
      <c r="AE97" s="173">
        <v>5</v>
      </c>
      <c r="AF97" s="173">
        <v>6</v>
      </c>
      <c r="AG97" s="173" t="s">
        <v>661</v>
      </c>
      <c r="AH97" s="173">
        <v>5</v>
      </c>
      <c r="AI97" s="173">
        <v>4</v>
      </c>
      <c r="AJ97" s="173">
        <v>6</v>
      </c>
      <c r="AK97" s="173" t="s">
        <v>661</v>
      </c>
      <c r="AL97" s="173">
        <v>7</v>
      </c>
      <c r="AM97" s="173">
        <v>7</v>
      </c>
      <c r="AN97" s="173" t="s">
        <v>661</v>
      </c>
      <c r="AO97" s="173" t="s">
        <v>661</v>
      </c>
      <c r="AP9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9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9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7" s="173" t="s">
        <v>991</v>
      </c>
      <c r="AU9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9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9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8" spans="1:53" x14ac:dyDescent="0.3">
      <c r="A98" s="173" t="s">
        <v>658</v>
      </c>
      <c r="B98" s="173"/>
      <c r="C98" s="171" t="s">
        <v>138</v>
      </c>
      <c r="D98" s="172" t="s">
        <v>8</v>
      </c>
      <c r="E98" s="172" t="s">
        <v>42</v>
      </c>
      <c r="F98" s="117" t="str">
        <f>_xlfn.XLOOKUP(tblF42023[[#This Row],[FULL_NAME]],F6Results_2026[Full_Name],F6Results_2026[Comb],"",0,1)</f>
        <v>EGM</v>
      </c>
      <c r="G98" s="117"/>
      <c r="H9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98" s="173" t="s">
        <v>530</v>
      </c>
      <c r="J98" s="173">
        <v>2025</v>
      </c>
      <c r="K98" s="121" t="s">
        <v>3</v>
      </c>
      <c r="L98" s="121" t="s">
        <v>3</v>
      </c>
      <c r="M98" s="121" t="s">
        <v>2</v>
      </c>
      <c r="N98" s="121" t="s">
        <v>2</v>
      </c>
      <c r="O98" s="121" t="s">
        <v>2</v>
      </c>
      <c r="P98" s="121"/>
      <c r="Q98" s="121"/>
      <c r="R98" s="121"/>
      <c r="S98" s="121"/>
      <c r="T98" s="121" t="s">
        <v>3</v>
      </c>
      <c r="U98" s="121"/>
      <c r="V98" s="121"/>
      <c r="W98" s="121" t="s">
        <v>2</v>
      </c>
      <c r="X98" s="121" t="s">
        <v>3</v>
      </c>
      <c r="Y98" s="121" t="s">
        <v>4</v>
      </c>
      <c r="Z98" s="122" t="s">
        <v>2</v>
      </c>
      <c r="AA98" s="119">
        <f>COUNTIF(tblF42023[[#This Row],[CIV]:[BIBLE]],"A")</f>
        <v>5</v>
      </c>
      <c r="AB98" s="119">
        <v>9</v>
      </c>
      <c r="AC98" s="119" t="s">
        <v>10</v>
      </c>
      <c r="AD98" s="120">
        <v>4</v>
      </c>
      <c r="AE98" s="173">
        <v>5</v>
      </c>
      <c r="AF98" s="173">
        <v>4</v>
      </c>
      <c r="AG98" s="173" t="s">
        <v>661</v>
      </c>
      <c r="AH98" s="173">
        <v>4</v>
      </c>
      <c r="AI98" s="173">
        <v>4</v>
      </c>
      <c r="AJ98" s="173">
        <v>5</v>
      </c>
      <c r="AK98" s="173" t="s">
        <v>661</v>
      </c>
      <c r="AL98" s="173">
        <v>6</v>
      </c>
      <c r="AM98" s="173">
        <v>6</v>
      </c>
      <c r="AN98" s="173" t="s">
        <v>661</v>
      </c>
      <c r="AO98" s="173" t="s">
        <v>661</v>
      </c>
      <c r="AP9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9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9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8" s="173" t="s">
        <v>991</v>
      </c>
      <c r="AU9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9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9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9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99" spans="1:53" x14ac:dyDescent="0.3">
      <c r="A99" s="173" t="s">
        <v>659</v>
      </c>
      <c r="B99" s="173"/>
      <c r="C99" s="171" t="s">
        <v>39</v>
      </c>
      <c r="D99" s="172" t="s">
        <v>8</v>
      </c>
      <c r="E99" s="172" t="s">
        <v>42</v>
      </c>
      <c r="F99" s="117" t="str">
        <f>_xlfn.XLOOKUP(tblF42023[[#This Row],[FULL_NAME]],F6Results_2026[Full_Name],F6Results_2026[Comb],"",0,1)</f>
        <v>HGK</v>
      </c>
      <c r="G99" s="117"/>
      <c r="H9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99" s="173" t="s">
        <v>530</v>
      </c>
      <c r="J99" s="173">
        <v>2025</v>
      </c>
      <c r="K99" s="121" t="s">
        <v>2</v>
      </c>
      <c r="L99" s="121" t="s">
        <v>3</v>
      </c>
      <c r="M99" s="121" t="s">
        <v>3</v>
      </c>
      <c r="N99" s="121" t="s">
        <v>2</v>
      </c>
      <c r="O99" s="121" t="s">
        <v>2</v>
      </c>
      <c r="P99" s="121"/>
      <c r="Q99" s="121"/>
      <c r="R99" s="121"/>
      <c r="S99" s="121"/>
      <c r="T99" s="121" t="s">
        <v>4</v>
      </c>
      <c r="U99" s="121"/>
      <c r="V99" s="121"/>
      <c r="W99" s="121" t="s">
        <v>3</v>
      </c>
      <c r="X99" s="121" t="s">
        <v>3</v>
      </c>
      <c r="Y99" s="121" t="s">
        <v>5</v>
      </c>
      <c r="Z99" s="122" t="s">
        <v>2</v>
      </c>
      <c r="AA99" s="119">
        <f>COUNTIF(tblF42023[[#This Row],[CIV]:[BIBLE]],"A")</f>
        <v>4</v>
      </c>
      <c r="AB99" s="119">
        <v>10</v>
      </c>
      <c r="AC99" s="119" t="s">
        <v>10</v>
      </c>
      <c r="AD99" s="120">
        <v>4</v>
      </c>
      <c r="AE99" s="173">
        <v>7</v>
      </c>
      <c r="AF99" s="173">
        <v>6</v>
      </c>
      <c r="AG99" s="173" t="s">
        <v>661</v>
      </c>
      <c r="AH99" s="173">
        <v>5</v>
      </c>
      <c r="AI99" s="173">
        <v>5</v>
      </c>
      <c r="AJ99" s="173">
        <v>8</v>
      </c>
      <c r="AK99" s="173" t="s">
        <v>661</v>
      </c>
      <c r="AL99" s="173">
        <v>8</v>
      </c>
      <c r="AM99" s="173">
        <v>9</v>
      </c>
      <c r="AN99" s="173" t="s">
        <v>661</v>
      </c>
      <c r="AO99" s="173" t="s">
        <v>661</v>
      </c>
      <c r="AP9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9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9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9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99" s="173" t="s">
        <v>991</v>
      </c>
      <c r="AU9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9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9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9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9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9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9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0" spans="1:53" x14ac:dyDescent="0.3">
      <c r="A100" s="173" t="s">
        <v>660</v>
      </c>
      <c r="B100" s="173"/>
      <c r="C100" s="171"/>
      <c r="D100" s="172" t="s">
        <v>8</v>
      </c>
      <c r="E100" s="172" t="s">
        <v>42</v>
      </c>
      <c r="F100" s="117" t="str">
        <f>_xlfn.XLOOKUP(tblF42023[[#This Row],[FULL_NAME]],F6Results_2026[Full_Name],F6Results_2026[Comb],"",0,1)</f>
        <v/>
      </c>
      <c r="G100" s="117"/>
      <c r="H10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0" s="173" t="s">
        <v>530</v>
      </c>
      <c r="J100" s="173">
        <v>2025</v>
      </c>
      <c r="K100" s="121" t="s">
        <v>2</v>
      </c>
      <c r="L100" s="121" t="s">
        <v>2</v>
      </c>
      <c r="M100" s="121" t="s">
        <v>2</v>
      </c>
      <c r="N100" s="121" t="s">
        <v>2</v>
      </c>
      <c r="O100" s="121" t="s">
        <v>3</v>
      </c>
      <c r="P100" s="121"/>
      <c r="Q100" s="121"/>
      <c r="R100" s="121"/>
      <c r="S100" s="121" t="s">
        <v>3</v>
      </c>
      <c r="T100" s="121" t="s">
        <v>2</v>
      </c>
      <c r="U100" s="121"/>
      <c r="V100" s="121"/>
      <c r="W100" s="121" t="s">
        <v>2</v>
      </c>
      <c r="X100" s="121" t="s">
        <v>2</v>
      </c>
      <c r="Y100" s="121" t="s">
        <v>4</v>
      </c>
      <c r="Z100" s="122"/>
      <c r="AA100" s="119">
        <f>COUNTIF(tblF42023[[#This Row],[CIV]:[BIBLE]],"A")</f>
        <v>7</v>
      </c>
      <c r="AB100" s="119">
        <v>7</v>
      </c>
      <c r="AC100" s="119" t="s">
        <v>10</v>
      </c>
      <c r="AD100" s="120">
        <v>4</v>
      </c>
      <c r="AE100" s="173">
        <v>3</v>
      </c>
      <c r="AF100" s="173">
        <v>3</v>
      </c>
      <c r="AG100" s="173">
        <v>4</v>
      </c>
      <c r="AH100" s="173">
        <v>4</v>
      </c>
      <c r="AI100" s="173">
        <v>3</v>
      </c>
      <c r="AJ100" s="173">
        <v>3</v>
      </c>
      <c r="AK100" s="173" t="s">
        <v>661</v>
      </c>
      <c r="AL100" s="173">
        <v>5</v>
      </c>
      <c r="AM100" s="173">
        <v>5</v>
      </c>
      <c r="AN100" s="173">
        <v>6</v>
      </c>
      <c r="AO100" s="173" t="s">
        <v>661</v>
      </c>
      <c r="AP10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00" s="173" t="s">
        <v>991</v>
      </c>
      <c r="AU10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0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0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0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0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1" spans="1:53" x14ac:dyDescent="0.3">
      <c r="A101" s="173" t="s">
        <v>662</v>
      </c>
      <c r="B101" s="173"/>
      <c r="C101" s="171"/>
      <c r="D101" s="172" t="s">
        <v>8</v>
      </c>
      <c r="E101" s="172" t="s">
        <v>42</v>
      </c>
      <c r="F101" s="117" t="str">
        <f>_xlfn.XLOOKUP(tblF42023[[#This Row],[FULL_NAME]],F6Results_2026[Full_Name],F6Results_2026[Comb],"",0,1)</f>
        <v/>
      </c>
      <c r="G101" s="117"/>
      <c r="H10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1" s="173" t="s">
        <v>530</v>
      </c>
      <c r="J101" s="173">
        <v>2025</v>
      </c>
      <c r="K101" s="121" t="s">
        <v>2</v>
      </c>
      <c r="L101" s="121" t="s">
        <v>2</v>
      </c>
      <c r="M101" s="121" t="s">
        <v>3</v>
      </c>
      <c r="N101" s="121" t="s">
        <v>2</v>
      </c>
      <c r="O101" s="121" t="s">
        <v>3</v>
      </c>
      <c r="P101" s="121"/>
      <c r="Q101" s="121" t="s">
        <v>4</v>
      </c>
      <c r="R101" s="121" t="s">
        <v>3</v>
      </c>
      <c r="S101" s="121" t="s">
        <v>4</v>
      </c>
      <c r="T101" s="121" t="s">
        <v>4</v>
      </c>
      <c r="U101" s="121"/>
      <c r="V101" s="121"/>
      <c r="W101" s="121"/>
      <c r="X101" s="121" t="s">
        <v>3</v>
      </c>
      <c r="Y101" s="121" t="s">
        <v>663</v>
      </c>
      <c r="Z101" s="122"/>
      <c r="AA101" s="119">
        <f>COUNTIF(tblF42023[[#This Row],[CIV]:[BIBLE]],"A")</f>
        <v>3</v>
      </c>
      <c r="AB101" s="119">
        <v>11</v>
      </c>
      <c r="AC101" s="119" t="s">
        <v>10</v>
      </c>
      <c r="AD101" s="120">
        <v>4</v>
      </c>
      <c r="AE101" s="173">
        <v>6</v>
      </c>
      <c r="AF101" s="173" t="s">
        <v>661</v>
      </c>
      <c r="AG101" s="173">
        <v>9</v>
      </c>
      <c r="AH101" s="173">
        <v>5</v>
      </c>
      <c r="AI101" s="173">
        <v>4</v>
      </c>
      <c r="AJ101" s="173">
        <v>8</v>
      </c>
      <c r="AK101" s="173">
        <v>8</v>
      </c>
      <c r="AL101" s="173" t="s">
        <v>661</v>
      </c>
      <c r="AM101" s="173" t="s">
        <v>661</v>
      </c>
      <c r="AN101" s="173" t="s">
        <v>661</v>
      </c>
      <c r="AO101" s="173" t="s">
        <v>661</v>
      </c>
      <c r="AP10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0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01" s="173" t="s">
        <v>991</v>
      </c>
      <c r="AU10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0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0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0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2" spans="1:53" x14ac:dyDescent="0.3">
      <c r="A102" s="173" t="s">
        <v>664</v>
      </c>
      <c r="B102" s="173"/>
      <c r="C102" s="171" t="s">
        <v>141</v>
      </c>
      <c r="D102" s="172" t="s">
        <v>8</v>
      </c>
      <c r="E102" s="172" t="s">
        <v>42</v>
      </c>
      <c r="F102" s="117" t="str">
        <f>_xlfn.XLOOKUP(tblF42023[[#This Row],[FULL_NAME]],F6Results_2026[Full_Name],F6Results_2026[Comb],"",0,1)</f>
        <v>EGM</v>
      </c>
      <c r="G102" s="117"/>
      <c r="H10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2" s="173" t="s">
        <v>530</v>
      </c>
      <c r="J102" s="173">
        <v>2025</v>
      </c>
      <c r="K102" s="121" t="s">
        <v>3</v>
      </c>
      <c r="L102" s="121" t="s">
        <v>3</v>
      </c>
      <c r="M102" s="121" t="s">
        <v>2</v>
      </c>
      <c r="N102" s="121" t="s">
        <v>2</v>
      </c>
      <c r="O102" s="121" t="s">
        <v>3</v>
      </c>
      <c r="P102" s="121"/>
      <c r="Q102" s="121"/>
      <c r="R102" s="121"/>
      <c r="S102" s="121"/>
      <c r="T102" s="121" t="s">
        <v>3</v>
      </c>
      <c r="U102" s="121"/>
      <c r="V102" s="121"/>
      <c r="W102" s="121" t="s">
        <v>2</v>
      </c>
      <c r="X102" s="121" t="s">
        <v>2</v>
      </c>
      <c r="Y102" s="121" t="s">
        <v>4</v>
      </c>
      <c r="Z102" s="122" t="s">
        <v>2</v>
      </c>
      <c r="AA102" s="119">
        <f>COUNTIF(tblF42023[[#This Row],[CIV]:[BIBLE]],"A")</f>
        <v>5</v>
      </c>
      <c r="AB102" s="119">
        <v>9</v>
      </c>
      <c r="AC102" s="119" t="s">
        <v>10</v>
      </c>
      <c r="AD102" s="120">
        <v>5</v>
      </c>
      <c r="AE102" s="173">
        <v>5</v>
      </c>
      <c r="AF102" s="173">
        <v>3</v>
      </c>
      <c r="AG102" s="173" t="s">
        <v>661</v>
      </c>
      <c r="AH102" s="173">
        <v>5</v>
      </c>
      <c r="AI102" s="173">
        <v>4</v>
      </c>
      <c r="AJ102" s="173">
        <v>5</v>
      </c>
      <c r="AK102" s="173" t="s">
        <v>661</v>
      </c>
      <c r="AL102" s="173">
        <v>5</v>
      </c>
      <c r="AM102" s="173">
        <v>6</v>
      </c>
      <c r="AN102" s="173" t="s">
        <v>661</v>
      </c>
      <c r="AO102" s="173" t="s">
        <v>661</v>
      </c>
      <c r="AP10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2" s="173" t="s">
        <v>991</v>
      </c>
      <c r="AU10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0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0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0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3" spans="1:53" x14ac:dyDescent="0.3">
      <c r="A103" s="173" t="s">
        <v>665</v>
      </c>
      <c r="B103" s="173"/>
      <c r="C103" s="171"/>
      <c r="D103" s="172" t="s">
        <v>8</v>
      </c>
      <c r="E103" s="172" t="s">
        <v>42</v>
      </c>
      <c r="F103" s="117" t="str">
        <f>_xlfn.XLOOKUP(tblF42023[[#This Row],[FULL_NAME]],F6Results_2026[Full_Name],F6Results_2026[Comb],"",0,1)</f>
        <v/>
      </c>
      <c r="G103" s="117"/>
      <c r="H10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3" s="173" t="s">
        <v>530</v>
      </c>
      <c r="J103" s="173">
        <v>2025</v>
      </c>
      <c r="K103" s="121" t="s">
        <v>2</v>
      </c>
      <c r="L103" s="121" t="s">
        <v>4</v>
      </c>
      <c r="M103" s="121" t="s">
        <v>3</v>
      </c>
      <c r="N103" s="121" t="s">
        <v>2</v>
      </c>
      <c r="O103" s="121" t="s">
        <v>3</v>
      </c>
      <c r="P103" s="121"/>
      <c r="Q103" s="121"/>
      <c r="R103" s="121"/>
      <c r="S103" s="121"/>
      <c r="T103" s="121" t="s">
        <v>4</v>
      </c>
      <c r="U103" s="121"/>
      <c r="V103" s="121"/>
      <c r="W103" s="121" t="s">
        <v>3</v>
      </c>
      <c r="X103" s="121" t="s">
        <v>3</v>
      </c>
      <c r="Y103" s="121" t="s">
        <v>5</v>
      </c>
      <c r="Z103" s="122" t="s">
        <v>3</v>
      </c>
      <c r="AA103" s="119">
        <f>COUNTIF(tblF42023[[#This Row],[CIV]:[BIBLE]],"A")</f>
        <v>2</v>
      </c>
      <c r="AB103" s="119">
        <v>12</v>
      </c>
      <c r="AC103" s="119" t="s">
        <v>10</v>
      </c>
      <c r="AD103" s="120">
        <v>6</v>
      </c>
      <c r="AE103" s="173">
        <v>8</v>
      </c>
      <c r="AF103" s="173">
        <v>6</v>
      </c>
      <c r="AG103" s="173" t="s">
        <v>661</v>
      </c>
      <c r="AH103" s="173">
        <v>7</v>
      </c>
      <c r="AI103" s="173">
        <v>6</v>
      </c>
      <c r="AJ103" s="173">
        <v>8</v>
      </c>
      <c r="AK103" s="173" t="s">
        <v>661</v>
      </c>
      <c r="AL103" s="173">
        <v>8</v>
      </c>
      <c r="AM103" s="173">
        <v>9</v>
      </c>
      <c r="AN103" s="173" t="s">
        <v>661</v>
      </c>
      <c r="AO103" s="173" t="s">
        <v>661</v>
      </c>
      <c r="AP10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0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3" s="173" t="s">
        <v>992</v>
      </c>
      <c r="AU10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0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0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4" spans="1:53" x14ac:dyDescent="0.3">
      <c r="A104" s="173" t="s">
        <v>666</v>
      </c>
      <c r="B104" s="173"/>
      <c r="C104" s="171" t="s">
        <v>96</v>
      </c>
      <c r="D104" s="172" t="s">
        <v>8</v>
      </c>
      <c r="E104" s="172" t="s">
        <v>42</v>
      </c>
      <c r="F104" s="117" t="str">
        <f>_xlfn.XLOOKUP(tblF42023[[#This Row],[FULL_NAME]],F6Results_2026[Full_Name],F6Results_2026[Comb],"",0,1)</f>
        <v>HGK</v>
      </c>
      <c r="G104" s="117"/>
      <c r="H10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4" s="173" t="s">
        <v>530</v>
      </c>
      <c r="J104" s="173">
        <v>2025</v>
      </c>
      <c r="K104" s="121" t="s">
        <v>3</v>
      </c>
      <c r="L104" s="121" t="s">
        <v>5</v>
      </c>
      <c r="M104" s="121" t="s">
        <v>4</v>
      </c>
      <c r="N104" s="121" t="s">
        <v>3</v>
      </c>
      <c r="O104" s="121" t="s">
        <v>2</v>
      </c>
      <c r="P104" s="121"/>
      <c r="Q104" s="121" t="s">
        <v>5</v>
      </c>
      <c r="R104" s="121" t="s">
        <v>5</v>
      </c>
      <c r="S104" s="121"/>
      <c r="T104" s="121" t="s">
        <v>5</v>
      </c>
      <c r="U104" s="121"/>
      <c r="V104" s="121"/>
      <c r="W104" s="121"/>
      <c r="X104" s="121" t="s">
        <v>4</v>
      </c>
      <c r="Y104" s="121" t="s">
        <v>663</v>
      </c>
      <c r="Z104" s="122" t="s">
        <v>2</v>
      </c>
      <c r="AA104" s="119">
        <f>COUNTIF(tblF42023[[#This Row],[CIV]:[BIBLE]],"A")</f>
        <v>2</v>
      </c>
      <c r="AB104" s="119">
        <v>16</v>
      </c>
      <c r="AC104" s="119" t="s">
        <v>10</v>
      </c>
      <c r="AD104" s="120">
        <v>7</v>
      </c>
      <c r="AE104" s="173">
        <v>11</v>
      </c>
      <c r="AF104" s="173" t="s">
        <v>661</v>
      </c>
      <c r="AG104" s="173" t="s">
        <v>661</v>
      </c>
      <c r="AH104" s="173">
        <v>8</v>
      </c>
      <c r="AI104" s="173">
        <v>9</v>
      </c>
      <c r="AJ104" s="173">
        <v>11</v>
      </c>
      <c r="AK104" s="173">
        <v>12</v>
      </c>
      <c r="AL104" s="173" t="s">
        <v>661</v>
      </c>
      <c r="AM104" s="173" t="s">
        <v>661</v>
      </c>
      <c r="AN104" s="173" t="s">
        <v>661</v>
      </c>
      <c r="AO104" s="173" t="s">
        <v>661</v>
      </c>
      <c r="AP10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0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0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0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4" s="173" t="s">
        <v>992</v>
      </c>
      <c r="AU10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0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0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0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0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5" spans="1:53" x14ac:dyDescent="0.3">
      <c r="A105" s="173" t="s">
        <v>667</v>
      </c>
      <c r="B105" s="173"/>
      <c r="C105" s="171"/>
      <c r="D105" s="172" t="s">
        <v>8</v>
      </c>
      <c r="E105" s="172" t="s">
        <v>42</v>
      </c>
      <c r="F105" s="117" t="str">
        <f>_xlfn.XLOOKUP(tblF42023[[#This Row],[FULL_NAME]],F6Results_2026[Full_Name],F6Results_2026[Comb],"",0,1)</f>
        <v/>
      </c>
      <c r="G105" s="117"/>
      <c r="H10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5" s="173" t="s">
        <v>530</v>
      </c>
      <c r="J105" s="173">
        <v>2025</v>
      </c>
      <c r="K105" s="121" t="s">
        <v>3</v>
      </c>
      <c r="L105" s="121" t="s">
        <v>3</v>
      </c>
      <c r="M105" s="121" t="s">
        <v>2</v>
      </c>
      <c r="N105" s="121" t="s">
        <v>2</v>
      </c>
      <c r="O105" s="121" t="s">
        <v>3</v>
      </c>
      <c r="P105" s="121"/>
      <c r="Q105" s="121"/>
      <c r="R105" s="121"/>
      <c r="S105" s="121"/>
      <c r="T105" s="121" t="s">
        <v>4</v>
      </c>
      <c r="U105" s="121"/>
      <c r="V105" s="121"/>
      <c r="W105" s="121" t="s">
        <v>3</v>
      </c>
      <c r="X105" s="121" t="s">
        <v>2</v>
      </c>
      <c r="Y105" s="121" t="s">
        <v>5</v>
      </c>
      <c r="Z105" s="122" t="s">
        <v>2</v>
      </c>
      <c r="AA105" s="119">
        <f>COUNTIF(tblF42023[[#This Row],[CIV]:[BIBLE]],"A")</f>
        <v>4</v>
      </c>
      <c r="AB105" s="119">
        <v>10</v>
      </c>
      <c r="AC105" s="119" t="s">
        <v>10</v>
      </c>
      <c r="AD105" s="120">
        <v>5</v>
      </c>
      <c r="AE105" s="173">
        <v>6</v>
      </c>
      <c r="AF105" s="173">
        <v>4</v>
      </c>
      <c r="AG105" s="173" t="s">
        <v>661</v>
      </c>
      <c r="AH105" s="173">
        <v>5</v>
      </c>
      <c r="AI105" s="173">
        <v>4</v>
      </c>
      <c r="AJ105" s="173">
        <v>7</v>
      </c>
      <c r="AK105" s="173" t="s">
        <v>661</v>
      </c>
      <c r="AL105" s="173">
        <v>7</v>
      </c>
      <c r="AM105" s="173">
        <v>9</v>
      </c>
      <c r="AN105" s="173" t="s">
        <v>661</v>
      </c>
      <c r="AO105" s="173" t="s">
        <v>661</v>
      </c>
      <c r="AP10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5" s="173" t="s">
        <v>991</v>
      </c>
      <c r="AU10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0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0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6" spans="1:53" x14ac:dyDescent="0.3">
      <c r="A106" s="173" t="s">
        <v>668</v>
      </c>
      <c r="B106" s="173"/>
      <c r="C106" s="171"/>
      <c r="D106" s="172" t="s">
        <v>8</v>
      </c>
      <c r="E106" s="172" t="s">
        <v>42</v>
      </c>
      <c r="F106" s="117" t="str">
        <f>_xlfn.XLOOKUP(tblF42023[[#This Row],[FULL_NAME]],F6Results_2026[Full_Name],F6Results_2026[Comb],"",0,1)</f>
        <v/>
      </c>
      <c r="G106" s="117"/>
      <c r="H10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6" s="173" t="s">
        <v>530</v>
      </c>
      <c r="J106" s="173">
        <v>2025</v>
      </c>
      <c r="K106" s="121" t="s">
        <v>4</v>
      </c>
      <c r="L106" s="121" t="s">
        <v>3</v>
      </c>
      <c r="M106" s="121" t="s">
        <v>4</v>
      </c>
      <c r="N106" s="121" t="s">
        <v>3</v>
      </c>
      <c r="O106" s="121" t="s">
        <v>3</v>
      </c>
      <c r="P106" s="121"/>
      <c r="Q106" s="121" t="s">
        <v>5</v>
      </c>
      <c r="R106" s="121" t="s">
        <v>5</v>
      </c>
      <c r="S106" s="121"/>
      <c r="T106" s="121" t="s">
        <v>5</v>
      </c>
      <c r="U106" s="121"/>
      <c r="V106" s="121"/>
      <c r="W106" s="121"/>
      <c r="X106" s="121" t="s">
        <v>4</v>
      </c>
      <c r="Y106" s="121" t="s">
        <v>663</v>
      </c>
      <c r="Z106" s="122" t="s">
        <v>2</v>
      </c>
      <c r="AA106" s="119">
        <f>COUNTIF(tblF42023[[#This Row],[CIV]:[BIBLE]],"A")</f>
        <v>1</v>
      </c>
      <c r="AB106" s="119">
        <v>16</v>
      </c>
      <c r="AC106" s="119" t="s">
        <v>10</v>
      </c>
      <c r="AD106" s="120">
        <v>6</v>
      </c>
      <c r="AE106" s="173">
        <v>9</v>
      </c>
      <c r="AF106" s="173" t="s">
        <v>661</v>
      </c>
      <c r="AG106" s="173" t="s">
        <v>661</v>
      </c>
      <c r="AH106" s="173">
        <v>7</v>
      </c>
      <c r="AI106" s="173">
        <v>7</v>
      </c>
      <c r="AJ106" s="173">
        <v>11</v>
      </c>
      <c r="AK106" s="173">
        <v>12</v>
      </c>
      <c r="AL106" s="173" t="s">
        <v>661</v>
      </c>
      <c r="AM106" s="173" t="s">
        <v>661</v>
      </c>
      <c r="AN106" s="173" t="s">
        <v>661</v>
      </c>
      <c r="AO106" s="173" t="s">
        <v>661</v>
      </c>
      <c r="AP10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0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0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6" s="173" t="s">
        <v>992</v>
      </c>
      <c r="AU10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0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0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0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0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7" spans="1:53" x14ac:dyDescent="0.3">
      <c r="A107" s="173" t="s">
        <v>669</v>
      </c>
      <c r="B107" s="173"/>
      <c r="C107" s="171" t="s">
        <v>44</v>
      </c>
      <c r="D107" s="172" t="s">
        <v>8</v>
      </c>
      <c r="E107" s="172" t="s">
        <v>42</v>
      </c>
      <c r="F107" s="117" t="str">
        <f>_xlfn.XLOOKUP(tblF42023[[#This Row],[FULL_NAME]],F6Results_2026[Full_Name],F6Results_2026[Comb],"",0,1)</f>
        <v>HGL</v>
      </c>
      <c r="G107" s="117"/>
      <c r="H10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7" s="173" t="s">
        <v>530</v>
      </c>
      <c r="J107" s="173">
        <v>2025</v>
      </c>
      <c r="K107" s="121" t="s">
        <v>2</v>
      </c>
      <c r="L107" s="121" t="s">
        <v>3</v>
      </c>
      <c r="M107" s="121" t="s">
        <v>2</v>
      </c>
      <c r="N107" s="121" t="s">
        <v>2</v>
      </c>
      <c r="O107" s="121" t="s">
        <v>2</v>
      </c>
      <c r="P107" s="121"/>
      <c r="Q107" s="121"/>
      <c r="R107" s="121"/>
      <c r="S107" s="121"/>
      <c r="T107" s="121" t="s">
        <v>3</v>
      </c>
      <c r="U107" s="121"/>
      <c r="V107" s="121"/>
      <c r="W107" s="121" t="s">
        <v>2</v>
      </c>
      <c r="X107" s="121" t="s">
        <v>2</v>
      </c>
      <c r="Y107" s="121" t="s">
        <v>4</v>
      </c>
      <c r="Z107" s="122" t="s">
        <v>2</v>
      </c>
      <c r="AA107" s="119">
        <f>COUNTIF(tblF42023[[#This Row],[CIV]:[BIBLE]],"A")</f>
        <v>7</v>
      </c>
      <c r="AB107" s="119">
        <v>7</v>
      </c>
      <c r="AC107" s="119" t="s">
        <v>10</v>
      </c>
      <c r="AD107" s="120">
        <v>4</v>
      </c>
      <c r="AE107" s="173">
        <v>5</v>
      </c>
      <c r="AF107" s="173">
        <v>3</v>
      </c>
      <c r="AG107" s="173" t="s">
        <v>661</v>
      </c>
      <c r="AH107" s="173">
        <v>4</v>
      </c>
      <c r="AI107" s="173">
        <v>4</v>
      </c>
      <c r="AJ107" s="173">
        <v>5</v>
      </c>
      <c r="AK107" s="173" t="s">
        <v>661</v>
      </c>
      <c r="AL107" s="173">
        <v>5</v>
      </c>
      <c r="AM107" s="173">
        <v>6</v>
      </c>
      <c r="AN107" s="173" t="s">
        <v>661</v>
      </c>
      <c r="AO107" s="173" t="s">
        <v>661</v>
      </c>
      <c r="AP10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7" s="173" t="s">
        <v>991</v>
      </c>
      <c r="AU10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0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0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0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8" spans="1:53" x14ac:dyDescent="0.3">
      <c r="A108" s="173" t="s">
        <v>670</v>
      </c>
      <c r="B108" s="173"/>
      <c r="C108" s="171" t="s">
        <v>98</v>
      </c>
      <c r="D108" s="172" t="s">
        <v>8</v>
      </c>
      <c r="E108" s="172" t="s">
        <v>42</v>
      </c>
      <c r="F108" s="117" t="str">
        <f>_xlfn.XLOOKUP(tblF42023[[#This Row],[FULL_NAME]],F6Results_2026[Full_Name],F6Results_2026[Comb],"",0,1)</f>
        <v>HGK</v>
      </c>
      <c r="G108" s="117"/>
      <c r="H10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8" s="173" t="s">
        <v>530</v>
      </c>
      <c r="J108" s="173">
        <v>2025</v>
      </c>
      <c r="K108" s="121" t="s">
        <v>3</v>
      </c>
      <c r="L108" s="121" t="s">
        <v>4</v>
      </c>
      <c r="M108" s="121" t="s">
        <v>4</v>
      </c>
      <c r="N108" s="121" t="s">
        <v>3</v>
      </c>
      <c r="O108" s="121" t="s">
        <v>4</v>
      </c>
      <c r="P108" s="121"/>
      <c r="Q108" s="121"/>
      <c r="R108" s="121"/>
      <c r="S108" s="121"/>
      <c r="T108" s="121" t="s">
        <v>4</v>
      </c>
      <c r="U108" s="121"/>
      <c r="V108" s="121"/>
      <c r="W108" s="121"/>
      <c r="X108" s="121" t="s">
        <v>4</v>
      </c>
      <c r="Y108" s="121" t="s">
        <v>663</v>
      </c>
      <c r="Z108" s="122" t="s">
        <v>2</v>
      </c>
      <c r="AA108" s="119">
        <f>COUNTIF(tblF42023[[#This Row],[CIV]:[BIBLE]],"A")</f>
        <v>1</v>
      </c>
      <c r="AB108" s="119">
        <v>17</v>
      </c>
      <c r="AC108" s="119" t="s">
        <v>10</v>
      </c>
      <c r="AD108" s="120">
        <v>8</v>
      </c>
      <c r="AE108" s="173">
        <v>9</v>
      </c>
      <c r="AF108" s="173" t="s">
        <v>661</v>
      </c>
      <c r="AG108" s="173" t="s">
        <v>661</v>
      </c>
      <c r="AH108" s="173">
        <v>9</v>
      </c>
      <c r="AI108" s="173">
        <v>8</v>
      </c>
      <c r="AJ108" s="173">
        <v>9</v>
      </c>
      <c r="AK108" s="173" t="s">
        <v>661</v>
      </c>
      <c r="AL108" s="173" t="s">
        <v>661</v>
      </c>
      <c r="AM108" s="173" t="s">
        <v>661</v>
      </c>
      <c r="AN108" s="173" t="s">
        <v>661</v>
      </c>
      <c r="AO108" s="173" t="s">
        <v>661</v>
      </c>
      <c r="AP10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0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0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0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8" s="173" t="s">
        <v>992</v>
      </c>
      <c r="AU10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0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0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0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09" spans="1:53" x14ac:dyDescent="0.3">
      <c r="A109" s="173" t="s">
        <v>671</v>
      </c>
      <c r="B109" s="173"/>
      <c r="C109" s="171"/>
      <c r="D109" s="172" t="s">
        <v>8</v>
      </c>
      <c r="E109" s="172" t="s">
        <v>42</v>
      </c>
      <c r="F109" s="117" t="str">
        <f>_xlfn.XLOOKUP(tblF42023[[#This Row],[FULL_NAME]],F6Results_2026[Full_Name],F6Results_2026[Comb],"",0,1)</f>
        <v/>
      </c>
      <c r="G109" s="117"/>
      <c r="H10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09" s="173" t="s">
        <v>530</v>
      </c>
      <c r="J109" s="173">
        <v>2025</v>
      </c>
      <c r="K109" s="121" t="s">
        <v>2</v>
      </c>
      <c r="L109" s="121" t="s">
        <v>3</v>
      </c>
      <c r="M109" s="121" t="s">
        <v>2</v>
      </c>
      <c r="N109" s="121" t="s">
        <v>3</v>
      </c>
      <c r="O109" s="121" t="s">
        <v>2</v>
      </c>
      <c r="P109" s="121"/>
      <c r="Q109" s="121"/>
      <c r="R109" s="121"/>
      <c r="S109" s="121"/>
      <c r="T109" s="121" t="s">
        <v>4</v>
      </c>
      <c r="U109" s="121"/>
      <c r="V109" s="121"/>
      <c r="W109" s="121" t="s">
        <v>3</v>
      </c>
      <c r="X109" s="121" t="s">
        <v>2</v>
      </c>
      <c r="Y109" s="121" t="s">
        <v>4</v>
      </c>
      <c r="Z109" s="122" t="s">
        <v>2</v>
      </c>
      <c r="AA109" s="119">
        <f>COUNTIF(tblF42023[[#This Row],[CIV]:[BIBLE]],"A")</f>
        <v>5</v>
      </c>
      <c r="AB109" s="119">
        <v>9</v>
      </c>
      <c r="AC109" s="119" t="s">
        <v>10</v>
      </c>
      <c r="AD109" s="120">
        <v>5</v>
      </c>
      <c r="AE109" s="173">
        <v>6</v>
      </c>
      <c r="AF109" s="173">
        <v>4</v>
      </c>
      <c r="AG109" s="173" t="s">
        <v>661</v>
      </c>
      <c r="AH109" s="173">
        <v>4</v>
      </c>
      <c r="AI109" s="173">
        <v>5</v>
      </c>
      <c r="AJ109" s="173">
        <v>7</v>
      </c>
      <c r="AK109" s="173" t="s">
        <v>661</v>
      </c>
      <c r="AL109" s="173">
        <v>6</v>
      </c>
      <c r="AM109" s="173">
        <v>8</v>
      </c>
      <c r="AN109" s="173" t="s">
        <v>661</v>
      </c>
      <c r="AO109" s="173" t="s">
        <v>661</v>
      </c>
      <c r="AP10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0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0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0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09" s="173" t="s">
        <v>991</v>
      </c>
      <c r="AU10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0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0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0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0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0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0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0" spans="1:53" x14ac:dyDescent="0.3">
      <c r="A110" s="173" t="s">
        <v>672</v>
      </c>
      <c r="B110" s="173"/>
      <c r="C110" s="171" t="s">
        <v>303</v>
      </c>
      <c r="D110" s="172" t="s">
        <v>8</v>
      </c>
      <c r="E110" s="172" t="s">
        <v>42</v>
      </c>
      <c r="F110" s="117" t="str">
        <f>_xlfn.XLOOKUP(tblF42023[[#This Row],[FULL_NAME]],F6Results_2026[Full_Name],F6Results_2026[Comb],"",0,1)</f>
        <v>ECA</v>
      </c>
      <c r="G110" s="117"/>
      <c r="H11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0" s="173" t="s">
        <v>530</v>
      </c>
      <c r="J110" s="173">
        <v>2025</v>
      </c>
      <c r="K110" s="121" t="s">
        <v>2</v>
      </c>
      <c r="L110" s="121" t="s">
        <v>3</v>
      </c>
      <c r="M110" s="121" t="s">
        <v>2</v>
      </c>
      <c r="N110" s="121" t="s">
        <v>2</v>
      </c>
      <c r="O110" s="121" t="s">
        <v>2</v>
      </c>
      <c r="P110" s="121"/>
      <c r="Q110" s="121" t="s">
        <v>3</v>
      </c>
      <c r="R110" s="121" t="s">
        <v>3</v>
      </c>
      <c r="S110" s="121"/>
      <c r="T110" s="121" t="s">
        <v>2</v>
      </c>
      <c r="U110" s="121"/>
      <c r="V110" s="121"/>
      <c r="W110" s="121"/>
      <c r="X110" s="121" t="s">
        <v>2</v>
      </c>
      <c r="Y110" s="121" t="s">
        <v>663</v>
      </c>
      <c r="Z110" s="122" t="s">
        <v>2</v>
      </c>
      <c r="AA110" s="119">
        <f>COUNTIF(tblF42023[[#This Row],[CIV]:[BIBLE]],"A")</f>
        <v>7</v>
      </c>
      <c r="AB110" s="119">
        <v>7</v>
      </c>
      <c r="AC110" s="119" t="s">
        <v>10</v>
      </c>
      <c r="AD110" s="120">
        <v>4</v>
      </c>
      <c r="AE110" s="173">
        <v>4</v>
      </c>
      <c r="AF110" s="173" t="s">
        <v>661</v>
      </c>
      <c r="AG110" s="173" t="s">
        <v>661</v>
      </c>
      <c r="AH110" s="173">
        <v>4</v>
      </c>
      <c r="AI110" s="173">
        <v>4</v>
      </c>
      <c r="AJ110" s="173">
        <v>3</v>
      </c>
      <c r="AK110" s="173">
        <v>5</v>
      </c>
      <c r="AL110" s="173" t="s">
        <v>661</v>
      </c>
      <c r="AM110" s="173" t="s">
        <v>661</v>
      </c>
      <c r="AN110" s="173" t="s">
        <v>661</v>
      </c>
      <c r="AO110" s="173" t="s">
        <v>661</v>
      </c>
      <c r="AP11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1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0" s="173" t="s">
        <v>991</v>
      </c>
      <c r="AU11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Y</v>
      </c>
      <c r="AX11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1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1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1" spans="1:53" x14ac:dyDescent="0.3">
      <c r="A111" s="173" t="s">
        <v>673</v>
      </c>
      <c r="B111" s="173"/>
      <c r="C111" s="171" t="s">
        <v>674</v>
      </c>
      <c r="D111" s="172" t="s">
        <v>8</v>
      </c>
      <c r="E111" s="172" t="s">
        <v>42</v>
      </c>
      <c r="F111" s="117" t="str">
        <f>_xlfn.XLOOKUP(tblF42023[[#This Row],[FULL_NAME]],F6Results_2026[Full_Name],F6Results_2026[Comb],"",0,1)</f>
        <v/>
      </c>
      <c r="G111" s="117"/>
      <c r="H11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1" s="173" t="s">
        <v>530</v>
      </c>
      <c r="J111" s="173">
        <v>2025</v>
      </c>
      <c r="K111" s="121" t="s">
        <v>3</v>
      </c>
      <c r="L111" s="121" t="s">
        <v>3</v>
      </c>
      <c r="M111" s="121" t="s">
        <v>3</v>
      </c>
      <c r="N111" s="121" t="s">
        <v>2</v>
      </c>
      <c r="O111" s="121" t="s">
        <v>3</v>
      </c>
      <c r="P111" s="121"/>
      <c r="Q111" s="121"/>
      <c r="R111" s="121"/>
      <c r="S111" s="121"/>
      <c r="T111" s="121" t="s">
        <v>3</v>
      </c>
      <c r="U111" s="121"/>
      <c r="V111" s="121"/>
      <c r="W111" s="121" t="s">
        <v>3</v>
      </c>
      <c r="X111" s="121" t="s">
        <v>2</v>
      </c>
      <c r="Y111" s="121" t="s">
        <v>4</v>
      </c>
      <c r="Z111" s="122" t="s">
        <v>2</v>
      </c>
      <c r="AA111" s="119">
        <f>COUNTIF(tblF42023[[#This Row],[CIV]:[BIBLE]],"A")</f>
        <v>3</v>
      </c>
      <c r="AB111" s="119">
        <v>11</v>
      </c>
      <c r="AC111" s="119" t="s">
        <v>10</v>
      </c>
      <c r="AD111" s="120">
        <v>5</v>
      </c>
      <c r="AE111" s="173">
        <v>6</v>
      </c>
      <c r="AF111" s="173">
        <v>5</v>
      </c>
      <c r="AG111" s="173" t="s">
        <v>661</v>
      </c>
      <c r="AH111" s="173">
        <v>6</v>
      </c>
      <c r="AI111" s="173">
        <v>5</v>
      </c>
      <c r="AJ111" s="173">
        <v>6</v>
      </c>
      <c r="AK111" s="173" t="s">
        <v>661</v>
      </c>
      <c r="AL111" s="173">
        <v>6</v>
      </c>
      <c r="AM111" s="173">
        <v>7</v>
      </c>
      <c r="AN111" s="173" t="s">
        <v>661</v>
      </c>
      <c r="AO111" s="173" t="s">
        <v>661</v>
      </c>
      <c r="AP11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1" s="173" t="s">
        <v>991</v>
      </c>
      <c r="AU11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1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2" spans="1:53" x14ac:dyDescent="0.3">
      <c r="A112" s="173" t="s">
        <v>675</v>
      </c>
      <c r="B112" s="173"/>
      <c r="C112" s="171" t="s">
        <v>143</v>
      </c>
      <c r="D112" s="172" t="s">
        <v>8</v>
      </c>
      <c r="E112" s="172" t="s">
        <v>42</v>
      </c>
      <c r="F112" s="117" t="str">
        <f>_xlfn.XLOOKUP(tblF42023[[#This Row],[FULL_NAME]],F6Results_2026[Full_Name],F6Results_2026[Comb],"",0,1)</f>
        <v>EGM</v>
      </c>
      <c r="G112" s="117"/>
      <c r="H11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2" s="173" t="s">
        <v>530</v>
      </c>
      <c r="J112" s="173">
        <v>2025</v>
      </c>
      <c r="K112" s="121" t="s">
        <v>2</v>
      </c>
      <c r="L112" s="121" t="s">
        <v>3</v>
      </c>
      <c r="M112" s="121" t="s">
        <v>3</v>
      </c>
      <c r="N112" s="121" t="s">
        <v>3</v>
      </c>
      <c r="O112" s="121" t="s">
        <v>2</v>
      </c>
      <c r="P112" s="121"/>
      <c r="Q112" s="121" t="s">
        <v>3</v>
      </c>
      <c r="R112" s="121" t="s">
        <v>4</v>
      </c>
      <c r="S112" s="121"/>
      <c r="T112" s="121" t="s">
        <v>3</v>
      </c>
      <c r="U112" s="121"/>
      <c r="V112" s="121"/>
      <c r="W112" s="121"/>
      <c r="X112" s="121" t="s">
        <v>3</v>
      </c>
      <c r="Y112" s="121" t="s">
        <v>663</v>
      </c>
      <c r="Z112" s="122" t="s">
        <v>2</v>
      </c>
      <c r="AA112" s="119">
        <f>COUNTIF(tblF42023[[#This Row],[CIV]:[BIBLE]],"A")</f>
        <v>3</v>
      </c>
      <c r="AB112" s="119">
        <v>11</v>
      </c>
      <c r="AC112" s="119" t="s">
        <v>10</v>
      </c>
      <c r="AD112" s="120">
        <v>5</v>
      </c>
      <c r="AE112" s="173">
        <v>6</v>
      </c>
      <c r="AF112" s="173" t="s">
        <v>661</v>
      </c>
      <c r="AG112" s="173" t="s">
        <v>661</v>
      </c>
      <c r="AH112" s="173">
        <v>5</v>
      </c>
      <c r="AI112" s="173">
        <v>6</v>
      </c>
      <c r="AJ112" s="173">
        <v>6</v>
      </c>
      <c r="AK112" s="173">
        <v>7</v>
      </c>
      <c r="AL112" s="173" t="s">
        <v>661</v>
      </c>
      <c r="AM112" s="173" t="s">
        <v>661</v>
      </c>
      <c r="AN112" s="173" t="s">
        <v>661</v>
      </c>
      <c r="AO112" s="173" t="s">
        <v>661</v>
      </c>
      <c r="AP11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1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2" s="173" t="s">
        <v>991</v>
      </c>
      <c r="AU11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1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1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1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3" spans="1:53" x14ac:dyDescent="0.3">
      <c r="A113" s="173" t="s">
        <v>676</v>
      </c>
      <c r="B113" s="173"/>
      <c r="C113" s="171" t="s">
        <v>242</v>
      </c>
      <c r="D113" s="172" t="s">
        <v>8</v>
      </c>
      <c r="E113" s="172" t="s">
        <v>42</v>
      </c>
      <c r="F113" s="117" t="str">
        <f>_xlfn.XLOOKUP(tblF42023[[#This Row],[FULL_NAME]],F6Results_2026[Full_Name],F6Results_2026[Comb],"",0,1)</f>
        <v>PCB</v>
      </c>
      <c r="G113" s="117"/>
      <c r="H11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3" s="173" t="s">
        <v>530</v>
      </c>
      <c r="J113" s="173">
        <v>2025</v>
      </c>
      <c r="K113" s="121" t="s">
        <v>2</v>
      </c>
      <c r="L113" s="121" t="s">
        <v>4</v>
      </c>
      <c r="M113" s="121" t="s">
        <v>4</v>
      </c>
      <c r="N113" s="121" t="s">
        <v>2</v>
      </c>
      <c r="O113" s="121" t="s">
        <v>3</v>
      </c>
      <c r="P113" s="121"/>
      <c r="Q113" s="121"/>
      <c r="R113" s="121"/>
      <c r="S113" s="121"/>
      <c r="T113" s="121" t="s">
        <v>3</v>
      </c>
      <c r="U113" s="121"/>
      <c r="V113" s="121"/>
      <c r="W113" s="121" t="s">
        <v>3</v>
      </c>
      <c r="X113" s="121" t="s">
        <v>3</v>
      </c>
      <c r="Y113" s="121" t="s">
        <v>4</v>
      </c>
      <c r="Z113" s="122" t="s">
        <v>2</v>
      </c>
      <c r="AA113" s="119">
        <f>COUNTIF(tblF42023[[#This Row],[CIV]:[BIBLE]],"A")</f>
        <v>3</v>
      </c>
      <c r="AB113" s="119">
        <v>11</v>
      </c>
      <c r="AC113" s="119" t="s">
        <v>10</v>
      </c>
      <c r="AD113" s="120">
        <v>6</v>
      </c>
      <c r="AE113" s="173">
        <v>8</v>
      </c>
      <c r="AF113" s="173">
        <v>7</v>
      </c>
      <c r="AG113" s="173" t="s">
        <v>661</v>
      </c>
      <c r="AH113" s="173">
        <v>8</v>
      </c>
      <c r="AI113" s="173">
        <v>7</v>
      </c>
      <c r="AJ113" s="173">
        <v>7</v>
      </c>
      <c r="AK113" s="173" t="s">
        <v>661</v>
      </c>
      <c r="AL113" s="173">
        <v>7</v>
      </c>
      <c r="AM113" s="173">
        <v>7</v>
      </c>
      <c r="AN113" s="173" t="s">
        <v>661</v>
      </c>
      <c r="AO113" s="173" t="s">
        <v>661</v>
      </c>
      <c r="AP11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1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3" s="173" t="s">
        <v>992</v>
      </c>
      <c r="AU11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1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1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1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4" spans="1:53" x14ac:dyDescent="0.3">
      <c r="A114" s="173" t="s">
        <v>677</v>
      </c>
      <c r="B114" s="173"/>
      <c r="C114" s="171" t="s">
        <v>145</v>
      </c>
      <c r="D114" s="172" t="s">
        <v>8</v>
      </c>
      <c r="E114" s="172" t="s">
        <v>42</v>
      </c>
      <c r="F114" s="117" t="str">
        <f>_xlfn.XLOOKUP(tblF42023[[#This Row],[FULL_NAME]],F6Results_2026[Full_Name],F6Results_2026[Comb],"",0,1)</f>
        <v>EGM</v>
      </c>
      <c r="G114" s="117"/>
      <c r="H11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4" s="173" t="s">
        <v>530</v>
      </c>
      <c r="J114" s="173">
        <v>2025</v>
      </c>
      <c r="K114" s="121" t="s">
        <v>3</v>
      </c>
      <c r="L114" s="121" t="s">
        <v>3</v>
      </c>
      <c r="M114" s="121" t="s">
        <v>3</v>
      </c>
      <c r="N114" s="121" t="s">
        <v>2</v>
      </c>
      <c r="O114" s="121" t="s">
        <v>2</v>
      </c>
      <c r="P114" s="121"/>
      <c r="Q114" s="121"/>
      <c r="R114" s="121"/>
      <c r="S114" s="121" t="s">
        <v>3</v>
      </c>
      <c r="T114" s="121" t="s">
        <v>4</v>
      </c>
      <c r="U114" s="121"/>
      <c r="V114" s="121"/>
      <c r="W114" s="121" t="s">
        <v>3</v>
      </c>
      <c r="X114" s="121" t="s">
        <v>3</v>
      </c>
      <c r="Y114" s="121" t="s">
        <v>5</v>
      </c>
      <c r="Z114" s="122"/>
      <c r="AA114" s="119">
        <f>COUNTIF(tblF42023[[#This Row],[CIV]:[BIBLE]],"A")</f>
        <v>2</v>
      </c>
      <c r="AB114" s="119">
        <v>12</v>
      </c>
      <c r="AC114" s="119" t="s">
        <v>10</v>
      </c>
      <c r="AD114" s="120">
        <v>4</v>
      </c>
      <c r="AE114" s="173">
        <v>7</v>
      </c>
      <c r="AF114" s="173">
        <v>6</v>
      </c>
      <c r="AG114" s="173">
        <v>8</v>
      </c>
      <c r="AH114" s="173">
        <v>5</v>
      </c>
      <c r="AI114" s="173">
        <v>5</v>
      </c>
      <c r="AJ114" s="173">
        <v>8</v>
      </c>
      <c r="AK114" s="173" t="s">
        <v>661</v>
      </c>
      <c r="AL114" s="173">
        <v>8</v>
      </c>
      <c r="AM114" s="173">
        <v>9</v>
      </c>
      <c r="AN114" s="173">
        <v>9</v>
      </c>
      <c r="AO114" s="173" t="s">
        <v>661</v>
      </c>
      <c r="AP11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1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14" s="173" t="s">
        <v>991</v>
      </c>
      <c r="AU11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1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1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1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1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5" spans="1:53" x14ac:dyDescent="0.3">
      <c r="A115" s="173" t="s">
        <v>678</v>
      </c>
      <c r="B115" s="173"/>
      <c r="C115" s="171"/>
      <c r="D115" s="172" t="s">
        <v>8</v>
      </c>
      <c r="E115" s="172" t="s">
        <v>42</v>
      </c>
      <c r="F115" s="117" t="str">
        <f>_xlfn.XLOOKUP(tblF42023[[#This Row],[FULL_NAME]],F6Results_2026[Full_Name],F6Results_2026[Comb],"",0,1)</f>
        <v/>
      </c>
      <c r="G115" s="117"/>
      <c r="H11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5" s="173" t="s">
        <v>530</v>
      </c>
      <c r="J115" s="173">
        <v>2025</v>
      </c>
      <c r="K115" s="121" t="s">
        <v>2</v>
      </c>
      <c r="L115" s="121" t="s">
        <v>2</v>
      </c>
      <c r="M115" s="121" t="s">
        <v>3</v>
      </c>
      <c r="N115" s="121" t="s">
        <v>2</v>
      </c>
      <c r="O115" s="121" t="s">
        <v>2</v>
      </c>
      <c r="P115" s="121"/>
      <c r="Q115" s="121"/>
      <c r="R115" s="121"/>
      <c r="S115" s="121" t="s">
        <v>4</v>
      </c>
      <c r="T115" s="121" t="s">
        <v>2</v>
      </c>
      <c r="U115" s="121"/>
      <c r="V115" s="121"/>
      <c r="W115" s="121" t="s">
        <v>2</v>
      </c>
      <c r="X115" s="121" t="s">
        <v>3</v>
      </c>
      <c r="Y115" s="121" t="s">
        <v>4</v>
      </c>
      <c r="Z115" s="122"/>
      <c r="AA115" s="119">
        <f>COUNTIF(tblF42023[[#This Row],[CIV]:[BIBLE]],"A")</f>
        <v>6</v>
      </c>
      <c r="AB115" s="119">
        <v>8</v>
      </c>
      <c r="AC115" s="119" t="s">
        <v>10</v>
      </c>
      <c r="AD115" s="120">
        <v>3</v>
      </c>
      <c r="AE115" s="173">
        <v>4</v>
      </c>
      <c r="AF115" s="173">
        <v>5</v>
      </c>
      <c r="AG115" s="173">
        <v>5</v>
      </c>
      <c r="AH115" s="173">
        <v>4</v>
      </c>
      <c r="AI115" s="173">
        <v>4</v>
      </c>
      <c r="AJ115" s="173">
        <v>4</v>
      </c>
      <c r="AK115" s="173" t="s">
        <v>661</v>
      </c>
      <c r="AL115" s="173">
        <v>6</v>
      </c>
      <c r="AM115" s="173">
        <v>5</v>
      </c>
      <c r="AN115" s="173">
        <v>7</v>
      </c>
      <c r="AO115" s="173" t="s">
        <v>661</v>
      </c>
      <c r="AP11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15" s="173" t="s">
        <v>991</v>
      </c>
      <c r="AU11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1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1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6" spans="1:53" x14ac:dyDescent="0.3">
      <c r="A116" s="173" t="s">
        <v>679</v>
      </c>
      <c r="B116" s="173"/>
      <c r="C116" s="171" t="s">
        <v>196</v>
      </c>
      <c r="D116" s="172" t="s">
        <v>8</v>
      </c>
      <c r="E116" s="172" t="s">
        <v>42</v>
      </c>
      <c r="F116" s="117" t="str">
        <f>_xlfn.XLOOKUP(tblF42023[[#This Row],[FULL_NAME]],F6Results_2026[Full_Name],F6Results_2026[Comb],"",0,1)</f>
        <v>PCM</v>
      </c>
      <c r="G116" s="117"/>
      <c r="H11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6" s="173" t="s">
        <v>530</v>
      </c>
      <c r="J116" s="173">
        <v>2025</v>
      </c>
      <c r="K116" s="173" t="s">
        <v>2</v>
      </c>
      <c r="L116" s="173" t="s">
        <v>3</v>
      </c>
      <c r="M116" s="173" t="s">
        <v>2</v>
      </c>
      <c r="N116" s="173" t="s">
        <v>2</v>
      </c>
      <c r="O116" s="173" t="s">
        <v>2</v>
      </c>
      <c r="P116" s="173"/>
      <c r="Q116" s="173"/>
      <c r="R116" s="173"/>
      <c r="S116" s="173"/>
      <c r="T116" s="173" t="s">
        <v>2</v>
      </c>
      <c r="U116" s="173"/>
      <c r="V116" s="173"/>
      <c r="W116" s="173" t="s">
        <v>2</v>
      </c>
      <c r="X116" s="173" t="s">
        <v>2</v>
      </c>
      <c r="Y116" s="173" t="s">
        <v>4</v>
      </c>
      <c r="Z116" s="118" t="s">
        <v>2</v>
      </c>
      <c r="AA116" s="119">
        <f>COUNTIF(tblF42023[[#This Row],[CIV]:[BIBLE]],"A")</f>
        <v>8</v>
      </c>
      <c r="AB116" s="119">
        <v>7</v>
      </c>
      <c r="AC116" s="119" t="s">
        <v>10</v>
      </c>
      <c r="AD116" s="120">
        <v>4</v>
      </c>
      <c r="AE116" s="173">
        <v>4</v>
      </c>
      <c r="AF116" s="173">
        <v>3</v>
      </c>
      <c r="AG116" s="173" t="s">
        <v>661</v>
      </c>
      <c r="AH116" s="173">
        <v>4</v>
      </c>
      <c r="AI116" s="173">
        <v>4</v>
      </c>
      <c r="AJ116" s="173">
        <v>3</v>
      </c>
      <c r="AK116" s="173" t="s">
        <v>661</v>
      </c>
      <c r="AL116" s="173">
        <v>5</v>
      </c>
      <c r="AM116" s="173">
        <v>5</v>
      </c>
      <c r="AN116" s="173" t="s">
        <v>661</v>
      </c>
      <c r="AO116" s="173" t="s">
        <v>661</v>
      </c>
      <c r="AP11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6" s="173" t="s">
        <v>991</v>
      </c>
      <c r="AU11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1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7" spans="1:53" x14ac:dyDescent="0.3">
      <c r="A117" s="173" t="s">
        <v>680</v>
      </c>
      <c r="B117" s="173"/>
      <c r="C117" s="171"/>
      <c r="D117" s="172" t="s">
        <v>8</v>
      </c>
      <c r="E117" s="172" t="s">
        <v>42</v>
      </c>
      <c r="F117" s="117" t="str">
        <f>_xlfn.XLOOKUP(tblF42023[[#This Row],[FULL_NAME]],F6Results_2026[Full_Name],F6Results_2026[Comb],"",0,1)</f>
        <v/>
      </c>
      <c r="G117" s="117"/>
      <c r="H11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7" s="173" t="s">
        <v>530</v>
      </c>
      <c r="J117" s="173">
        <v>2025</v>
      </c>
      <c r="K117" s="121" t="s">
        <v>2</v>
      </c>
      <c r="L117" s="121" t="s">
        <v>2</v>
      </c>
      <c r="M117" s="121" t="s">
        <v>2</v>
      </c>
      <c r="N117" s="121" t="s">
        <v>2</v>
      </c>
      <c r="O117" s="121" t="s">
        <v>2</v>
      </c>
      <c r="P117" s="121"/>
      <c r="Q117" s="121"/>
      <c r="R117" s="121"/>
      <c r="S117" s="121"/>
      <c r="T117" s="121" t="s">
        <v>3</v>
      </c>
      <c r="U117" s="121"/>
      <c r="V117" s="121"/>
      <c r="W117" s="121" t="s">
        <v>2</v>
      </c>
      <c r="X117" s="121" t="s">
        <v>3</v>
      </c>
      <c r="Y117" s="121" t="s">
        <v>4</v>
      </c>
      <c r="Z117" s="122" t="s">
        <v>2</v>
      </c>
      <c r="AA117" s="119">
        <f>COUNTIF(tblF42023[[#This Row],[CIV]:[BIBLE]],"A")</f>
        <v>7</v>
      </c>
      <c r="AB117" s="119">
        <v>7</v>
      </c>
      <c r="AC117" s="119" t="s">
        <v>10</v>
      </c>
      <c r="AD117" s="120">
        <v>3</v>
      </c>
      <c r="AE117" s="173">
        <v>4</v>
      </c>
      <c r="AF117" s="173">
        <v>4</v>
      </c>
      <c r="AG117" s="173" t="s">
        <v>661</v>
      </c>
      <c r="AH117" s="173">
        <v>3</v>
      </c>
      <c r="AI117" s="173">
        <v>3</v>
      </c>
      <c r="AJ117" s="173">
        <v>5</v>
      </c>
      <c r="AK117" s="173" t="s">
        <v>661</v>
      </c>
      <c r="AL117" s="173">
        <v>6</v>
      </c>
      <c r="AM117" s="173">
        <v>6</v>
      </c>
      <c r="AN117" s="173" t="s">
        <v>661</v>
      </c>
      <c r="AO117" s="173" t="s">
        <v>661</v>
      </c>
      <c r="AP11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7" s="173" t="s">
        <v>991</v>
      </c>
      <c r="AU11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1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8" spans="1:53" x14ac:dyDescent="0.3">
      <c r="A118" s="173" t="s">
        <v>681</v>
      </c>
      <c r="B118" s="173"/>
      <c r="C118" s="171"/>
      <c r="D118" s="172" t="s">
        <v>8</v>
      </c>
      <c r="E118" s="172" t="s">
        <v>42</v>
      </c>
      <c r="F118" s="117" t="str">
        <f>_xlfn.XLOOKUP(tblF42023[[#This Row],[FULL_NAME]],F6Results_2026[Full_Name],F6Results_2026[Comb],"",0,1)</f>
        <v/>
      </c>
      <c r="G118" s="117"/>
      <c r="H11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8" s="173" t="s">
        <v>530</v>
      </c>
      <c r="J118" s="173">
        <v>2025</v>
      </c>
      <c r="K118" s="121" t="s">
        <v>2</v>
      </c>
      <c r="L118" s="121" t="s">
        <v>4</v>
      </c>
      <c r="M118" s="121" t="s">
        <v>3</v>
      </c>
      <c r="N118" s="121" t="s">
        <v>2</v>
      </c>
      <c r="O118" s="121" t="s">
        <v>3</v>
      </c>
      <c r="P118" s="121"/>
      <c r="Q118" s="121"/>
      <c r="R118" s="121"/>
      <c r="S118" s="121"/>
      <c r="T118" s="121" t="s">
        <v>4</v>
      </c>
      <c r="U118" s="121"/>
      <c r="V118" s="121"/>
      <c r="W118" s="121" t="s">
        <v>3</v>
      </c>
      <c r="X118" s="121" t="s">
        <v>2</v>
      </c>
      <c r="Y118" s="121" t="s">
        <v>4</v>
      </c>
      <c r="Z118" s="122" t="s">
        <v>2</v>
      </c>
      <c r="AA118" s="119">
        <f>COUNTIF(tblF42023[[#This Row],[CIV]:[BIBLE]],"A")</f>
        <v>4</v>
      </c>
      <c r="AB118" s="119">
        <v>10</v>
      </c>
      <c r="AC118" s="119" t="s">
        <v>10</v>
      </c>
      <c r="AD118" s="120">
        <v>6</v>
      </c>
      <c r="AE118" s="173">
        <v>8</v>
      </c>
      <c r="AF118" s="173">
        <v>5</v>
      </c>
      <c r="AG118" s="173" t="s">
        <v>661</v>
      </c>
      <c r="AH118" s="173">
        <v>7</v>
      </c>
      <c r="AI118" s="173">
        <v>6</v>
      </c>
      <c r="AJ118" s="173">
        <v>8</v>
      </c>
      <c r="AK118" s="173" t="s">
        <v>661</v>
      </c>
      <c r="AL118" s="173">
        <v>6</v>
      </c>
      <c r="AM118" s="173">
        <v>8</v>
      </c>
      <c r="AN118" s="173" t="s">
        <v>661</v>
      </c>
      <c r="AO118" s="173" t="s">
        <v>661</v>
      </c>
      <c r="AP11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1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18" s="173" t="s">
        <v>992</v>
      </c>
      <c r="AU11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1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1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1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19" spans="1:53" x14ac:dyDescent="0.3">
      <c r="A119" s="173" t="s">
        <v>682</v>
      </c>
      <c r="B119" s="173"/>
      <c r="C119" s="171" t="s">
        <v>147</v>
      </c>
      <c r="D119" s="172" t="s">
        <v>8</v>
      </c>
      <c r="E119" s="172" t="s">
        <v>42</v>
      </c>
      <c r="F119" s="117" t="str">
        <f>_xlfn.XLOOKUP(tblF42023[[#This Row],[FULL_NAME]],F6Results_2026[Full_Name],F6Results_2026[Comb],"",0,1)</f>
        <v>EGM</v>
      </c>
      <c r="G119" s="117"/>
      <c r="H11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19" s="173" t="s">
        <v>530</v>
      </c>
      <c r="J119" s="173">
        <v>2025</v>
      </c>
      <c r="K119" s="121" t="s">
        <v>3</v>
      </c>
      <c r="L119" s="121" t="s">
        <v>3</v>
      </c>
      <c r="M119" s="121" t="s">
        <v>3</v>
      </c>
      <c r="N119" s="121" t="s">
        <v>2</v>
      </c>
      <c r="O119" s="121" t="s">
        <v>2</v>
      </c>
      <c r="P119" s="121"/>
      <c r="Q119" s="121"/>
      <c r="R119" s="121"/>
      <c r="S119" s="121" t="s">
        <v>4</v>
      </c>
      <c r="T119" s="121" t="s">
        <v>3</v>
      </c>
      <c r="U119" s="121"/>
      <c r="V119" s="121"/>
      <c r="W119" s="121" t="s">
        <v>2</v>
      </c>
      <c r="X119" s="121" t="s">
        <v>3</v>
      </c>
      <c r="Y119" s="121" t="s">
        <v>4</v>
      </c>
      <c r="Z119" s="122"/>
      <c r="AA119" s="119">
        <f>COUNTIF(tblF42023[[#This Row],[CIV]:[BIBLE]],"A")</f>
        <v>3</v>
      </c>
      <c r="AB119" s="119">
        <v>11</v>
      </c>
      <c r="AC119" s="119" t="s">
        <v>10</v>
      </c>
      <c r="AD119" s="120">
        <v>4</v>
      </c>
      <c r="AE119" s="173">
        <v>6</v>
      </c>
      <c r="AF119" s="173">
        <v>5</v>
      </c>
      <c r="AG119" s="173">
        <v>7</v>
      </c>
      <c r="AH119" s="173">
        <v>5</v>
      </c>
      <c r="AI119" s="173">
        <v>5</v>
      </c>
      <c r="AJ119" s="173">
        <v>6</v>
      </c>
      <c r="AK119" s="173" t="s">
        <v>661</v>
      </c>
      <c r="AL119" s="173">
        <v>6</v>
      </c>
      <c r="AM119" s="173">
        <v>6</v>
      </c>
      <c r="AN119" s="173">
        <v>8</v>
      </c>
      <c r="AO119" s="173" t="s">
        <v>661</v>
      </c>
      <c r="AP11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1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1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1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19" s="173" t="s">
        <v>991</v>
      </c>
      <c r="AU11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1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1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1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1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1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1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0" spans="1:53" x14ac:dyDescent="0.3">
      <c r="A120" s="173" t="s">
        <v>683</v>
      </c>
      <c r="B120" s="173"/>
      <c r="C120" s="171"/>
      <c r="D120" s="172" t="s">
        <v>8</v>
      </c>
      <c r="E120" s="172" t="s">
        <v>42</v>
      </c>
      <c r="F120" s="117" t="str">
        <f>_xlfn.XLOOKUP(tblF42023[[#This Row],[FULL_NAME]],F6Results_2026[Full_Name],F6Results_2026[Comb],"",0,1)</f>
        <v/>
      </c>
      <c r="G120" s="117"/>
      <c r="H12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0" s="173" t="s">
        <v>530</v>
      </c>
      <c r="J120" s="173">
        <v>2025</v>
      </c>
      <c r="K120" s="121" t="s">
        <v>3</v>
      </c>
      <c r="L120" s="121" t="s">
        <v>3</v>
      </c>
      <c r="M120" s="121" t="s">
        <v>3</v>
      </c>
      <c r="N120" s="121" t="s">
        <v>3</v>
      </c>
      <c r="O120" s="121" t="s">
        <v>3</v>
      </c>
      <c r="P120" s="121"/>
      <c r="Q120" s="121"/>
      <c r="R120" s="121"/>
      <c r="S120" s="121" t="s">
        <v>4</v>
      </c>
      <c r="T120" s="121" t="s">
        <v>4</v>
      </c>
      <c r="U120" s="121"/>
      <c r="V120" s="121"/>
      <c r="W120" s="121" t="s">
        <v>3</v>
      </c>
      <c r="X120" s="121" t="s">
        <v>3</v>
      </c>
      <c r="Y120" s="121" t="s">
        <v>5</v>
      </c>
      <c r="Z120" s="122"/>
      <c r="AA120" s="119">
        <f>COUNTIF(tblF42023[[#This Row],[CIV]:[BIBLE]],"A")</f>
        <v>0</v>
      </c>
      <c r="AB120" s="119">
        <v>14</v>
      </c>
      <c r="AC120" s="119" t="s">
        <v>10</v>
      </c>
      <c r="AD120" s="120">
        <v>6</v>
      </c>
      <c r="AE120" s="173">
        <v>7</v>
      </c>
      <c r="AF120" s="173">
        <v>6</v>
      </c>
      <c r="AG120" s="173">
        <v>9</v>
      </c>
      <c r="AH120" s="173">
        <v>6</v>
      </c>
      <c r="AI120" s="173">
        <v>6</v>
      </c>
      <c r="AJ120" s="173">
        <v>8</v>
      </c>
      <c r="AK120" s="173" t="s">
        <v>661</v>
      </c>
      <c r="AL120" s="173">
        <v>8</v>
      </c>
      <c r="AM120" s="173">
        <v>9</v>
      </c>
      <c r="AN120" s="173">
        <v>10</v>
      </c>
      <c r="AO120" s="173" t="s">
        <v>661</v>
      </c>
      <c r="AP12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2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20" s="173" t="s">
        <v>991</v>
      </c>
      <c r="AU12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2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2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2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2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1" spans="1:53" x14ac:dyDescent="0.3">
      <c r="A121" s="173" t="s">
        <v>684</v>
      </c>
      <c r="B121" s="173"/>
      <c r="C121" s="171" t="s">
        <v>47</v>
      </c>
      <c r="D121" s="172" t="s">
        <v>8</v>
      </c>
      <c r="E121" s="172" t="s">
        <v>42</v>
      </c>
      <c r="F121" s="117" t="str">
        <f>_xlfn.XLOOKUP(tblF42023[[#This Row],[FULL_NAME]],F6Results_2026[Full_Name],F6Results_2026[Comb],"",0,1)</f>
        <v>HGL</v>
      </c>
      <c r="G121" s="117"/>
      <c r="H12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1" s="173" t="s">
        <v>530</v>
      </c>
      <c r="J121" s="173">
        <v>2025</v>
      </c>
      <c r="K121" s="121" t="s">
        <v>3</v>
      </c>
      <c r="L121" s="121" t="s">
        <v>4</v>
      </c>
      <c r="M121" s="121" t="s">
        <v>3</v>
      </c>
      <c r="N121" s="121" t="s">
        <v>3</v>
      </c>
      <c r="O121" s="121" t="s">
        <v>3</v>
      </c>
      <c r="P121" s="121"/>
      <c r="Q121" s="121" t="s">
        <v>4</v>
      </c>
      <c r="R121" s="121" t="s">
        <v>4</v>
      </c>
      <c r="S121" s="121"/>
      <c r="T121" s="121" t="s">
        <v>4</v>
      </c>
      <c r="U121" s="121"/>
      <c r="V121" s="121"/>
      <c r="W121" s="121"/>
      <c r="X121" s="121" t="s">
        <v>3</v>
      </c>
      <c r="Y121" s="121" t="s">
        <v>663</v>
      </c>
      <c r="Z121" s="122" t="s">
        <v>2</v>
      </c>
      <c r="AA121" s="119">
        <f>COUNTIF(tblF42023[[#This Row],[CIV]:[BIBLE]],"A")</f>
        <v>1</v>
      </c>
      <c r="AB121" s="119">
        <v>14</v>
      </c>
      <c r="AC121" s="119" t="s">
        <v>10</v>
      </c>
      <c r="AD121" s="120">
        <v>7</v>
      </c>
      <c r="AE121" s="173">
        <v>8</v>
      </c>
      <c r="AF121" s="173" t="s">
        <v>661</v>
      </c>
      <c r="AG121" s="173" t="s">
        <v>661</v>
      </c>
      <c r="AH121" s="173">
        <v>7</v>
      </c>
      <c r="AI121" s="173">
        <v>7</v>
      </c>
      <c r="AJ121" s="173">
        <v>8</v>
      </c>
      <c r="AK121" s="173">
        <v>9</v>
      </c>
      <c r="AL121" s="173" t="s">
        <v>661</v>
      </c>
      <c r="AM121" s="173" t="s">
        <v>661</v>
      </c>
      <c r="AN121" s="173" t="s">
        <v>661</v>
      </c>
      <c r="AO121" s="173" t="s">
        <v>661</v>
      </c>
      <c r="AP12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2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2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2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1" s="173" t="s">
        <v>992</v>
      </c>
      <c r="AU12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2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2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2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2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2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2" spans="1:53" x14ac:dyDescent="0.3">
      <c r="A122" s="173" t="s">
        <v>685</v>
      </c>
      <c r="B122" s="173"/>
      <c r="C122" s="171" t="s">
        <v>198</v>
      </c>
      <c r="D122" s="172" t="s">
        <v>8</v>
      </c>
      <c r="E122" s="172" t="s">
        <v>42</v>
      </c>
      <c r="F122" s="117" t="str">
        <f>_xlfn.XLOOKUP(tblF42023[[#This Row],[FULL_NAME]],F6Results_2026[Full_Name],F6Results_2026[Comb],"",0,1)</f>
        <v>PCM</v>
      </c>
      <c r="G122" s="117"/>
      <c r="H12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2" s="173" t="s">
        <v>530</v>
      </c>
      <c r="J122" s="173">
        <v>2025</v>
      </c>
      <c r="K122" s="121" t="s">
        <v>2</v>
      </c>
      <c r="L122" s="121" t="s">
        <v>2</v>
      </c>
      <c r="M122" s="121" t="s">
        <v>3</v>
      </c>
      <c r="N122" s="121" t="s">
        <v>2</v>
      </c>
      <c r="O122" s="121" t="s">
        <v>3</v>
      </c>
      <c r="P122" s="121"/>
      <c r="Q122" s="121"/>
      <c r="R122" s="121"/>
      <c r="S122" s="121"/>
      <c r="T122" s="121" t="s">
        <v>3</v>
      </c>
      <c r="U122" s="121"/>
      <c r="V122" s="121"/>
      <c r="W122" s="121" t="s">
        <v>2</v>
      </c>
      <c r="X122" s="121" t="s">
        <v>3</v>
      </c>
      <c r="Y122" s="121" t="s">
        <v>4</v>
      </c>
      <c r="Z122" s="122" t="s">
        <v>2</v>
      </c>
      <c r="AA122" s="119">
        <f>COUNTIF(tblF42023[[#This Row],[CIV]:[BIBLE]],"A")</f>
        <v>5</v>
      </c>
      <c r="AB122" s="119">
        <v>9</v>
      </c>
      <c r="AC122" s="119" t="s">
        <v>10</v>
      </c>
      <c r="AD122" s="120">
        <v>4</v>
      </c>
      <c r="AE122" s="173">
        <v>5</v>
      </c>
      <c r="AF122" s="173">
        <v>5</v>
      </c>
      <c r="AG122" s="173" t="s">
        <v>661</v>
      </c>
      <c r="AH122" s="173">
        <v>5</v>
      </c>
      <c r="AI122" s="173">
        <v>4</v>
      </c>
      <c r="AJ122" s="173">
        <v>6</v>
      </c>
      <c r="AK122" s="173" t="s">
        <v>661</v>
      </c>
      <c r="AL122" s="173">
        <v>6</v>
      </c>
      <c r="AM122" s="173">
        <v>6</v>
      </c>
      <c r="AN122" s="173" t="s">
        <v>661</v>
      </c>
      <c r="AO122" s="173" t="s">
        <v>661</v>
      </c>
      <c r="AP12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2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2" s="173" t="s">
        <v>991</v>
      </c>
      <c r="AU12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2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2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2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3" spans="1:53" x14ac:dyDescent="0.3">
      <c r="A123" s="173" t="s">
        <v>686</v>
      </c>
      <c r="B123" s="173"/>
      <c r="C123" s="123" t="s">
        <v>246</v>
      </c>
      <c r="D123" s="172" t="s">
        <v>8</v>
      </c>
      <c r="E123" s="172" t="s">
        <v>42</v>
      </c>
      <c r="F123" s="117" t="str">
        <f>_xlfn.XLOOKUP(tblF42023[[#This Row],[FULL_NAME]],F6Results_2026[Full_Name],F6Results_2026[Comb],"",0,1)</f>
        <v>PCB</v>
      </c>
      <c r="G123" s="117"/>
      <c r="H123" s="117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3" s="173" t="s">
        <v>530</v>
      </c>
      <c r="J123" s="173">
        <v>2025</v>
      </c>
      <c r="K123" s="121" t="s">
        <v>2</v>
      </c>
      <c r="L123" s="121" t="s">
        <v>3</v>
      </c>
      <c r="M123" s="121" t="s">
        <v>2</v>
      </c>
      <c r="N123" s="121" t="s">
        <v>2</v>
      </c>
      <c r="O123" s="121" t="s">
        <v>2</v>
      </c>
      <c r="P123" s="121"/>
      <c r="Q123" s="121"/>
      <c r="R123" s="121"/>
      <c r="S123" s="121"/>
      <c r="T123" s="121" t="s">
        <v>3</v>
      </c>
      <c r="U123" s="121"/>
      <c r="V123" s="121"/>
      <c r="W123" s="121" t="s">
        <v>2</v>
      </c>
      <c r="X123" s="121" t="s">
        <v>2</v>
      </c>
      <c r="Y123" s="121" t="s">
        <v>4</v>
      </c>
      <c r="Z123" s="122" t="s">
        <v>2</v>
      </c>
      <c r="AA123" s="124">
        <f>COUNTIF(tblF42023[[#This Row],[CIV]:[BIBLE]],"A")</f>
        <v>7</v>
      </c>
      <c r="AB123" s="124">
        <v>7</v>
      </c>
      <c r="AC123" s="124" t="s">
        <v>10</v>
      </c>
      <c r="AD123" s="120">
        <v>4</v>
      </c>
      <c r="AE123" s="173">
        <v>5</v>
      </c>
      <c r="AF123" s="173">
        <v>3</v>
      </c>
      <c r="AG123" s="173" t="s">
        <v>661</v>
      </c>
      <c r="AH123" s="173">
        <v>4</v>
      </c>
      <c r="AI123" s="173">
        <v>4</v>
      </c>
      <c r="AJ123" s="173">
        <v>5</v>
      </c>
      <c r="AK123" s="173" t="s">
        <v>661</v>
      </c>
      <c r="AL123" s="173">
        <v>5</v>
      </c>
      <c r="AM123" s="173">
        <v>6</v>
      </c>
      <c r="AN123" s="173" t="s">
        <v>661</v>
      </c>
      <c r="AO123" s="173" t="s">
        <v>661</v>
      </c>
      <c r="AP12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2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3" s="173" t="s">
        <v>991</v>
      </c>
      <c r="AU12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2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2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2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4" spans="1:53" x14ac:dyDescent="0.3">
      <c r="A124" s="173" t="s">
        <v>687</v>
      </c>
      <c r="B124" s="173"/>
      <c r="C124" s="171" t="s">
        <v>688</v>
      </c>
      <c r="D124" s="172" t="s">
        <v>8</v>
      </c>
      <c r="E124" s="172" t="s">
        <v>42</v>
      </c>
      <c r="F124" s="117" t="str">
        <f>_xlfn.XLOOKUP(tblF42023[[#This Row],[FULL_NAME]],F6Results_2026[Full_Name],F6Results_2026[Comb],"",0,1)</f>
        <v/>
      </c>
      <c r="G124" s="117"/>
      <c r="H12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4" s="173" t="s">
        <v>530</v>
      </c>
      <c r="J124" s="173">
        <v>2025</v>
      </c>
      <c r="K124" s="121" t="s">
        <v>2</v>
      </c>
      <c r="L124" s="121" t="s">
        <v>5</v>
      </c>
      <c r="M124" s="121" t="s">
        <v>4</v>
      </c>
      <c r="N124" s="121" t="s">
        <v>2</v>
      </c>
      <c r="O124" s="121" t="s">
        <v>3</v>
      </c>
      <c r="P124" s="121"/>
      <c r="Q124" s="121"/>
      <c r="R124" s="121"/>
      <c r="S124" s="121"/>
      <c r="T124" s="121" t="s">
        <v>4</v>
      </c>
      <c r="U124" s="121"/>
      <c r="V124" s="121"/>
      <c r="W124" s="121" t="s">
        <v>3</v>
      </c>
      <c r="X124" s="121" t="s">
        <v>3</v>
      </c>
      <c r="Y124" s="121" t="s">
        <v>5</v>
      </c>
      <c r="Z124" s="122" t="s">
        <v>2</v>
      </c>
      <c r="AA124" s="119">
        <f>COUNTIF(tblF42023[[#This Row],[CIV]:[BIBLE]],"A")</f>
        <v>3</v>
      </c>
      <c r="AB124" s="119">
        <v>12</v>
      </c>
      <c r="AC124" s="119" t="s">
        <v>10</v>
      </c>
      <c r="AD124" s="120">
        <v>7</v>
      </c>
      <c r="AE124" s="173">
        <v>10</v>
      </c>
      <c r="AF124" s="173">
        <v>7</v>
      </c>
      <c r="AG124" s="173" t="s">
        <v>661</v>
      </c>
      <c r="AH124" s="173">
        <v>9</v>
      </c>
      <c r="AI124" s="173">
        <v>8</v>
      </c>
      <c r="AJ124" s="173">
        <v>9</v>
      </c>
      <c r="AK124" s="173" t="s">
        <v>661</v>
      </c>
      <c r="AL124" s="173">
        <v>8</v>
      </c>
      <c r="AM124" s="173">
        <v>9</v>
      </c>
      <c r="AN124" s="173" t="s">
        <v>661</v>
      </c>
      <c r="AO124" s="173" t="s">
        <v>661</v>
      </c>
      <c r="AP12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2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2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4" s="173" t="s">
        <v>992</v>
      </c>
      <c r="AU12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2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2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2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2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5" spans="1:53" x14ac:dyDescent="0.3">
      <c r="A125" s="173" t="s">
        <v>689</v>
      </c>
      <c r="B125" s="173"/>
      <c r="C125" s="171" t="s">
        <v>49</v>
      </c>
      <c r="D125" s="172" t="s">
        <v>8</v>
      </c>
      <c r="E125" s="172" t="s">
        <v>42</v>
      </c>
      <c r="F125" s="117" t="str">
        <f>_xlfn.XLOOKUP(tblF42023[[#This Row],[FULL_NAME]],F6Results_2026[Full_Name],F6Results_2026[Comb],"",0,1)</f>
        <v>HGL</v>
      </c>
      <c r="G125" s="117"/>
      <c r="H12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5" s="173" t="s">
        <v>530</v>
      </c>
      <c r="J125" s="173">
        <v>2025</v>
      </c>
      <c r="K125" s="121" t="s">
        <v>3</v>
      </c>
      <c r="L125" s="121" t="s">
        <v>4</v>
      </c>
      <c r="M125" s="121" t="s">
        <v>3</v>
      </c>
      <c r="N125" s="121" t="s">
        <v>3</v>
      </c>
      <c r="O125" s="121" t="s">
        <v>3</v>
      </c>
      <c r="P125" s="121"/>
      <c r="Q125" s="121"/>
      <c r="R125" s="121"/>
      <c r="S125" s="121"/>
      <c r="T125" s="121" t="s">
        <v>5</v>
      </c>
      <c r="U125" s="121"/>
      <c r="V125" s="121"/>
      <c r="W125" s="121" t="s">
        <v>4</v>
      </c>
      <c r="X125" s="121" t="s">
        <v>3</v>
      </c>
      <c r="Y125" s="121" t="s">
        <v>8</v>
      </c>
      <c r="Z125" s="122" t="s">
        <v>2</v>
      </c>
      <c r="AA125" s="119">
        <f>COUNTIF(tblF42023[[#This Row],[CIV]:[BIBLE]],"A")</f>
        <v>1</v>
      </c>
      <c r="AB125" s="119">
        <v>14</v>
      </c>
      <c r="AC125" s="119" t="s">
        <v>10</v>
      </c>
      <c r="AD125" s="120">
        <v>7</v>
      </c>
      <c r="AE125" s="173">
        <v>9</v>
      </c>
      <c r="AF125" s="173">
        <v>7</v>
      </c>
      <c r="AG125" s="173" t="s">
        <v>661</v>
      </c>
      <c r="AH125" s="173">
        <v>7</v>
      </c>
      <c r="AI125" s="173">
        <v>7</v>
      </c>
      <c r="AJ125" s="173">
        <v>10</v>
      </c>
      <c r="AK125" s="173" t="s">
        <v>661</v>
      </c>
      <c r="AL125" s="173">
        <v>10</v>
      </c>
      <c r="AM125" s="173">
        <v>12</v>
      </c>
      <c r="AN125" s="173" t="s">
        <v>661</v>
      </c>
      <c r="AO125" s="173" t="s">
        <v>661</v>
      </c>
      <c r="AP12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2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2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5" s="173" t="s">
        <v>992</v>
      </c>
      <c r="AU12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2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2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2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2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6" spans="1:53" x14ac:dyDescent="0.3">
      <c r="A126" s="173" t="s">
        <v>690</v>
      </c>
      <c r="B126" s="173"/>
      <c r="C126" s="171" t="s">
        <v>200</v>
      </c>
      <c r="D126" s="172" t="s">
        <v>8</v>
      </c>
      <c r="E126" s="172" t="s">
        <v>42</v>
      </c>
      <c r="F126" s="117" t="str">
        <f>_xlfn.XLOOKUP(tblF42023[[#This Row],[FULL_NAME]],F6Results_2026[Full_Name],F6Results_2026[Comb],"",0,1)</f>
        <v>PCM</v>
      </c>
      <c r="G126" s="117"/>
      <c r="H12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6" s="173" t="s">
        <v>530</v>
      </c>
      <c r="J126" s="173">
        <v>2025</v>
      </c>
      <c r="K126" s="121" t="s">
        <v>2</v>
      </c>
      <c r="L126" s="121" t="s">
        <v>3</v>
      </c>
      <c r="M126" s="121" t="s">
        <v>3</v>
      </c>
      <c r="N126" s="121" t="s">
        <v>2</v>
      </c>
      <c r="O126" s="121" t="s">
        <v>3</v>
      </c>
      <c r="P126" s="121"/>
      <c r="Q126" s="121"/>
      <c r="R126" s="121"/>
      <c r="S126" s="121"/>
      <c r="T126" s="121" t="s">
        <v>2</v>
      </c>
      <c r="U126" s="121"/>
      <c r="V126" s="121"/>
      <c r="W126" s="121" t="s">
        <v>2</v>
      </c>
      <c r="X126" s="121" t="s">
        <v>3</v>
      </c>
      <c r="Y126" s="121" t="s">
        <v>4</v>
      </c>
      <c r="Z126" s="122" t="s">
        <v>2</v>
      </c>
      <c r="AA126" s="119">
        <f>COUNTIF(tblF42023[[#This Row],[CIV]:[BIBLE]],"A")</f>
        <v>5</v>
      </c>
      <c r="AB126" s="119">
        <v>9</v>
      </c>
      <c r="AC126" s="119" t="s">
        <v>10</v>
      </c>
      <c r="AD126" s="120">
        <v>5</v>
      </c>
      <c r="AE126" s="173">
        <v>5</v>
      </c>
      <c r="AF126" s="173">
        <v>5</v>
      </c>
      <c r="AG126" s="173" t="s">
        <v>661</v>
      </c>
      <c r="AH126" s="173">
        <v>6</v>
      </c>
      <c r="AI126" s="173">
        <v>5</v>
      </c>
      <c r="AJ126" s="173">
        <v>4</v>
      </c>
      <c r="AK126" s="173" t="s">
        <v>661</v>
      </c>
      <c r="AL126" s="173">
        <v>6</v>
      </c>
      <c r="AM126" s="173">
        <v>5</v>
      </c>
      <c r="AN126" s="173" t="s">
        <v>661</v>
      </c>
      <c r="AO126" s="173" t="s">
        <v>661</v>
      </c>
      <c r="AP12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2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6" s="173" t="s">
        <v>991</v>
      </c>
      <c r="AU12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2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2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2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7" spans="1:53" x14ac:dyDescent="0.3">
      <c r="A127" s="173" t="s">
        <v>691</v>
      </c>
      <c r="B127" s="173"/>
      <c r="C127" s="171" t="s">
        <v>202</v>
      </c>
      <c r="D127" s="172" t="s">
        <v>8</v>
      </c>
      <c r="E127" s="172" t="s">
        <v>42</v>
      </c>
      <c r="F127" s="117" t="str">
        <f>_xlfn.XLOOKUP(tblF42023[[#This Row],[FULL_NAME]],F6Results_2026[Full_Name],F6Results_2026[Comb],"",0,1)</f>
        <v>PCM</v>
      </c>
      <c r="G127" s="117"/>
      <c r="H12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7" s="173" t="s">
        <v>530</v>
      </c>
      <c r="J127" s="173">
        <v>2025</v>
      </c>
      <c r="K127" s="121" t="s">
        <v>2</v>
      </c>
      <c r="L127" s="121" t="s">
        <v>3</v>
      </c>
      <c r="M127" s="121" t="s">
        <v>3</v>
      </c>
      <c r="N127" s="121" t="s">
        <v>3</v>
      </c>
      <c r="O127" s="121" t="s">
        <v>3</v>
      </c>
      <c r="P127" s="121"/>
      <c r="Q127" s="121"/>
      <c r="R127" s="121"/>
      <c r="S127" s="121" t="s">
        <v>4</v>
      </c>
      <c r="T127" s="121" t="s">
        <v>3</v>
      </c>
      <c r="U127" s="121"/>
      <c r="V127" s="121"/>
      <c r="W127" s="121" t="s">
        <v>2</v>
      </c>
      <c r="X127" s="121" t="s">
        <v>3</v>
      </c>
      <c r="Y127" s="121" t="s">
        <v>4</v>
      </c>
      <c r="Z127" s="122"/>
      <c r="AA127" s="119">
        <f>COUNTIF(tblF42023[[#This Row],[CIV]:[BIBLE]],"A")</f>
        <v>2</v>
      </c>
      <c r="AB127" s="119">
        <v>12</v>
      </c>
      <c r="AC127" s="119" t="s">
        <v>10</v>
      </c>
      <c r="AD127" s="120">
        <v>6</v>
      </c>
      <c r="AE127" s="173">
        <v>6</v>
      </c>
      <c r="AF127" s="173">
        <v>5</v>
      </c>
      <c r="AG127" s="173">
        <v>7</v>
      </c>
      <c r="AH127" s="173">
        <v>6</v>
      </c>
      <c r="AI127" s="173">
        <v>6</v>
      </c>
      <c r="AJ127" s="173">
        <v>6</v>
      </c>
      <c r="AK127" s="173" t="s">
        <v>661</v>
      </c>
      <c r="AL127" s="173">
        <v>6</v>
      </c>
      <c r="AM127" s="173">
        <v>6</v>
      </c>
      <c r="AN127" s="173">
        <v>8</v>
      </c>
      <c r="AO127" s="173" t="s">
        <v>661</v>
      </c>
      <c r="AP12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2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27" s="173" t="s">
        <v>991</v>
      </c>
      <c r="AU12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2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2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2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2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8" spans="1:53" x14ac:dyDescent="0.3">
      <c r="A128" s="173" t="s">
        <v>692</v>
      </c>
      <c r="B128" s="173"/>
      <c r="C128" s="171" t="s">
        <v>149</v>
      </c>
      <c r="D128" s="172" t="s">
        <v>8</v>
      </c>
      <c r="E128" s="172" t="s">
        <v>42</v>
      </c>
      <c r="F128" s="117" t="str">
        <f>_xlfn.XLOOKUP(tblF42023[[#This Row],[FULL_NAME]],F6Results_2026[Full_Name],F6Results_2026[Comb],"",0,1)</f>
        <v>EGM</v>
      </c>
      <c r="G128" s="117"/>
      <c r="H12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8" s="173" t="s">
        <v>530</v>
      </c>
      <c r="J128" s="173">
        <v>2025</v>
      </c>
      <c r="K128" s="121" t="s">
        <v>3</v>
      </c>
      <c r="L128" s="121" t="s">
        <v>4</v>
      </c>
      <c r="M128" s="121" t="s">
        <v>2</v>
      </c>
      <c r="N128" s="121" t="s">
        <v>2</v>
      </c>
      <c r="O128" s="121" t="s">
        <v>3</v>
      </c>
      <c r="P128" s="121"/>
      <c r="Q128" s="121"/>
      <c r="R128" s="121"/>
      <c r="S128" s="121" t="s">
        <v>3</v>
      </c>
      <c r="T128" s="121" t="s">
        <v>4</v>
      </c>
      <c r="U128" s="121"/>
      <c r="V128" s="121"/>
      <c r="W128" s="121" t="s">
        <v>3</v>
      </c>
      <c r="X128" s="121" t="s">
        <v>3</v>
      </c>
      <c r="Y128" s="121" t="s">
        <v>5</v>
      </c>
      <c r="Z128" s="122"/>
      <c r="AA128" s="119">
        <f>COUNTIF(tblF42023[[#This Row],[CIV]:[BIBLE]],"A")</f>
        <v>2</v>
      </c>
      <c r="AB128" s="119">
        <v>12</v>
      </c>
      <c r="AC128" s="119" t="s">
        <v>10</v>
      </c>
      <c r="AD128" s="120">
        <v>6</v>
      </c>
      <c r="AE128" s="173">
        <v>7</v>
      </c>
      <c r="AF128" s="173">
        <v>5</v>
      </c>
      <c r="AG128" s="173">
        <v>8</v>
      </c>
      <c r="AH128" s="173">
        <v>6</v>
      </c>
      <c r="AI128" s="173">
        <v>5</v>
      </c>
      <c r="AJ128" s="173">
        <v>7</v>
      </c>
      <c r="AK128" s="173" t="s">
        <v>661</v>
      </c>
      <c r="AL128" s="173">
        <v>8</v>
      </c>
      <c r="AM128" s="173">
        <v>9</v>
      </c>
      <c r="AN128" s="173">
        <v>9</v>
      </c>
      <c r="AO128" s="173" t="s">
        <v>661</v>
      </c>
      <c r="AP12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2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28" s="173" t="s">
        <v>991</v>
      </c>
      <c r="AU12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2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2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2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2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29" spans="1:53" x14ac:dyDescent="0.3">
      <c r="A129" s="173" t="s">
        <v>693</v>
      </c>
      <c r="B129" s="173"/>
      <c r="C129" s="171"/>
      <c r="D129" s="172" t="s">
        <v>8</v>
      </c>
      <c r="E129" s="172" t="s">
        <v>42</v>
      </c>
      <c r="F129" s="117" t="str">
        <f>_xlfn.XLOOKUP(tblF42023[[#This Row],[FULL_NAME]],F6Results_2026[Full_Name],F6Results_2026[Comb],"",0,1)</f>
        <v/>
      </c>
      <c r="G129" s="117"/>
      <c r="H12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29" s="173" t="s">
        <v>530</v>
      </c>
      <c r="J129" s="173">
        <v>2025</v>
      </c>
      <c r="K129" s="121" t="s">
        <v>3</v>
      </c>
      <c r="L129" s="121" t="s">
        <v>3</v>
      </c>
      <c r="M129" s="121" t="s">
        <v>3</v>
      </c>
      <c r="N129" s="121" t="s">
        <v>2</v>
      </c>
      <c r="O129" s="121" t="s">
        <v>2</v>
      </c>
      <c r="P129" s="121"/>
      <c r="Q129" s="121"/>
      <c r="R129" s="121"/>
      <c r="S129" s="121"/>
      <c r="T129" s="121" t="s">
        <v>4</v>
      </c>
      <c r="U129" s="121"/>
      <c r="V129" s="121"/>
      <c r="W129" s="121" t="s">
        <v>3</v>
      </c>
      <c r="X129" s="121" t="s">
        <v>3</v>
      </c>
      <c r="Y129" s="121" t="s">
        <v>4</v>
      </c>
      <c r="Z129" s="122" t="s">
        <v>2</v>
      </c>
      <c r="AA129" s="119">
        <f>COUNTIF(tblF42023[[#This Row],[CIV]:[BIBLE]],"A")</f>
        <v>3</v>
      </c>
      <c r="AB129" s="119">
        <v>11</v>
      </c>
      <c r="AC129" s="119" t="s">
        <v>10</v>
      </c>
      <c r="AD129" s="120">
        <v>4</v>
      </c>
      <c r="AE129" s="173">
        <v>7</v>
      </c>
      <c r="AF129" s="173">
        <v>6</v>
      </c>
      <c r="AG129" s="173" t="s">
        <v>661</v>
      </c>
      <c r="AH129" s="173">
        <v>5</v>
      </c>
      <c r="AI129" s="173">
        <v>5</v>
      </c>
      <c r="AJ129" s="173">
        <v>8</v>
      </c>
      <c r="AK129" s="173" t="s">
        <v>661</v>
      </c>
      <c r="AL129" s="173">
        <v>7</v>
      </c>
      <c r="AM129" s="173">
        <v>8</v>
      </c>
      <c r="AN129" s="173" t="s">
        <v>661</v>
      </c>
      <c r="AO129" s="173" t="s">
        <v>661</v>
      </c>
      <c r="AP12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2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2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2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29" s="173" t="s">
        <v>991</v>
      </c>
      <c r="AU12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2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2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2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2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2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2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0" spans="1:53" x14ac:dyDescent="0.3">
      <c r="A130" s="173" t="s">
        <v>694</v>
      </c>
      <c r="B130" s="173"/>
      <c r="C130" s="171"/>
      <c r="D130" s="172" t="s">
        <v>8</v>
      </c>
      <c r="E130" s="172" t="s">
        <v>42</v>
      </c>
      <c r="F130" s="117" t="str">
        <f>_xlfn.XLOOKUP(tblF42023[[#This Row],[FULL_NAME]],F6Results_2026[Full_Name],F6Results_2026[Comb],"",0,1)</f>
        <v/>
      </c>
      <c r="G130" s="117"/>
      <c r="H13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0" s="173" t="s">
        <v>530</v>
      </c>
      <c r="J130" s="173">
        <v>2025</v>
      </c>
      <c r="K130" s="121" t="s">
        <v>3</v>
      </c>
      <c r="L130" s="121" t="s">
        <v>3</v>
      </c>
      <c r="M130" s="121" t="s">
        <v>3</v>
      </c>
      <c r="N130" s="121" t="s">
        <v>2</v>
      </c>
      <c r="O130" s="121" t="s">
        <v>3</v>
      </c>
      <c r="P130" s="121"/>
      <c r="Q130" s="121"/>
      <c r="R130" s="121"/>
      <c r="S130" s="121"/>
      <c r="T130" s="121" t="s">
        <v>2</v>
      </c>
      <c r="U130" s="121"/>
      <c r="V130" s="121"/>
      <c r="W130" s="121" t="s">
        <v>2</v>
      </c>
      <c r="X130" s="121" t="s">
        <v>3</v>
      </c>
      <c r="Y130" s="121" t="s">
        <v>4</v>
      </c>
      <c r="Z130" s="122" t="s">
        <v>2</v>
      </c>
      <c r="AA130" s="119">
        <f>COUNTIF(tblF42023[[#This Row],[CIV]:[BIBLE]],"A")</f>
        <v>4</v>
      </c>
      <c r="AB130" s="119">
        <v>10</v>
      </c>
      <c r="AC130" s="119" t="s">
        <v>10</v>
      </c>
      <c r="AD130" s="120">
        <v>5</v>
      </c>
      <c r="AE130" s="173">
        <v>5</v>
      </c>
      <c r="AF130" s="173">
        <v>5</v>
      </c>
      <c r="AG130" s="173" t="s">
        <v>661</v>
      </c>
      <c r="AH130" s="173">
        <v>6</v>
      </c>
      <c r="AI130" s="173">
        <v>5</v>
      </c>
      <c r="AJ130" s="173">
        <v>4</v>
      </c>
      <c r="AK130" s="173" t="s">
        <v>661</v>
      </c>
      <c r="AL130" s="173">
        <v>6</v>
      </c>
      <c r="AM130" s="173">
        <v>5</v>
      </c>
      <c r="AN130" s="173" t="s">
        <v>661</v>
      </c>
      <c r="AO130" s="173" t="s">
        <v>661</v>
      </c>
      <c r="AP13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3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0" s="173" t="s">
        <v>991</v>
      </c>
      <c r="AU13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3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3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3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1" spans="1:53" x14ac:dyDescent="0.3">
      <c r="A131" s="173" t="s">
        <v>695</v>
      </c>
      <c r="B131" s="173"/>
      <c r="C131" s="171"/>
      <c r="D131" s="172" t="s">
        <v>8</v>
      </c>
      <c r="E131" s="172" t="s">
        <v>42</v>
      </c>
      <c r="F131" s="117" t="str">
        <f>_xlfn.XLOOKUP(tblF42023[[#This Row],[FULL_NAME]],F6Results_2026[Full_Name],F6Results_2026[Comb],"",0,1)</f>
        <v/>
      </c>
      <c r="G131" s="117"/>
      <c r="H13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1" s="173" t="s">
        <v>530</v>
      </c>
      <c r="J131" s="173">
        <v>2025</v>
      </c>
      <c r="K131" s="173" t="s">
        <v>2</v>
      </c>
      <c r="L131" s="173" t="s">
        <v>2</v>
      </c>
      <c r="M131" s="173" t="s">
        <v>2</v>
      </c>
      <c r="N131" s="173" t="s">
        <v>2</v>
      </c>
      <c r="O131" s="173" t="s">
        <v>2</v>
      </c>
      <c r="P131" s="173"/>
      <c r="Q131" s="173"/>
      <c r="R131" s="173"/>
      <c r="S131" s="173"/>
      <c r="T131" s="173" t="s">
        <v>3</v>
      </c>
      <c r="U131" s="173"/>
      <c r="V131" s="173"/>
      <c r="W131" s="173" t="s">
        <v>2</v>
      </c>
      <c r="X131" s="173" t="s">
        <v>2</v>
      </c>
      <c r="Y131" s="173" t="s">
        <v>4</v>
      </c>
      <c r="Z131" s="118" t="s">
        <v>2</v>
      </c>
      <c r="AA131" s="119">
        <f>COUNTIF(tblF42023[[#This Row],[CIV]:[BIBLE]],"A")</f>
        <v>8</v>
      </c>
      <c r="AB131" s="119">
        <v>7</v>
      </c>
      <c r="AC131" s="119" t="s">
        <v>10</v>
      </c>
      <c r="AD131" s="120">
        <v>3</v>
      </c>
      <c r="AE131" s="173">
        <v>4</v>
      </c>
      <c r="AF131" s="173">
        <v>3</v>
      </c>
      <c r="AG131" s="173" t="s">
        <v>661</v>
      </c>
      <c r="AH131" s="173">
        <v>3</v>
      </c>
      <c r="AI131" s="173">
        <v>3</v>
      </c>
      <c r="AJ131" s="173">
        <v>5</v>
      </c>
      <c r="AK131" s="173" t="s">
        <v>661</v>
      </c>
      <c r="AL131" s="173">
        <v>5</v>
      </c>
      <c r="AM131" s="173">
        <v>6</v>
      </c>
      <c r="AN131" s="173" t="s">
        <v>661</v>
      </c>
      <c r="AO131" s="173" t="s">
        <v>661</v>
      </c>
      <c r="AP13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3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1" s="173" t="s">
        <v>991</v>
      </c>
      <c r="AU13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3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3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3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2" spans="1:53" x14ac:dyDescent="0.3">
      <c r="A132" s="173" t="s">
        <v>696</v>
      </c>
      <c r="B132" s="173"/>
      <c r="C132" s="171"/>
      <c r="D132" s="172" t="s">
        <v>8</v>
      </c>
      <c r="E132" s="172" t="s">
        <v>42</v>
      </c>
      <c r="F132" s="117" t="str">
        <f>_xlfn.XLOOKUP(tblF42023[[#This Row],[FULL_NAME]],F6Results_2026[Full_Name],F6Results_2026[Comb],"",0,1)</f>
        <v/>
      </c>
      <c r="G132" s="117"/>
      <c r="H13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2" s="173" t="s">
        <v>530</v>
      </c>
      <c r="J132" s="173">
        <v>2025</v>
      </c>
      <c r="K132" s="121" t="s">
        <v>2</v>
      </c>
      <c r="L132" s="121" t="s">
        <v>3</v>
      </c>
      <c r="M132" s="121" t="s">
        <v>2</v>
      </c>
      <c r="N132" s="121" t="s">
        <v>2</v>
      </c>
      <c r="O132" s="121" t="s">
        <v>2</v>
      </c>
      <c r="P132" s="121"/>
      <c r="Q132" s="121"/>
      <c r="R132" s="121"/>
      <c r="S132" s="121" t="s">
        <v>3</v>
      </c>
      <c r="T132" s="121" t="s">
        <v>3</v>
      </c>
      <c r="U132" s="121"/>
      <c r="V132" s="121"/>
      <c r="W132" s="121" t="s">
        <v>3</v>
      </c>
      <c r="X132" s="121" t="s">
        <v>2</v>
      </c>
      <c r="Y132" s="121" t="s">
        <v>4</v>
      </c>
      <c r="Z132" s="122"/>
      <c r="AA132" s="119">
        <f>COUNTIF(tblF42023[[#This Row],[CIV]:[BIBLE]],"A")</f>
        <v>5</v>
      </c>
      <c r="AB132" s="119">
        <v>9</v>
      </c>
      <c r="AC132" s="119" t="s">
        <v>10</v>
      </c>
      <c r="AD132" s="120">
        <v>4</v>
      </c>
      <c r="AE132" s="173">
        <v>5</v>
      </c>
      <c r="AF132" s="173">
        <v>4</v>
      </c>
      <c r="AG132" s="173">
        <v>6</v>
      </c>
      <c r="AH132" s="173">
        <v>4</v>
      </c>
      <c r="AI132" s="173">
        <v>4</v>
      </c>
      <c r="AJ132" s="173">
        <v>5</v>
      </c>
      <c r="AK132" s="173" t="s">
        <v>661</v>
      </c>
      <c r="AL132" s="173">
        <v>6</v>
      </c>
      <c r="AM132" s="173">
        <v>7</v>
      </c>
      <c r="AN132" s="173">
        <v>7</v>
      </c>
      <c r="AO132" s="173" t="s">
        <v>661</v>
      </c>
      <c r="AP13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3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32" s="173" t="s">
        <v>991</v>
      </c>
      <c r="AU13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3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3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3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3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3" spans="1:53" x14ac:dyDescent="0.3">
      <c r="A133" s="173" t="s">
        <v>697</v>
      </c>
      <c r="B133" s="173"/>
      <c r="C133" s="171" t="s">
        <v>51</v>
      </c>
      <c r="D133" s="172" t="s">
        <v>8</v>
      </c>
      <c r="E133" s="172" t="s">
        <v>42</v>
      </c>
      <c r="F133" s="117" t="str">
        <f>_xlfn.XLOOKUP(tblF42023[[#This Row],[FULL_NAME]],F6Results_2026[Full_Name],F6Results_2026[Comb],"",0,1)</f>
        <v>HGL</v>
      </c>
      <c r="G133" s="117"/>
      <c r="H13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3" s="173" t="s">
        <v>530</v>
      </c>
      <c r="J133" s="173">
        <v>2025</v>
      </c>
      <c r="K133" s="121" t="s">
        <v>3</v>
      </c>
      <c r="L133" s="121" t="s">
        <v>4</v>
      </c>
      <c r="M133" s="121" t="s">
        <v>3</v>
      </c>
      <c r="N133" s="121" t="s">
        <v>3</v>
      </c>
      <c r="O133" s="121" t="s">
        <v>3</v>
      </c>
      <c r="P133" s="121"/>
      <c r="Q133" s="121" t="s">
        <v>4</v>
      </c>
      <c r="R133" s="121" t="s">
        <v>4</v>
      </c>
      <c r="S133" s="121" t="s">
        <v>4</v>
      </c>
      <c r="T133" s="121" t="s">
        <v>4</v>
      </c>
      <c r="U133" s="121"/>
      <c r="V133" s="121"/>
      <c r="W133" s="121"/>
      <c r="X133" s="121" t="s">
        <v>3</v>
      </c>
      <c r="Y133" s="121" t="s">
        <v>663</v>
      </c>
      <c r="Z133" s="122"/>
      <c r="AA133" s="119">
        <f>COUNTIF(tblF42023[[#This Row],[CIV]:[BIBLE]],"A")</f>
        <v>0</v>
      </c>
      <c r="AB133" s="119">
        <v>16</v>
      </c>
      <c r="AC133" s="119" t="s">
        <v>10</v>
      </c>
      <c r="AD133" s="120">
        <v>7</v>
      </c>
      <c r="AE133" s="173">
        <v>8</v>
      </c>
      <c r="AF133" s="173" t="s">
        <v>661</v>
      </c>
      <c r="AG133" s="173">
        <v>9</v>
      </c>
      <c r="AH133" s="173">
        <v>7</v>
      </c>
      <c r="AI133" s="173">
        <v>7</v>
      </c>
      <c r="AJ133" s="173">
        <v>8</v>
      </c>
      <c r="AK133" s="173">
        <v>9</v>
      </c>
      <c r="AL133" s="173" t="s">
        <v>661</v>
      </c>
      <c r="AM133" s="173" t="s">
        <v>661</v>
      </c>
      <c r="AN133" s="173" t="s">
        <v>661</v>
      </c>
      <c r="AO133" s="173" t="s">
        <v>661</v>
      </c>
      <c r="AP13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3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3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3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33" s="173" t="s">
        <v>992</v>
      </c>
      <c r="AU13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3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3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3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3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3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4" spans="1:53" x14ac:dyDescent="0.3">
      <c r="A134" s="173" t="s">
        <v>698</v>
      </c>
      <c r="B134" s="173"/>
      <c r="C134" s="171" t="s">
        <v>53</v>
      </c>
      <c r="D134" s="172" t="s">
        <v>8</v>
      </c>
      <c r="E134" s="172" t="s">
        <v>42</v>
      </c>
      <c r="F134" s="117" t="str">
        <f>_xlfn.XLOOKUP(tblF42023[[#This Row],[FULL_NAME]],F6Results_2026[Full_Name],F6Results_2026[Comb],"",0,1)</f>
        <v>HGL</v>
      </c>
      <c r="G134" s="117"/>
      <c r="H13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4" s="173" t="s">
        <v>530</v>
      </c>
      <c r="J134" s="173">
        <v>2025</v>
      </c>
      <c r="K134" s="121" t="s">
        <v>2</v>
      </c>
      <c r="L134" s="121" t="s">
        <v>2</v>
      </c>
      <c r="M134" s="121" t="s">
        <v>3</v>
      </c>
      <c r="N134" s="121" t="s">
        <v>2</v>
      </c>
      <c r="O134" s="121" t="s">
        <v>3</v>
      </c>
      <c r="P134" s="121"/>
      <c r="Q134" s="121"/>
      <c r="R134" s="121"/>
      <c r="S134" s="121"/>
      <c r="T134" s="121" t="s">
        <v>4</v>
      </c>
      <c r="U134" s="121"/>
      <c r="V134" s="121"/>
      <c r="W134" s="121" t="s">
        <v>3</v>
      </c>
      <c r="X134" s="121" t="s">
        <v>3</v>
      </c>
      <c r="Y134" s="121" t="s">
        <v>5</v>
      </c>
      <c r="Z134" s="122" t="s">
        <v>2</v>
      </c>
      <c r="AA134" s="119">
        <f>COUNTIF(tblF42023[[#This Row],[CIV]:[BIBLE]],"A")</f>
        <v>4</v>
      </c>
      <c r="AB134" s="119">
        <v>10</v>
      </c>
      <c r="AC134" s="119" t="s">
        <v>10</v>
      </c>
      <c r="AD134" s="120">
        <v>4</v>
      </c>
      <c r="AE134" s="173">
        <v>6</v>
      </c>
      <c r="AF134" s="173">
        <v>6</v>
      </c>
      <c r="AG134" s="173" t="s">
        <v>661</v>
      </c>
      <c r="AH134" s="173">
        <v>5</v>
      </c>
      <c r="AI134" s="173">
        <v>4</v>
      </c>
      <c r="AJ134" s="173">
        <v>8</v>
      </c>
      <c r="AK134" s="173" t="s">
        <v>661</v>
      </c>
      <c r="AL134" s="173">
        <v>8</v>
      </c>
      <c r="AM134" s="173">
        <v>9</v>
      </c>
      <c r="AN134" s="173" t="s">
        <v>661</v>
      </c>
      <c r="AO134" s="173" t="s">
        <v>661</v>
      </c>
      <c r="AP13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3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4" s="173" t="s">
        <v>991</v>
      </c>
      <c r="AU13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3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3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3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5" spans="1:53" x14ac:dyDescent="0.3">
      <c r="A135" s="173" t="s">
        <v>699</v>
      </c>
      <c r="B135" s="173"/>
      <c r="C135" s="171" t="s">
        <v>55</v>
      </c>
      <c r="D135" s="172" t="s">
        <v>8</v>
      </c>
      <c r="E135" s="172" t="s">
        <v>42</v>
      </c>
      <c r="F135" s="117" t="str">
        <f>_xlfn.XLOOKUP(tblF42023[[#This Row],[FULL_NAME]],F6Results_2026[Full_Name],F6Results_2026[Comb],"",0,1)</f>
        <v>HGL</v>
      </c>
      <c r="G135" s="117"/>
      <c r="H13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5" s="173" t="s">
        <v>530</v>
      </c>
      <c r="J135" s="173">
        <v>2025</v>
      </c>
      <c r="K135" s="121" t="s">
        <v>3</v>
      </c>
      <c r="L135" s="121" t="s">
        <v>4</v>
      </c>
      <c r="M135" s="121" t="s">
        <v>3</v>
      </c>
      <c r="N135" s="121" t="s">
        <v>4</v>
      </c>
      <c r="O135" s="121" t="s">
        <v>3</v>
      </c>
      <c r="P135" s="121"/>
      <c r="Q135" s="121"/>
      <c r="R135" s="121"/>
      <c r="S135" s="121"/>
      <c r="T135" s="121" t="s">
        <v>5</v>
      </c>
      <c r="U135" s="121"/>
      <c r="V135" s="121"/>
      <c r="W135" s="121" t="s">
        <v>4</v>
      </c>
      <c r="X135" s="121" t="s">
        <v>3</v>
      </c>
      <c r="Y135" s="121" t="s">
        <v>5</v>
      </c>
      <c r="Z135" s="122" t="s">
        <v>2</v>
      </c>
      <c r="AA135" s="119">
        <f>COUNTIF(tblF42023[[#This Row],[CIV]:[BIBLE]],"A")</f>
        <v>1</v>
      </c>
      <c r="AB135" s="119">
        <v>15</v>
      </c>
      <c r="AC135" s="119" t="s">
        <v>10</v>
      </c>
      <c r="AD135" s="120">
        <v>8</v>
      </c>
      <c r="AE135" s="173">
        <v>9</v>
      </c>
      <c r="AF135" s="173">
        <v>7</v>
      </c>
      <c r="AG135" s="173" t="s">
        <v>661</v>
      </c>
      <c r="AH135" s="173">
        <v>7</v>
      </c>
      <c r="AI135" s="173">
        <v>8</v>
      </c>
      <c r="AJ135" s="173">
        <v>10</v>
      </c>
      <c r="AK135" s="173" t="s">
        <v>661</v>
      </c>
      <c r="AL135" s="173">
        <v>9</v>
      </c>
      <c r="AM135" s="173">
        <v>11</v>
      </c>
      <c r="AN135" s="173" t="s">
        <v>661</v>
      </c>
      <c r="AO135" s="173" t="s">
        <v>661</v>
      </c>
      <c r="AP13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3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3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5" s="173" t="s">
        <v>992</v>
      </c>
      <c r="AU13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3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3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3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3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6" spans="1:53" x14ac:dyDescent="0.3">
      <c r="A136" s="173" t="s">
        <v>700</v>
      </c>
      <c r="B136" s="173"/>
      <c r="C136" s="171"/>
      <c r="D136" s="172" t="s">
        <v>8</v>
      </c>
      <c r="E136" s="172" t="s">
        <v>42</v>
      </c>
      <c r="F136" s="117" t="str">
        <f>_xlfn.XLOOKUP(tblF42023[[#This Row],[FULL_NAME]],F6Results_2026[Full_Name],F6Results_2026[Comb],"",0,1)</f>
        <v/>
      </c>
      <c r="G136" s="117"/>
      <c r="H13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6" s="173" t="s">
        <v>530</v>
      </c>
      <c r="J136" s="173">
        <v>2025</v>
      </c>
      <c r="K136" s="121" t="s">
        <v>3</v>
      </c>
      <c r="L136" s="121" t="s">
        <v>4</v>
      </c>
      <c r="M136" s="121" t="s">
        <v>4</v>
      </c>
      <c r="N136" s="121" t="s">
        <v>3</v>
      </c>
      <c r="O136" s="121" t="s">
        <v>3</v>
      </c>
      <c r="P136" s="121" t="s">
        <v>2</v>
      </c>
      <c r="Q136" s="121"/>
      <c r="R136" s="121"/>
      <c r="S136" s="121"/>
      <c r="T136" s="121" t="s">
        <v>5</v>
      </c>
      <c r="U136" s="121"/>
      <c r="V136" s="121"/>
      <c r="W136" s="121"/>
      <c r="X136" s="121" t="s">
        <v>3</v>
      </c>
      <c r="Y136" s="121" t="s">
        <v>663</v>
      </c>
      <c r="Z136" s="122" t="s">
        <v>2</v>
      </c>
      <c r="AA136" s="119">
        <f>COUNTIF(tblF42023[[#This Row],[CIV]:[BIBLE]],"A")</f>
        <v>2</v>
      </c>
      <c r="AB136" s="119">
        <v>13</v>
      </c>
      <c r="AC136" s="119" t="s">
        <v>10</v>
      </c>
      <c r="AD136" s="120">
        <v>7</v>
      </c>
      <c r="AE136" s="173">
        <v>10</v>
      </c>
      <c r="AF136" s="173" t="s">
        <v>661</v>
      </c>
      <c r="AG136" s="173" t="s">
        <v>661</v>
      </c>
      <c r="AH136" s="173">
        <v>8</v>
      </c>
      <c r="AI136" s="173">
        <v>8</v>
      </c>
      <c r="AJ136" s="173">
        <v>11</v>
      </c>
      <c r="AK136" s="173" t="s">
        <v>661</v>
      </c>
      <c r="AL136" s="173" t="s">
        <v>661</v>
      </c>
      <c r="AM136" s="173" t="s">
        <v>661</v>
      </c>
      <c r="AN136" s="173" t="s">
        <v>661</v>
      </c>
      <c r="AO136" s="173" t="s">
        <v>661</v>
      </c>
      <c r="AP13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3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3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3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6" s="173" t="s">
        <v>992</v>
      </c>
      <c r="AU13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3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3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3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3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7" spans="1:53" x14ac:dyDescent="0.3">
      <c r="A137" s="173" t="s">
        <v>701</v>
      </c>
      <c r="B137" s="173"/>
      <c r="C137" s="171" t="s">
        <v>702</v>
      </c>
      <c r="D137" s="172" t="s">
        <v>8</v>
      </c>
      <c r="E137" s="172" t="s">
        <v>42</v>
      </c>
      <c r="F137" s="117" t="str">
        <f>_xlfn.XLOOKUP(tblF42023[[#This Row],[FULL_NAME]],F6Results_2026[Full_Name],F6Results_2026[Comb],"",0,1)</f>
        <v/>
      </c>
      <c r="G137" s="117"/>
      <c r="H13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7" s="173" t="s">
        <v>530</v>
      </c>
      <c r="J137" s="173">
        <v>2025</v>
      </c>
      <c r="K137" s="121" t="s">
        <v>3</v>
      </c>
      <c r="L137" s="121" t="s">
        <v>4</v>
      </c>
      <c r="M137" s="121" t="s">
        <v>3</v>
      </c>
      <c r="N137" s="121" t="s">
        <v>2</v>
      </c>
      <c r="O137" s="121" t="s">
        <v>3</v>
      </c>
      <c r="P137" s="121"/>
      <c r="Q137" s="121"/>
      <c r="R137" s="121"/>
      <c r="S137" s="121"/>
      <c r="T137" s="121" t="s">
        <v>4</v>
      </c>
      <c r="U137" s="121"/>
      <c r="V137" s="121"/>
      <c r="W137" s="121" t="s">
        <v>3</v>
      </c>
      <c r="X137" s="121" t="s">
        <v>2</v>
      </c>
      <c r="Y137" s="121" t="s">
        <v>4</v>
      </c>
      <c r="Z137" s="122" t="s">
        <v>2</v>
      </c>
      <c r="AA137" s="119">
        <f>COUNTIF(tblF42023[[#This Row],[CIV]:[BIBLE]],"A")</f>
        <v>3</v>
      </c>
      <c r="AB137" s="119">
        <v>11</v>
      </c>
      <c r="AC137" s="119" t="s">
        <v>10</v>
      </c>
      <c r="AD137" s="120">
        <v>6</v>
      </c>
      <c r="AE137" s="173">
        <v>8</v>
      </c>
      <c r="AF137" s="173">
        <v>5</v>
      </c>
      <c r="AG137" s="173" t="s">
        <v>661</v>
      </c>
      <c r="AH137" s="173">
        <v>7</v>
      </c>
      <c r="AI137" s="173">
        <v>6</v>
      </c>
      <c r="AJ137" s="173">
        <v>8</v>
      </c>
      <c r="AK137" s="173" t="s">
        <v>661</v>
      </c>
      <c r="AL137" s="173">
        <v>6</v>
      </c>
      <c r="AM137" s="173">
        <v>8</v>
      </c>
      <c r="AN137" s="173" t="s">
        <v>661</v>
      </c>
      <c r="AO137" s="173" t="s">
        <v>661</v>
      </c>
      <c r="AP13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3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7" s="173" t="s">
        <v>992</v>
      </c>
      <c r="AU13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3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3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3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8" spans="1:53" x14ac:dyDescent="0.3">
      <c r="A138" s="173" t="s">
        <v>703</v>
      </c>
      <c r="B138" s="173"/>
      <c r="C138" s="171" t="s">
        <v>103</v>
      </c>
      <c r="D138" s="172" t="s">
        <v>8</v>
      </c>
      <c r="E138" s="172" t="s">
        <v>42</v>
      </c>
      <c r="F138" s="117" t="str">
        <f>_xlfn.XLOOKUP(tblF42023[[#This Row],[FULL_NAME]],F6Results_2026[Full_Name],F6Results_2026[Comb],"",0,1)</f>
        <v>HGK</v>
      </c>
      <c r="G138" s="117"/>
      <c r="H13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8" s="173" t="s">
        <v>530</v>
      </c>
      <c r="J138" s="173">
        <v>2025</v>
      </c>
      <c r="K138" s="121" t="s">
        <v>3</v>
      </c>
      <c r="L138" s="121" t="s">
        <v>4</v>
      </c>
      <c r="M138" s="121" t="s">
        <v>4</v>
      </c>
      <c r="N138" s="121" t="s">
        <v>3</v>
      </c>
      <c r="O138" s="121" t="s">
        <v>4</v>
      </c>
      <c r="P138" s="121"/>
      <c r="Q138" s="121" t="s">
        <v>4</v>
      </c>
      <c r="R138" s="121" t="s">
        <v>4</v>
      </c>
      <c r="S138" s="121"/>
      <c r="T138" s="121" t="s">
        <v>4</v>
      </c>
      <c r="U138" s="121"/>
      <c r="V138" s="121"/>
      <c r="W138" s="121"/>
      <c r="X138" s="121" t="s">
        <v>4</v>
      </c>
      <c r="Y138" s="121" t="s">
        <v>663</v>
      </c>
      <c r="Z138" s="122" t="s">
        <v>2</v>
      </c>
      <c r="AA138" s="119">
        <f>COUNTIF(tblF42023[[#This Row],[CIV]:[BIBLE]],"A")</f>
        <v>1</v>
      </c>
      <c r="AB138" s="119">
        <v>17</v>
      </c>
      <c r="AC138" s="119" t="s">
        <v>10</v>
      </c>
      <c r="AD138" s="120">
        <v>8</v>
      </c>
      <c r="AE138" s="173">
        <v>9</v>
      </c>
      <c r="AF138" s="173" t="s">
        <v>661</v>
      </c>
      <c r="AG138" s="173" t="s">
        <v>661</v>
      </c>
      <c r="AH138" s="173">
        <v>9</v>
      </c>
      <c r="AI138" s="173">
        <v>8</v>
      </c>
      <c r="AJ138" s="173">
        <v>9</v>
      </c>
      <c r="AK138" s="173">
        <v>9</v>
      </c>
      <c r="AL138" s="173" t="s">
        <v>661</v>
      </c>
      <c r="AM138" s="173" t="s">
        <v>661</v>
      </c>
      <c r="AN138" s="173" t="s">
        <v>661</v>
      </c>
      <c r="AO138" s="173" t="s">
        <v>661</v>
      </c>
      <c r="AP13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3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3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3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8" s="173" t="s">
        <v>992</v>
      </c>
      <c r="AU13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3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3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3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3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3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39" spans="1:53" x14ac:dyDescent="0.3">
      <c r="A139" s="173" t="s">
        <v>704</v>
      </c>
      <c r="B139" s="173"/>
      <c r="C139" s="171" t="s">
        <v>253</v>
      </c>
      <c r="D139" s="172" t="s">
        <v>8</v>
      </c>
      <c r="E139" s="172" t="s">
        <v>42</v>
      </c>
      <c r="F139" s="117" t="str">
        <f>_xlfn.XLOOKUP(tblF42023[[#This Row],[FULL_NAME]],F6Results_2026[Full_Name],F6Results_2026[Comb],"",0,1)</f>
        <v>PCB</v>
      </c>
      <c r="G139" s="117"/>
      <c r="H13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39" s="173" t="s">
        <v>530</v>
      </c>
      <c r="J139" s="173">
        <v>2025</v>
      </c>
      <c r="K139" s="121" t="s">
        <v>2</v>
      </c>
      <c r="L139" s="121" t="s">
        <v>4</v>
      </c>
      <c r="M139" s="121" t="s">
        <v>2</v>
      </c>
      <c r="N139" s="121" t="s">
        <v>2</v>
      </c>
      <c r="O139" s="121" t="s">
        <v>3</v>
      </c>
      <c r="P139" s="121"/>
      <c r="Q139" s="121"/>
      <c r="R139" s="121"/>
      <c r="S139" s="121"/>
      <c r="T139" s="121" t="s">
        <v>3</v>
      </c>
      <c r="U139" s="121"/>
      <c r="V139" s="121"/>
      <c r="W139" s="121" t="s">
        <v>3</v>
      </c>
      <c r="X139" s="121" t="s">
        <v>2</v>
      </c>
      <c r="Y139" s="121" t="s">
        <v>4</v>
      </c>
      <c r="Z139" s="122" t="s">
        <v>2</v>
      </c>
      <c r="AA139" s="119">
        <f>COUNTIF(tblF42023[[#This Row],[CIV]:[BIBLE]],"A")</f>
        <v>5</v>
      </c>
      <c r="AB139" s="119">
        <v>9</v>
      </c>
      <c r="AC139" s="119" t="s">
        <v>10</v>
      </c>
      <c r="AD139" s="120">
        <v>6</v>
      </c>
      <c r="AE139" s="173">
        <v>6</v>
      </c>
      <c r="AF139" s="173">
        <v>4</v>
      </c>
      <c r="AG139" s="173" t="s">
        <v>661</v>
      </c>
      <c r="AH139" s="173">
        <v>6</v>
      </c>
      <c r="AI139" s="173">
        <v>5</v>
      </c>
      <c r="AJ139" s="173">
        <v>5</v>
      </c>
      <c r="AK139" s="173" t="s">
        <v>661</v>
      </c>
      <c r="AL139" s="173">
        <v>6</v>
      </c>
      <c r="AM139" s="173">
        <v>7</v>
      </c>
      <c r="AN139" s="173" t="s">
        <v>661</v>
      </c>
      <c r="AO139" s="173" t="s">
        <v>661</v>
      </c>
      <c r="AP13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3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3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3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39" s="173" t="s">
        <v>991</v>
      </c>
      <c r="AU13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3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3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3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3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3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3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0" spans="1:53" x14ac:dyDescent="0.3">
      <c r="A140" s="173" t="s">
        <v>705</v>
      </c>
      <c r="B140" s="173"/>
      <c r="C140" s="171" t="s">
        <v>153</v>
      </c>
      <c r="D140" s="172" t="s">
        <v>8</v>
      </c>
      <c r="E140" s="172" t="s">
        <v>42</v>
      </c>
      <c r="F140" s="117" t="str">
        <f>_xlfn.XLOOKUP(tblF42023[[#This Row],[FULL_NAME]],F6Results_2026[Full_Name],F6Results_2026[Comb],"",0,1)</f>
        <v>EGM</v>
      </c>
      <c r="G140" s="117"/>
      <c r="H14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0" s="173" t="s">
        <v>530</v>
      </c>
      <c r="J140" s="173">
        <v>2025</v>
      </c>
      <c r="K140" s="121" t="s">
        <v>2</v>
      </c>
      <c r="L140" s="121" t="s">
        <v>2</v>
      </c>
      <c r="M140" s="121" t="s">
        <v>2</v>
      </c>
      <c r="N140" s="121" t="s">
        <v>2</v>
      </c>
      <c r="O140" s="121" t="s">
        <v>3</v>
      </c>
      <c r="P140" s="121"/>
      <c r="Q140" s="121"/>
      <c r="R140" s="121"/>
      <c r="S140" s="121"/>
      <c r="T140" s="121" t="s">
        <v>3</v>
      </c>
      <c r="U140" s="121"/>
      <c r="V140" s="121"/>
      <c r="W140" s="121" t="s">
        <v>2</v>
      </c>
      <c r="X140" s="121" t="s">
        <v>2</v>
      </c>
      <c r="Y140" s="121" t="s">
        <v>4</v>
      </c>
      <c r="Z140" s="122" t="s">
        <v>2</v>
      </c>
      <c r="AA140" s="119">
        <f>COUNTIF(tblF42023[[#This Row],[CIV]:[BIBLE]],"A")</f>
        <v>7</v>
      </c>
      <c r="AB140" s="119">
        <v>7</v>
      </c>
      <c r="AC140" s="119" t="s">
        <v>10</v>
      </c>
      <c r="AD140" s="120">
        <v>4</v>
      </c>
      <c r="AE140" s="173">
        <v>4</v>
      </c>
      <c r="AF140" s="173">
        <v>3</v>
      </c>
      <c r="AG140" s="173" t="s">
        <v>661</v>
      </c>
      <c r="AH140" s="173">
        <v>4</v>
      </c>
      <c r="AI140" s="173">
        <v>3</v>
      </c>
      <c r="AJ140" s="173">
        <v>5</v>
      </c>
      <c r="AK140" s="173" t="s">
        <v>661</v>
      </c>
      <c r="AL140" s="173">
        <v>5</v>
      </c>
      <c r="AM140" s="173">
        <v>6</v>
      </c>
      <c r="AN140" s="173" t="s">
        <v>661</v>
      </c>
      <c r="AO140" s="173" t="s">
        <v>661</v>
      </c>
      <c r="AP14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4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4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0" s="173" t="s">
        <v>991</v>
      </c>
      <c r="AU14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4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4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4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4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4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1" spans="1:53" x14ac:dyDescent="0.3">
      <c r="A141" s="173" t="s">
        <v>706</v>
      </c>
      <c r="B141" s="173"/>
      <c r="C141" s="171"/>
      <c r="D141" s="172" t="s">
        <v>8</v>
      </c>
      <c r="E141" s="172" t="s">
        <v>42</v>
      </c>
      <c r="F141" s="117" t="str">
        <f>_xlfn.XLOOKUP(tblF42023[[#This Row],[FULL_NAME]],F6Results_2026[Full_Name],F6Results_2026[Comb],"",0,1)</f>
        <v/>
      </c>
      <c r="G141" s="117"/>
      <c r="H14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1" s="173" t="s">
        <v>530</v>
      </c>
      <c r="J141" s="173">
        <v>2025</v>
      </c>
      <c r="K141" s="173" t="s">
        <v>2</v>
      </c>
      <c r="L141" s="173" t="s">
        <v>2</v>
      </c>
      <c r="M141" s="173" t="s">
        <v>2</v>
      </c>
      <c r="N141" s="173" t="s">
        <v>2</v>
      </c>
      <c r="O141" s="173" t="s">
        <v>2</v>
      </c>
      <c r="P141" s="173"/>
      <c r="Q141" s="173"/>
      <c r="R141" s="173"/>
      <c r="S141" s="173" t="s">
        <v>2</v>
      </c>
      <c r="T141" s="173" t="s">
        <v>2</v>
      </c>
      <c r="U141" s="173"/>
      <c r="V141" s="173"/>
      <c r="W141" s="173" t="s">
        <v>2</v>
      </c>
      <c r="X141" s="173" t="s">
        <v>2</v>
      </c>
      <c r="Y141" s="173" t="s">
        <v>4</v>
      </c>
      <c r="Z141" s="118"/>
      <c r="AA141" s="119">
        <f>COUNTIF(tblF42023[[#This Row],[CIV]:[BIBLE]],"A")</f>
        <v>9</v>
      </c>
      <c r="AB141" s="119">
        <v>7</v>
      </c>
      <c r="AC141" s="119" t="s">
        <v>10</v>
      </c>
      <c r="AD141" s="120">
        <v>3</v>
      </c>
      <c r="AE141" s="173">
        <v>3</v>
      </c>
      <c r="AF141" s="173">
        <v>3</v>
      </c>
      <c r="AG141" s="173">
        <v>3</v>
      </c>
      <c r="AH141" s="173">
        <v>3</v>
      </c>
      <c r="AI141" s="173">
        <v>3</v>
      </c>
      <c r="AJ141" s="173">
        <v>3</v>
      </c>
      <c r="AK141" s="173" t="s">
        <v>661</v>
      </c>
      <c r="AL141" s="173">
        <v>5</v>
      </c>
      <c r="AM141" s="173">
        <v>5</v>
      </c>
      <c r="AN141" s="173">
        <v>5</v>
      </c>
      <c r="AO141" s="173" t="s">
        <v>661</v>
      </c>
      <c r="AP14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4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4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41" s="173" t="s">
        <v>991</v>
      </c>
      <c r="AU14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4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4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4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4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4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4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2" spans="1:53" x14ac:dyDescent="0.3">
      <c r="A142" s="173" t="s">
        <v>707</v>
      </c>
      <c r="B142" s="173"/>
      <c r="C142" s="171"/>
      <c r="D142" s="172" t="s">
        <v>8</v>
      </c>
      <c r="E142" s="172" t="s">
        <v>42</v>
      </c>
      <c r="F142" s="117" t="str">
        <f>_xlfn.XLOOKUP(tblF42023[[#This Row],[FULL_NAME]],F6Results_2026[Full_Name],F6Results_2026[Comb],"",0,1)</f>
        <v/>
      </c>
      <c r="G142" s="117"/>
      <c r="H14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2" s="173" t="s">
        <v>530</v>
      </c>
      <c r="J142" s="173">
        <v>2025</v>
      </c>
      <c r="K142" s="173" t="s">
        <v>2</v>
      </c>
      <c r="L142" s="173" t="s">
        <v>2</v>
      </c>
      <c r="M142" s="173" t="s">
        <v>2</v>
      </c>
      <c r="N142" s="173" t="s">
        <v>2</v>
      </c>
      <c r="O142" s="173" t="s">
        <v>3</v>
      </c>
      <c r="P142" s="173"/>
      <c r="Q142" s="173"/>
      <c r="R142" s="173"/>
      <c r="S142" s="173" t="s">
        <v>2</v>
      </c>
      <c r="T142" s="173" t="s">
        <v>2</v>
      </c>
      <c r="U142" s="173"/>
      <c r="V142" s="173"/>
      <c r="W142" s="173" t="s">
        <v>2</v>
      </c>
      <c r="X142" s="173" t="s">
        <v>2</v>
      </c>
      <c r="Y142" s="173" t="s">
        <v>4</v>
      </c>
      <c r="Z142" s="118"/>
      <c r="AA142" s="119">
        <f>COUNTIF(tblF42023[[#This Row],[CIV]:[BIBLE]],"A")</f>
        <v>8</v>
      </c>
      <c r="AB142" s="119">
        <v>7</v>
      </c>
      <c r="AC142" s="119" t="s">
        <v>10</v>
      </c>
      <c r="AD142" s="120">
        <v>4</v>
      </c>
      <c r="AE142" s="173">
        <v>3</v>
      </c>
      <c r="AF142" s="173">
        <v>3</v>
      </c>
      <c r="AG142" s="173">
        <v>3</v>
      </c>
      <c r="AH142" s="173">
        <v>4</v>
      </c>
      <c r="AI142" s="173">
        <v>3</v>
      </c>
      <c r="AJ142" s="173">
        <v>3</v>
      </c>
      <c r="AK142" s="173" t="s">
        <v>661</v>
      </c>
      <c r="AL142" s="173">
        <v>5</v>
      </c>
      <c r="AM142" s="173">
        <v>5</v>
      </c>
      <c r="AN142" s="173">
        <v>5</v>
      </c>
      <c r="AO142" s="173" t="s">
        <v>661</v>
      </c>
      <c r="AP14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4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4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42" s="173" t="s">
        <v>991</v>
      </c>
      <c r="AU14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4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4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4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4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4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4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3" spans="1:53" x14ac:dyDescent="0.3">
      <c r="A143" s="173" t="s">
        <v>708</v>
      </c>
      <c r="B143" s="173"/>
      <c r="C143" s="171" t="s">
        <v>308</v>
      </c>
      <c r="D143" s="172" t="s">
        <v>8</v>
      </c>
      <c r="E143" s="172" t="s">
        <v>42</v>
      </c>
      <c r="F143" s="117" t="str">
        <f>_xlfn.XLOOKUP(tblF42023[[#This Row],[FULL_NAME]],F6Results_2026[Full_Name],F6Results_2026[Comb],"",0,1)</f>
        <v>ECA</v>
      </c>
      <c r="G143" s="117"/>
      <c r="H14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3" s="173" t="s">
        <v>530</v>
      </c>
      <c r="J143" s="173">
        <v>2025</v>
      </c>
      <c r="K143" s="121" t="s">
        <v>3</v>
      </c>
      <c r="L143" s="121" t="s">
        <v>3</v>
      </c>
      <c r="M143" s="121" t="s">
        <v>4</v>
      </c>
      <c r="N143" s="121" t="s">
        <v>3</v>
      </c>
      <c r="O143" s="121" t="s">
        <v>3</v>
      </c>
      <c r="P143" s="121"/>
      <c r="Q143" s="121" t="s">
        <v>4</v>
      </c>
      <c r="R143" s="121" t="s">
        <v>4</v>
      </c>
      <c r="S143" s="121"/>
      <c r="T143" s="121" t="s">
        <v>3</v>
      </c>
      <c r="U143" s="121"/>
      <c r="V143" s="121"/>
      <c r="W143" s="121"/>
      <c r="X143" s="121" t="s">
        <v>3</v>
      </c>
      <c r="Y143" s="121" t="s">
        <v>663</v>
      </c>
      <c r="Z143" s="122" t="s">
        <v>2</v>
      </c>
      <c r="AA143" s="119">
        <f>COUNTIF(tblF42023[[#This Row],[CIV]:[BIBLE]],"A")</f>
        <v>1</v>
      </c>
      <c r="AB143" s="119">
        <v>13</v>
      </c>
      <c r="AC143" s="119" t="s">
        <v>10</v>
      </c>
      <c r="AD143" s="120">
        <v>6</v>
      </c>
      <c r="AE143" s="173">
        <v>7</v>
      </c>
      <c r="AF143" s="173" t="s">
        <v>661</v>
      </c>
      <c r="AG143" s="173" t="s">
        <v>661</v>
      </c>
      <c r="AH143" s="173">
        <v>7</v>
      </c>
      <c r="AI143" s="173">
        <v>7</v>
      </c>
      <c r="AJ143" s="173">
        <v>7</v>
      </c>
      <c r="AK143" s="173">
        <v>8</v>
      </c>
      <c r="AL143" s="173" t="s">
        <v>661</v>
      </c>
      <c r="AM143" s="173" t="s">
        <v>661</v>
      </c>
      <c r="AN143" s="173" t="s">
        <v>661</v>
      </c>
      <c r="AO143" s="173" t="s">
        <v>661</v>
      </c>
      <c r="AP14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4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3" s="173" t="s">
        <v>992</v>
      </c>
      <c r="AU14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4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4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4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4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4" spans="1:53" x14ac:dyDescent="0.3">
      <c r="A144" s="173" t="s">
        <v>709</v>
      </c>
      <c r="B144" s="173"/>
      <c r="C144" s="171" t="s">
        <v>310</v>
      </c>
      <c r="D144" s="172" t="s">
        <v>8</v>
      </c>
      <c r="E144" s="172" t="s">
        <v>42</v>
      </c>
      <c r="F144" s="117" t="str">
        <f>_xlfn.XLOOKUP(tblF42023[[#This Row],[FULL_NAME]],F6Results_2026[Full_Name],F6Results_2026[Comb],"",0,1)</f>
        <v>ECA</v>
      </c>
      <c r="G144" s="117"/>
      <c r="H14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4" s="173" t="s">
        <v>530</v>
      </c>
      <c r="J144" s="173">
        <v>2025</v>
      </c>
      <c r="K144" s="121" t="s">
        <v>2</v>
      </c>
      <c r="L144" s="121" t="s">
        <v>4</v>
      </c>
      <c r="M144" s="121" t="s">
        <v>3</v>
      </c>
      <c r="N144" s="121" t="s">
        <v>3</v>
      </c>
      <c r="O144" s="121" t="s">
        <v>3</v>
      </c>
      <c r="P144" s="121"/>
      <c r="Q144" s="121" t="s">
        <v>4</v>
      </c>
      <c r="R144" s="121" t="s">
        <v>3</v>
      </c>
      <c r="S144" s="121"/>
      <c r="T144" s="121" t="s">
        <v>4</v>
      </c>
      <c r="U144" s="121"/>
      <c r="V144" s="121"/>
      <c r="W144" s="121"/>
      <c r="X144" s="121" t="s">
        <v>3</v>
      </c>
      <c r="Y144" s="121" t="s">
        <v>663</v>
      </c>
      <c r="Z144" s="122" t="s">
        <v>2</v>
      </c>
      <c r="AA144" s="119">
        <f>COUNTIF(tblF42023[[#This Row],[CIV]:[BIBLE]],"A")</f>
        <v>2</v>
      </c>
      <c r="AB144" s="119">
        <v>12</v>
      </c>
      <c r="AC144" s="119" t="s">
        <v>10</v>
      </c>
      <c r="AD144" s="120">
        <v>7</v>
      </c>
      <c r="AE144" s="173">
        <v>8</v>
      </c>
      <c r="AF144" s="173" t="s">
        <v>661</v>
      </c>
      <c r="AG144" s="173" t="s">
        <v>661</v>
      </c>
      <c r="AH144" s="173">
        <v>7</v>
      </c>
      <c r="AI144" s="173">
        <v>7</v>
      </c>
      <c r="AJ144" s="173">
        <v>8</v>
      </c>
      <c r="AK144" s="173">
        <v>8</v>
      </c>
      <c r="AL144" s="173" t="s">
        <v>661</v>
      </c>
      <c r="AM144" s="173" t="s">
        <v>661</v>
      </c>
      <c r="AN144" s="173" t="s">
        <v>661</v>
      </c>
      <c r="AO144" s="173" t="s">
        <v>661</v>
      </c>
      <c r="AP14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4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4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4" s="173" t="s">
        <v>992</v>
      </c>
      <c r="AU14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4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4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4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4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5" spans="1:53" x14ac:dyDescent="0.3">
      <c r="A145" s="173" t="s">
        <v>710</v>
      </c>
      <c r="B145" s="173"/>
      <c r="C145" s="171" t="s">
        <v>105</v>
      </c>
      <c r="D145" s="172" t="s">
        <v>8</v>
      </c>
      <c r="E145" s="172" t="s">
        <v>42</v>
      </c>
      <c r="F145" s="117" t="str">
        <f>_xlfn.XLOOKUP(tblF42023[[#This Row],[FULL_NAME]],F6Results_2026[Full_Name],F6Results_2026[Comb],"",0,1)</f>
        <v>HGK</v>
      </c>
      <c r="G145" s="117"/>
      <c r="H14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5" s="173" t="s">
        <v>530</v>
      </c>
      <c r="J145" s="173">
        <v>2025</v>
      </c>
      <c r="K145" s="121" t="s">
        <v>3</v>
      </c>
      <c r="L145" s="121" t="s">
        <v>5</v>
      </c>
      <c r="M145" s="121" t="s">
        <v>4</v>
      </c>
      <c r="N145" s="121" t="s">
        <v>3</v>
      </c>
      <c r="O145" s="121" t="s">
        <v>3</v>
      </c>
      <c r="P145" s="121"/>
      <c r="Q145" s="121" t="s">
        <v>4</v>
      </c>
      <c r="R145" s="121" t="s">
        <v>4</v>
      </c>
      <c r="S145" s="121"/>
      <c r="T145" s="121" t="s">
        <v>5</v>
      </c>
      <c r="U145" s="121"/>
      <c r="V145" s="121"/>
      <c r="W145" s="121"/>
      <c r="X145" s="121" t="s">
        <v>4</v>
      </c>
      <c r="Y145" s="121" t="s">
        <v>663</v>
      </c>
      <c r="Z145" s="122" t="s">
        <v>2</v>
      </c>
      <c r="AA145" s="119">
        <f>COUNTIF(tblF42023[[#This Row],[CIV]:[BIBLE]],"A")</f>
        <v>1</v>
      </c>
      <c r="AB145" s="119">
        <v>16</v>
      </c>
      <c r="AC145" s="119" t="s">
        <v>10</v>
      </c>
      <c r="AD145" s="120">
        <v>8</v>
      </c>
      <c r="AE145" s="173">
        <v>11</v>
      </c>
      <c r="AF145" s="173" t="s">
        <v>661</v>
      </c>
      <c r="AG145" s="173" t="s">
        <v>661</v>
      </c>
      <c r="AH145" s="173">
        <v>9</v>
      </c>
      <c r="AI145" s="173">
        <v>9</v>
      </c>
      <c r="AJ145" s="173">
        <v>11</v>
      </c>
      <c r="AK145" s="173">
        <v>10</v>
      </c>
      <c r="AL145" s="173" t="s">
        <v>661</v>
      </c>
      <c r="AM145" s="173" t="s">
        <v>661</v>
      </c>
      <c r="AN145" s="173" t="s">
        <v>661</v>
      </c>
      <c r="AO145" s="173" t="s">
        <v>661</v>
      </c>
      <c r="AP14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4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4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5" s="173" t="s">
        <v>992</v>
      </c>
      <c r="AU14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4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4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4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4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6" spans="1:53" x14ac:dyDescent="0.3">
      <c r="A146" s="173" t="s">
        <v>711</v>
      </c>
      <c r="B146" s="173"/>
      <c r="C146" s="171" t="s">
        <v>107</v>
      </c>
      <c r="D146" s="172" t="s">
        <v>8</v>
      </c>
      <c r="E146" s="172" t="s">
        <v>42</v>
      </c>
      <c r="F146" s="117" t="str">
        <f>_xlfn.XLOOKUP(tblF42023[[#This Row],[FULL_NAME]],F6Results_2026[Full_Name],F6Results_2026[Comb],"",0,1)</f>
        <v>HGK</v>
      </c>
      <c r="G146" s="117"/>
      <c r="H14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6" s="173" t="s">
        <v>530</v>
      </c>
      <c r="J146" s="173">
        <v>2025</v>
      </c>
      <c r="K146" s="121" t="s">
        <v>3</v>
      </c>
      <c r="L146" s="121" t="s">
        <v>4</v>
      </c>
      <c r="M146" s="121" t="s">
        <v>3</v>
      </c>
      <c r="N146" s="121" t="s">
        <v>2</v>
      </c>
      <c r="O146" s="121" t="s">
        <v>4</v>
      </c>
      <c r="P146" s="121"/>
      <c r="Q146" s="121" t="s">
        <v>4</v>
      </c>
      <c r="R146" s="121" t="s">
        <v>4</v>
      </c>
      <c r="S146" s="121" t="s">
        <v>4</v>
      </c>
      <c r="T146" s="121" t="s">
        <v>4</v>
      </c>
      <c r="U146" s="121"/>
      <c r="V146" s="121"/>
      <c r="W146" s="121"/>
      <c r="X146" s="121" t="s">
        <v>3</v>
      </c>
      <c r="Y146" s="121" t="s">
        <v>663</v>
      </c>
      <c r="Z146" s="122"/>
      <c r="AA146" s="119">
        <f>COUNTIF(tblF42023[[#This Row],[CIV]:[BIBLE]],"A")</f>
        <v>1</v>
      </c>
      <c r="AB146" s="119">
        <v>16</v>
      </c>
      <c r="AC146" s="119" t="s">
        <v>10</v>
      </c>
      <c r="AD146" s="120">
        <v>7</v>
      </c>
      <c r="AE146" s="173">
        <v>8</v>
      </c>
      <c r="AF146" s="173" t="s">
        <v>661</v>
      </c>
      <c r="AG146" s="173">
        <v>9</v>
      </c>
      <c r="AH146" s="173">
        <v>8</v>
      </c>
      <c r="AI146" s="173">
        <v>6</v>
      </c>
      <c r="AJ146" s="173">
        <v>8</v>
      </c>
      <c r="AK146" s="173">
        <v>9</v>
      </c>
      <c r="AL146" s="173" t="s">
        <v>661</v>
      </c>
      <c r="AM146" s="173" t="s">
        <v>661</v>
      </c>
      <c r="AN146" s="173" t="s">
        <v>661</v>
      </c>
      <c r="AO146" s="173" t="s">
        <v>661</v>
      </c>
      <c r="AP14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4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4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46" s="173" t="s">
        <v>992</v>
      </c>
      <c r="AU14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4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4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4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4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7" spans="1:53" x14ac:dyDescent="0.3">
      <c r="A147" s="173" t="s">
        <v>712</v>
      </c>
      <c r="B147" s="173"/>
      <c r="C147" s="171" t="s">
        <v>109</v>
      </c>
      <c r="D147" s="172" t="s">
        <v>8</v>
      </c>
      <c r="E147" s="172" t="s">
        <v>42</v>
      </c>
      <c r="F147" s="117" t="str">
        <f>_xlfn.XLOOKUP(tblF42023[[#This Row],[FULL_NAME]],F6Results_2026[Full_Name],F6Results_2026[Comb],"",0,1)</f>
        <v>HGK</v>
      </c>
      <c r="G147" s="117"/>
      <c r="H14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7" s="173" t="s">
        <v>530</v>
      </c>
      <c r="J147" s="173">
        <v>2025</v>
      </c>
      <c r="K147" s="121" t="s">
        <v>4</v>
      </c>
      <c r="L147" s="121" t="s">
        <v>4</v>
      </c>
      <c r="M147" s="121" t="s">
        <v>4</v>
      </c>
      <c r="N147" s="121" t="s">
        <v>3</v>
      </c>
      <c r="O147" s="121" t="s">
        <v>4</v>
      </c>
      <c r="P147" s="121"/>
      <c r="Q147" s="121" t="s">
        <v>5</v>
      </c>
      <c r="R147" s="121" t="s">
        <v>4</v>
      </c>
      <c r="S147" s="121"/>
      <c r="T147" s="121" t="s">
        <v>4</v>
      </c>
      <c r="U147" s="121"/>
      <c r="V147" s="121"/>
      <c r="W147" s="121"/>
      <c r="X147" s="121" t="s">
        <v>3</v>
      </c>
      <c r="Y147" s="121" t="s">
        <v>663</v>
      </c>
      <c r="Z147" s="122" t="s">
        <v>2</v>
      </c>
      <c r="AA147" s="119">
        <f>COUNTIF(tblF42023[[#This Row],[CIV]:[BIBLE]],"A")</f>
        <v>1</v>
      </c>
      <c r="AB147" s="119">
        <v>17</v>
      </c>
      <c r="AC147" s="119" t="s">
        <v>10</v>
      </c>
      <c r="AD147" s="120">
        <v>8</v>
      </c>
      <c r="AE147" s="173">
        <v>9</v>
      </c>
      <c r="AF147" s="173" t="s">
        <v>661</v>
      </c>
      <c r="AG147" s="173" t="s">
        <v>661</v>
      </c>
      <c r="AH147" s="173">
        <v>9</v>
      </c>
      <c r="AI147" s="173">
        <v>8</v>
      </c>
      <c r="AJ147" s="173">
        <v>9</v>
      </c>
      <c r="AK147" s="173">
        <v>10</v>
      </c>
      <c r="AL147" s="173" t="s">
        <v>661</v>
      </c>
      <c r="AM147" s="173" t="s">
        <v>661</v>
      </c>
      <c r="AN147" s="173" t="s">
        <v>661</v>
      </c>
      <c r="AO147" s="173" t="s">
        <v>661</v>
      </c>
      <c r="AP14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4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4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7" s="173" t="s">
        <v>992</v>
      </c>
      <c r="AU14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4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4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4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4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8" spans="1:53" x14ac:dyDescent="0.3">
      <c r="A148" s="173" t="s">
        <v>713</v>
      </c>
      <c r="B148" s="173"/>
      <c r="C148" s="171" t="s">
        <v>312</v>
      </c>
      <c r="D148" s="172" t="s">
        <v>8</v>
      </c>
      <c r="E148" s="172" t="s">
        <v>42</v>
      </c>
      <c r="F148" s="117" t="str">
        <f>_xlfn.XLOOKUP(tblF42023[[#This Row],[FULL_NAME]],F6Results_2026[Full_Name],F6Results_2026[Comb],"",0,1)</f>
        <v>ECA</v>
      </c>
      <c r="G148" s="117"/>
      <c r="H14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8" s="173" t="s">
        <v>530</v>
      </c>
      <c r="J148" s="173">
        <v>2025</v>
      </c>
      <c r="K148" s="173" t="s">
        <v>2</v>
      </c>
      <c r="L148" s="173" t="s">
        <v>2</v>
      </c>
      <c r="M148" s="173" t="s">
        <v>2</v>
      </c>
      <c r="N148" s="173" t="s">
        <v>2</v>
      </c>
      <c r="O148" s="173" t="s">
        <v>2</v>
      </c>
      <c r="P148" s="173"/>
      <c r="Q148" s="173" t="s">
        <v>2</v>
      </c>
      <c r="R148" s="173" t="s">
        <v>2</v>
      </c>
      <c r="S148" s="173"/>
      <c r="T148" s="173" t="s">
        <v>2</v>
      </c>
      <c r="U148" s="173"/>
      <c r="V148" s="173"/>
      <c r="W148" s="173"/>
      <c r="X148" s="173" t="s">
        <v>2</v>
      </c>
      <c r="Y148" s="173" t="s">
        <v>663</v>
      </c>
      <c r="Z148" s="118" t="s">
        <v>2</v>
      </c>
      <c r="AA148" s="119">
        <f>COUNTIF(tblF42023[[#This Row],[CIV]:[BIBLE]],"A")</f>
        <v>10</v>
      </c>
      <c r="AB148" s="119">
        <v>7</v>
      </c>
      <c r="AC148" s="119" t="s">
        <v>10</v>
      </c>
      <c r="AD148" s="120">
        <v>3</v>
      </c>
      <c r="AE148" s="173">
        <v>3</v>
      </c>
      <c r="AF148" s="173" t="s">
        <v>661</v>
      </c>
      <c r="AG148" s="173" t="s">
        <v>661</v>
      </c>
      <c r="AH148" s="173">
        <v>3</v>
      </c>
      <c r="AI148" s="173">
        <v>3</v>
      </c>
      <c r="AJ148" s="173">
        <v>3</v>
      </c>
      <c r="AK148" s="173">
        <v>3</v>
      </c>
      <c r="AL148" s="173" t="s">
        <v>661</v>
      </c>
      <c r="AM148" s="173" t="s">
        <v>661</v>
      </c>
      <c r="AN148" s="173" t="s">
        <v>661</v>
      </c>
      <c r="AO148" s="173" t="s">
        <v>661</v>
      </c>
      <c r="AP14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4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4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8" s="173" t="s">
        <v>991</v>
      </c>
      <c r="AU14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4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4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Y</v>
      </c>
      <c r="AX14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4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4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49" spans="1:53" x14ac:dyDescent="0.3">
      <c r="A149" s="173" t="s">
        <v>714</v>
      </c>
      <c r="B149" s="173"/>
      <c r="C149" s="171"/>
      <c r="D149" s="172" t="s">
        <v>8</v>
      </c>
      <c r="E149" s="172" t="s">
        <v>42</v>
      </c>
      <c r="F149" s="117" t="str">
        <f>_xlfn.XLOOKUP(tblF42023[[#This Row],[FULL_NAME]],F6Results_2026[Full_Name],F6Results_2026[Comb],"",0,1)</f>
        <v/>
      </c>
      <c r="G149" s="117"/>
      <c r="H14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49" s="173" t="s">
        <v>530</v>
      </c>
      <c r="J149" s="173">
        <v>2025</v>
      </c>
      <c r="K149" s="121" t="s">
        <v>2</v>
      </c>
      <c r="L149" s="121" t="s">
        <v>4</v>
      </c>
      <c r="M149" s="121" t="s">
        <v>4</v>
      </c>
      <c r="N149" s="121" t="s">
        <v>2</v>
      </c>
      <c r="O149" s="121" t="s">
        <v>2</v>
      </c>
      <c r="P149" s="121"/>
      <c r="Q149" s="121"/>
      <c r="R149" s="121"/>
      <c r="S149" s="121"/>
      <c r="T149" s="121" t="s">
        <v>4</v>
      </c>
      <c r="U149" s="121"/>
      <c r="V149" s="121"/>
      <c r="W149" s="121" t="s">
        <v>3</v>
      </c>
      <c r="X149" s="121" t="s">
        <v>2</v>
      </c>
      <c r="Y149" s="121" t="s">
        <v>5</v>
      </c>
      <c r="Z149" s="122" t="s">
        <v>2</v>
      </c>
      <c r="AA149" s="119">
        <f>COUNTIF(tblF42023[[#This Row],[CIV]:[BIBLE]],"A")</f>
        <v>5</v>
      </c>
      <c r="AB149" s="119">
        <v>10</v>
      </c>
      <c r="AC149" s="119" t="s">
        <v>10</v>
      </c>
      <c r="AD149" s="120">
        <v>5</v>
      </c>
      <c r="AE149" s="173">
        <v>9</v>
      </c>
      <c r="AF149" s="173">
        <v>6</v>
      </c>
      <c r="AG149" s="173" t="s">
        <v>661</v>
      </c>
      <c r="AH149" s="173">
        <v>7</v>
      </c>
      <c r="AI149" s="173">
        <v>7</v>
      </c>
      <c r="AJ149" s="173">
        <v>9</v>
      </c>
      <c r="AK149" s="173" t="s">
        <v>661</v>
      </c>
      <c r="AL149" s="173">
        <v>7</v>
      </c>
      <c r="AM149" s="173">
        <v>9</v>
      </c>
      <c r="AN149" s="173" t="s">
        <v>661</v>
      </c>
      <c r="AO149" s="173" t="s">
        <v>661</v>
      </c>
      <c r="AP14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4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4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4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49" s="173" t="s">
        <v>992</v>
      </c>
      <c r="AU14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4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4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4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4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4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4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0" spans="1:53" x14ac:dyDescent="0.3">
      <c r="A150" s="173" t="s">
        <v>715</v>
      </c>
      <c r="B150" s="173"/>
      <c r="C150" s="171" t="s">
        <v>57</v>
      </c>
      <c r="D150" s="172" t="s">
        <v>8</v>
      </c>
      <c r="E150" s="172" t="s">
        <v>42</v>
      </c>
      <c r="F150" s="117" t="str">
        <f>_xlfn.XLOOKUP(tblF42023[[#This Row],[FULL_NAME]],F6Results_2026[Full_Name],F6Results_2026[Comb],"",0,1)</f>
        <v>HGL</v>
      </c>
      <c r="G150" s="117"/>
      <c r="H15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0" s="173" t="s">
        <v>530</v>
      </c>
      <c r="J150" s="173">
        <v>2025</v>
      </c>
      <c r="K150" s="121" t="s">
        <v>3</v>
      </c>
      <c r="L150" s="121" t="s">
        <v>3</v>
      </c>
      <c r="M150" s="121" t="s">
        <v>3</v>
      </c>
      <c r="N150" s="121" t="s">
        <v>3</v>
      </c>
      <c r="O150" s="121" t="s">
        <v>2</v>
      </c>
      <c r="P150" s="121"/>
      <c r="Q150" s="121" t="s">
        <v>4</v>
      </c>
      <c r="R150" s="121" t="s">
        <v>4</v>
      </c>
      <c r="S150" s="121" t="s">
        <v>3</v>
      </c>
      <c r="T150" s="121" t="s">
        <v>4</v>
      </c>
      <c r="U150" s="121"/>
      <c r="V150" s="121"/>
      <c r="W150" s="121"/>
      <c r="X150" s="121" t="s">
        <v>3</v>
      </c>
      <c r="Y150" s="121" t="s">
        <v>663</v>
      </c>
      <c r="Z150" s="122"/>
      <c r="AA150" s="119">
        <f>COUNTIF(tblF42023[[#This Row],[CIV]:[BIBLE]],"A")</f>
        <v>1</v>
      </c>
      <c r="AB150" s="119">
        <v>13</v>
      </c>
      <c r="AC150" s="119" t="s">
        <v>10</v>
      </c>
      <c r="AD150" s="120">
        <v>5</v>
      </c>
      <c r="AE150" s="173">
        <v>7</v>
      </c>
      <c r="AF150" s="173" t="s">
        <v>661</v>
      </c>
      <c r="AG150" s="173">
        <v>8</v>
      </c>
      <c r="AH150" s="173">
        <v>5</v>
      </c>
      <c r="AI150" s="173">
        <v>6</v>
      </c>
      <c r="AJ150" s="173">
        <v>8</v>
      </c>
      <c r="AK150" s="173">
        <v>9</v>
      </c>
      <c r="AL150" s="173" t="s">
        <v>661</v>
      </c>
      <c r="AM150" s="173" t="s">
        <v>661</v>
      </c>
      <c r="AN150" s="173" t="s">
        <v>661</v>
      </c>
      <c r="AO150" s="173" t="s">
        <v>661</v>
      </c>
      <c r="AP15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5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50" s="173" t="s">
        <v>991</v>
      </c>
      <c r="AU15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5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1" spans="1:53" x14ac:dyDescent="0.3">
      <c r="A151" s="173" t="s">
        <v>716</v>
      </c>
      <c r="B151" s="173"/>
      <c r="C151" s="171"/>
      <c r="D151" s="172" t="s">
        <v>8</v>
      </c>
      <c r="E151" s="172" t="s">
        <v>42</v>
      </c>
      <c r="F151" s="117" t="str">
        <f>_xlfn.XLOOKUP(tblF42023[[#This Row],[FULL_NAME]],F6Results_2026[Full_Name],F6Results_2026[Comb],"",0,1)</f>
        <v/>
      </c>
      <c r="G151" s="117"/>
      <c r="H15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1" s="173" t="s">
        <v>530</v>
      </c>
      <c r="J151" s="173">
        <v>2025</v>
      </c>
      <c r="K151" s="121" t="s">
        <v>3</v>
      </c>
      <c r="L151" s="121" t="s">
        <v>4</v>
      </c>
      <c r="M151" s="121" t="s">
        <v>4</v>
      </c>
      <c r="N151" s="121" t="s">
        <v>2</v>
      </c>
      <c r="O151" s="121" t="s">
        <v>3</v>
      </c>
      <c r="P151" s="121"/>
      <c r="Q151" s="121"/>
      <c r="R151" s="121"/>
      <c r="S151" s="121"/>
      <c r="T151" s="121" t="s">
        <v>3</v>
      </c>
      <c r="U151" s="121"/>
      <c r="V151" s="121"/>
      <c r="W151" s="121" t="s">
        <v>4</v>
      </c>
      <c r="X151" s="121" t="s">
        <v>3</v>
      </c>
      <c r="Y151" s="121" t="s">
        <v>5</v>
      </c>
      <c r="Z151" s="122" t="s">
        <v>2</v>
      </c>
      <c r="AA151" s="119">
        <f>COUNTIF(tblF42023[[#This Row],[CIV]:[BIBLE]],"A")</f>
        <v>2</v>
      </c>
      <c r="AB151" s="119">
        <v>13</v>
      </c>
      <c r="AC151" s="119" t="s">
        <v>10</v>
      </c>
      <c r="AD151" s="120">
        <v>6</v>
      </c>
      <c r="AE151" s="173">
        <v>8</v>
      </c>
      <c r="AF151" s="173">
        <v>8</v>
      </c>
      <c r="AG151" s="173" t="s">
        <v>661</v>
      </c>
      <c r="AH151" s="173">
        <v>8</v>
      </c>
      <c r="AI151" s="173">
        <v>7</v>
      </c>
      <c r="AJ151" s="173">
        <v>7</v>
      </c>
      <c r="AK151" s="173" t="s">
        <v>661</v>
      </c>
      <c r="AL151" s="173">
        <v>9</v>
      </c>
      <c r="AM151" s="173">
        <v>9</v>
      </c>
      <c r="AN151" s="173" t="s">
        <v>661</v>
      </c>
      <c r="AO151" s="173" t="s">
        <v>661</v>
      </c>
      <c r="AP15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5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N</v>
      </c>
      <c r="AS15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1" s="173" t="s">
        <v>992</v>
      </c>
      <c r="AU15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5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5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5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5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2" spans="1:53" x14ac:dyDescent="0.3">
      <c r="A152" s="173" t="s">
        <v>717</v>
      </c>
      <c r="B152" s="173"/>
      <c r="C152" s="171" t="s">
        <v>314</v>
      </c>
      <c r="D152" s="172" t="s">
        <v>8</v>
      </c>
      <c r="E152" s="172" t="s">
        <v>42</v>
      </c>
      <c r="F152" s="117" t="str">
        <f>_xlfn.XLOOKUP(tblF42023[[#This Row],[FULL_NAME]],F6Results_2026[Full_Name],F6Results_2026[Comb],"",0,1)</f>
        <v>ECA</v>
      </c>
      <c r="G152" s="117"/>
      <c r="H15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2" s="173" t="s">
        <v>530</v>
      </c>
      <c r="J152" s="173">
        <v>2025</v>
      </c>
      <c r="K152" s="121" t="s">
        <v>2</v>
      </c>
      <c r="L152" s="121" t="s">
        <v>2</v>
      </c>
      <c r="M152" s="121" t="s">
        <v>2</v>
      </c>
      <c r="N152" s="121" t="s">
        <v>2</v>
      </c>
      <c r="O152" s="121" t="s">
        <v>2</v>
      </c>
      <c r="P152" s="121"/>
      <c r="Q152" s="121" t="s">
        <v>3</v>
      </c>
      <c r="R152" s="121" t="s">
        <v>3</v>
      </c>
      <c r="S152" s="121"/>
      <c r="T152" s="121" t="s">
        <v>3</v>
      </c>
      <c r="U152" s="121"/>
      <c r="V152" s="121"/>
      <c r="W152" s="121"/>
      <c r="X152" s="121" t="s">
        <v>2</v>
      </c>
      <c r="Y152" s="121" t="s">
        <v>663</v>
      </c>
      <c r="Z152" s="122" t="s">
        <v>2</v>
      </c>
      <c r="AA152" s="119">
        <f>COUNTIF(tblF42023[[#This Row],[CIV]:[BIBLE]],"A")</f>
        <v>7</v>
      </c>
      <c r="AB152" s="119">
        <v>7</v>
      </c>
      <c r="AC152" s="119" t="s">
        <v>10</v>
      </c>
      <c r="AD152" s="120">
        <v>3</v>
      </c>
      <c r="AE152" s="173">
        <v>4</v>
      </c>
      <c r="AF152" s="173" t="s">
        <v>661</v>
      </c>
      <c r="AG152" s="173" t="s">
        <v>661</v>
      </c>
      <c r="AH152" s="173">
        <v>3</v>
      </c>
      <c r="AI152" s="173">
        <v>3</v>
      </c>
      <c r="AJ152" s="173">
        <v>5</v>
      </c>
      <c r="AK152" s="173">
        <v>6</v>
      </c>
      <c r="AL152" s="173" t="s">
        <v>661</v>
      </c>
      <c r="AM152" s="173" t="s">
        <v>661</v>
      </c>
      <c r="AN152" s="173" t="s">
        <v>661</v>
      </c>
      <c r="AO152" s="173" t="s">
        <v>661</v>
      </c>
      <c r="AP15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5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2" s="173" t="s">
        <v>991</v>
      </c>
      <c r="AU15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5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Y</v>
      </c>
      <c r="AX15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3" spans="1:53" x14ac:dyDescent="0.3">
      <c r="A153" s="173" t="s">
        <v>718</v>
      </c>
      <c r="B153" s="173"/>
      <c r="C153" s="171"/>
      <c r="D153" s="172" t="s">
        <v>8</v>
      </c>
      <c r="E153" s="172" t="s">
        <v>42</v>
      </c>
      <c r="F153" s="117" t="str">
        <f>_xlfn.XLOOKUP(tblF42023[[#This Row],[FULL_NAME]],F6Results_2026[Full_Name],F6Results_2026[Comb],"",0,1)</f>
        <v/>
      </c>
      <c r="G153" s="117"/>
      <c r="H15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3" s="173" t="s">
        <v>530</v>
      </c>
      <c r="J153" s="173">
        <v>2025</v>
      </c>
      <c r="K153" s="121" t="s">
        <v>3</v>
      </c>
      <c r="L153" s="121" t="s">
        <v>4</v>
      </c>
      <c r="M153" s="121" t="s">
        <v>3</v>
      </c>
      <c r="N153" s="121" t="s">
        <v>4</v>
      </c>
      <c r="O153" s="121" t="s">
        <v>3</v>
      </c>
      <c r="P153" s="121"/>
      <c r="Q153" s="121"/>
      <c r="R153" s="121"/>
      <c r="S153" s="121"/>
      <c r="T153" s="121" t="s">
        <v>5</v>
      </c>
      <c r="U153" s="121"/>
      <c r="V153" s="121"/>
      <c r="W153" s="121"/>
      <c r="X153" s="121" t="s">
        <v>4</v>
      </c>
      <c r="Y153" s="121" t="s">
        <v>663</v>
      </c>
      <c r="Z153" s="122" t="s">
        <v>2</v>
      </c>
      <c r="AA153" s="119">
        <f>COUNTIF(tblF42023[[#This Row],[CIV]:[BIBLE]],"A")</f>
        <v>1</v>
      </c>
      <c r="AB153" s="119">
        <v>16</v>
      </c>
      <c r="AC153" s="119" t="s">
        <v>10</v>
      </c>
      <c r="AD153" s="120">
        <v>8</v>
      </c>
      <c r="AE153" s="173">
        <v>9</v>
      </c>
      <c r="AF153" s="173" t="s">
        <v>661</v>
      </c>
      <c r="AG153" s="173" t="s">
        <v>661</v>
      </c>
      <c r="AH153" s="173">
        <v>7</v>
      </c>
      <c r="AI153" s="173">
        <v>8</v>
      </c>
      <c r="AJ153" s="173">
        <v>10</v>
      </c>
      <c r="AK153" s="173" t="s">
        <v>661</v>
      </c>
      <c r="AL153" s="173" t="s">
        <v>661</v>
      </c>
      <c r="AM153" s="173" t="s">
        <v>661</v>
      </c>
      <c r="AN153" s="173" t="s">
        <v>661</v>
      </c>
      <c r="AO153" s="173" t="s">
        <v>661</v>
      </c>
      <c r="AP15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5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5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3" s="173" t="s">
        <v>992</v>
      </c>
      <c r="AU15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5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5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4" spans="1:53" x14ac:dyDescent="0.3">
      <c r="A154" s="173" t="s">
        <v>719</v>
      </c>
      <c r="B154" s="173"/>
      <c r="C154" s="171"/>
      <c r="D154" s="172" t="s">
        <v>8</v>
      </c>
      <c r="E154" s="172" t="s">
        <v>42</v>
      </c>
      <c r="F154" s="117" t="str">
        <f>_xlfn.XLOOKUP(tblF42023[[#This Row],[FULL_NAME]],F6Results_2026[Full_Name],F6Results_2026[Comb],"",0,1)</f>
        <v/>
      </c>
      <c r="G154" s="117"/>
      <c r="H15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4" s="173" t="s">
        <v>530</v>
      </c>
      <c r="J154" s="173">
        <v>2025</v>
      </c>
      <c r="K154" s="121" t="s">
        <v>2</v>
      </c>
      <c r="L154" s="121" t="s">
        <v>3</v>
      </c>
      <c r="M154" s="121" t="s">
        <v>3</v>
      </c>
      <c r="N154" s="121" t="s">
        <v>3</v>
      </c>
      <c r="O154" s="121" t="s">
        <v>2</v>
      </c>
      <c r="P154" s="121"/>
      <c r="Q154" s="121"/>
      <c r="R154" s="121"/>
      <c r="S154" s="121"/>
      <c r="T154" s="121" t="s">
        <v>2</v>
      </c>
      <c r="U154" s="121"/>
      <c r="V154" s="121"/>
      <c r="W154" s="121" t="s">
        <v>2</v>
      </c>
      <c r="X154" s="121" t="s">
        <v>3</v>
      </c>
      <c r="Y154" s="121" t="s">
        <v>4</v>
      </c>
      <c r="Z154" s="122" t="s">
        <v>2</v>
      </c>
      <c r="AA154" s="119">
        <f>COUNTIF(tblF42023[[#This Row],[CIV]:[BIBLE]],"A")</f>
        <v>5</v>
      </c>
      <c r="AB154" s="119">
        <v>9</v>
      </c>
      <c r="AC154" s="119" t="s">
        <v>10</v>
      </c>
      <c r="AD154" s="120">
        <v>5</v>
      </c>
      <c r="AE154" s="173">
        <v>5</v>
      </c>
      <c r="AF154" s="173">
        <v>5</v>
      </c>
      <c r="AG154" s="173" t="s">
        <v>661</v>
      </c>
      <c r="AH154" s="173">
        <v>5</v>
      </c>
      <c r="AI154" s="173">
        <v>6</v>
      </c>
      <c r="AJ154" s="173">
        <v>4</v>
      </c>
      <c r="AK154" s="173" t="s">
        <v>661</v>
      </c>
      <c r="AL154" s="173">
        <v>6</v>
      </c>
      <c r="AM154" s="173">
        <v>5</v>
      </c>
      <c r="AN154" s="173" t="s">
        <v>661</v>
      </c>
      <c r="AO154" s="173" t="s">
        <v>661</v>
      </c>
      <c r="AP15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5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5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4" s="173" t="s">
        <v>991</v>
      </c>
      <c r="AU15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5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5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5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5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5" spans="1:53" x14ac:dyDescent="0.3">
      <c r="A155" s="173" t="s">
        <v>720</v>
      </c>
      <c r="B155" s="173"/>
      <c r="C155" s="171"/>
      <c r="D155" s="172" t="s">
        <v>8</v>
      </c>
      <c r="E155" s="172" t="s">
        <v>42</v>
      </c>
      <c r="F155" s="117" t="str">
        <f>_xlfn.XLOOKUP(tblF42023[[#This Row],[FULL_NAME]],F6Results_2026[Full_Name],F6Results_2026[Comb],"",0,1)</f>
        <v/>
      </c>
      <c r="G155" s="117"/>
      <c r="H15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5" s="173" t="s">
        <v>530</v>
      </c>
      <c r="J155" s="173">
        <v>2025</v>
      </c>
      <c r="K155" s="121" t="s">
        <v>3</v>
      </c>
      <c r="L155" s="121" t="s">
        <v>4</v>
      </c>
      <c r="M155" s="121" t="s">
        <v>4</v>
      </c>
      <c r="N155" s="121" t="s">
        <v>3</v>
      </c>
      <c r="O155" s="121" t="s">
        <v>4</v>
      </c>
      <c r="P155" s="121"/>
      <c r="Q155" s="121" t="s">
        <v>5</v>
      </c>
      <c r="R155" s="121" t="s">
        <v>4</v>
      </c>
      <c r="S155" s="121"/>
      <c r="T155" s="121" t="s">
        <v>5</v>
      </c>
      <c r="U155" s="121"/>
      <c r="V155" s="121"/>
      <c r="W155" s="121"/>
      <c r="X155" s="121" t="s">
        <v>4</v>
      </c>
      <c r="Y155" s="121" t="s">
        <v>663</v>
      </c>
      <c r="Z155" s="122" t="s">
        <v>2</v>
      </c>
      <c r="AA155" s="119">
        <f>COUNTIF(tblF42023[[#This Row],[CIV]:[BIBLE]],"A")</f>
        <v>1</v>
      </c>
      <c r="AB155" s="119">
        <v>17</v>
      </c>
      <c r="AC155" s="119" t="s">
        <v>10</v>
      </c>
      <c r="AD155" s="120">
        <v>8</v>
      </c>
      <c r="AE155" s="173">
        <v>10</v>
      </c>
      <c r="AF155" s="173" t="s">
        <v>661</v>
      </c>
      <c r="AG155" s="173" t="s">
        <v>661</v>
      </c>
      <c r="AH155" s="173">
        <v>9</v>
      </c>
      <c r="AI155" s="173">
        <v>8</v>
      </c>
      <c r="AJ155" s="173">
        <v>11</v>
      </c>
      <c r="AK155" s="173">
        <v>11</v>
      </c>
      <c r="AL155" s="173" t="s">
        <v>661</v>
      </c>
      <c r="AM155" s="173" t="s">
        <v>661</v>
      </c>
      <c r="AN155" s="173" t="s">
        <v>661</v>
      </c>
      <c r="AO155" s="173" t="s">
        <v>661</v>
      </c>
      <c r="AP15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5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5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5" s="173" t="s">
        <v>992</v>
      </c>
      <c r="AU15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5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5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6" spans="1:53" x14ac:dyDescent="0.3">
      <c r="A156" s="173" t="s">
        <v>721</v>
      </c>
      <c r="B156" s="173"/>
      <c r="C156" s="171"/>
      <c r="D156" s="172" t="s">
        <v>8</v>
      </c>
      <c r="E156" s="172" t="s">
        <v>42</v>
      </c>
      <c r="F156" s="117" t="str">
        <f>_xlfn.XLOOKUP(tblF42023[[#This Row],[FULL_NAME]],F6Results_2026[Full_Name],F6Results_2026[Comb],"",0,1)</f>
        <v/>
      </c>
      <c r="G156" s="117"/>
      <c r="H15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6" s="173" t="s">
        <v>530</v>
      </c>
      <c r="J156" s="173">
        <v>2025</v>
      </c>
      <c r="K156" s="121" t="s">
        <v>3</v>
      </c>
      <c r="L156" s="121" t="s">
        <v>2</v>
      </c>
      <c r="M156" s="121" t="s">
        <v>3</v>
      </c>
      <c r="N156" s="121" t="s">
        <v>2</v>
      </c>
      <c r="O156" s="121" t="s">
        <v>2</v>
      </c>
      <c r="P156" s="121"/>
      <c r="Q156" s="121"/>
      <c r="R156" s="121"/>
      <c r="S156" s="121" t="s">
        <v>2</v>
      </c>
      <c r="T156" s="121" t="s">
        <v>4</v>
      </c>
      <c r="U156" s="121"/>
      <c r="V156" s="121"/>
      <c r="W156" s="121" t="s">
        <v>2</v>
      </c>
      <c r="X156" s="121" t="s">
        <v>3</v>
      </c>
      <c r="Y156" s="121" t="s">
        <v>4</v>
      </c>
      <c r="Z156" s="122"/>
      <c r="AA156" s="119">
        <f>COUNTIF(tblF42023[[#This Row],[CIV]:[BIBLE]],"A")</f>
        <v>5</v>
      </c>
      <c r="AB156" s="119">
        <v>9</v>
      </c>
      <c r="AC156" s="119" t="s">
        <v>10</v>
      </c>
      <c r="AD156" s="120">
        <v>3</v>
      </c>
      <c r="AE156" s="173">
        <v>6</v>
      </c>
      <c r="AF156" s="173">
        <v>5</v>
      </c>
      <c r="AG156" s="173">
        <v>7</v>
      </c>
      <c r="AH156" s="173">
        <v>4</v>
      </c>
      <c r="AI156" s="173">
        <v>4</v>
      </c>
      <c r="AJ156" s="173">
        <v>8</v>
      </c>
      <c r="AK156" s="173" t="s">
        <v>661</v>
      </c>
      <c r="AL156" s="173">
        <v>6</v>
      </c>
      <c r="AM156" s="173">
        <v>7</v>
      </c>
      <c r="AN156" s="173">
        <v>7</v>
      </c>
      <c r="AO156" s="173" t="s">
        <v>661</v>
      </c>
      <c r="AP15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5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5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56" s="173" t="s">
        <v>991</v>
      </c>
      <c r="AU15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5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5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5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5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7" spans="1:53" x14ac:dyDescent="0.3">
      <c r="A157" s="173" t="s">
        <v>722</v>
      </c>
      <c r="B157" s="173"/>
      <c r="C157" s="171" t="s">
        <v>336</v>
      </c>
      <c r="D157" s="172" t="s">
        <v>8</v>
      </c>
      <c r="E157" s="172" t="s">
        <v>42</v>
      </c>
      <c r="F157" s="117" t="str">
        <f>_xlfn.XLOOKUP(tblF42023[[#This Row],[FULL_NAME]],F6Results_2026[Full_Name],F6Results_2026[Comb],"",0,1)</f>
        <v>PMCs</v>
      </c>
      <c r="G157" s="117"/>
      <c r="H15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7" s="173" t="s">
        <v>530</v>
      </c>
      <c r="J157" s="173">
        <v>2025</v>
      </c>
      <c r="K157" s="121" t="s">
        <v>3</v>
      </c>
      <c r="L157" s="121" t="s">
        <v>2</v>
      </c>
      <c r="M157" s="121" t="s">
        <v>3</v>
      </c>
      <c r="N157" s="121" t="s">
        <v>2</v>
      </c>
      <c r="O157" s="121" t="s">
        <v>3</v>
      </c>
      <c r="P157" s="121"/>
      <c r="Q157" s="121"/>
      <c r="R157" s="121"/>
      <c r="S157" s="121" t="s">
        <v>3</v>
      </c>
      <c r="T157" s="121" t="s">
        <v>3</v>
      </c>
      <c r="U157" s="121"/>
      <c r="V157" s="121"/>
      <c r="W157" s="121" t="s">
        <v>2</v>
      </c>
      <c r="X157" s="121" t="s">
        <v>2</v>
      </c>
      <c r="Y157" s="121" t="s">
        <v>4</v>
      </c>
      <c r="Z157" s="122"/>
      <c r="AA157" s="119">
        <f>COUNTIF(tblF42023[[#This Row],[CIV]:[BIBLE]],"A")</f>
        <v>4</v>
      </c>
      <c r="AB157" s="119">
        <v>10</v>
      </c>
      <c r="AC157" s="119" t="s">
        <v>10</v>
      </c>
      <c r="AD157" s="120">
        <v>4</v>
      </c>
      <c r="AE157" s="173">
        <v>5</v>
      </c>
      <c r="AF157" s="173">
        <v>4</v>
      </c>
      <c r="AG157" s="173">
        <v>6</v>
      </c>
      <c r="AH157" s="173">
        <v>5</v>
      </c>
      <c r="AI157" s="173">
        <v>4</v>
      </c>
      <c r="AJ157" s="173">
        <v>6</v>
      </c>
      <c r="AK157" s="173" t="s">
        <v>661</v>
      </c>
      <c r="AL157" s="173">
        <v>5</v>
      </c>
      <c r="AM157" s="173">
        <v>6</v>
      </c>
      <c r="AN157" s="173">
        <v>7</v>
      </c>
      <c r="AO157" s="173" t="s">
        <v>661</v>
      </c>
      <c r="AP15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5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5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57" s="173" t="s">
        <v>991</v>
      </c>
      <c r="AU15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5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5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5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5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5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8" spans="1:53" x14ac:dyDescent="0.3">
      <c r="A158" s="173" t="s">
        <v>723</v>
      </c>
      <c r="B158" s="173"/>
      <c r="C158" s="171" t="s">
        <v>111</v>
      </c>
      <c r="D158" s="172" t="s">
        <v>8</v>
      </c>
      <c r="E158" s="172" t="s">
        <v>42</v>
      </c>
      <c r="F158" s="117" t="str">
        <f>_xlfn.XLOOKUP(tblF42023[[#This Row],[FULL_NAME]],F6Results_2026[Full_Name],F6Results_2026[Comb],"",0,1)</f>
        <v>HGK</v>
      </c>
      <c r="G158" s="117"/>
      <c r="H15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8" s="173" t="s">
        <v>530</v>
      </c>
      <c r="J158" s="173">
        <v>2025</v>
      </c>
      <c r="K158" s="121" t="s">
        <v>3</v>
      </c>
      <c r="L158" s="121" t="s">
        <v>3</v>
      </c>
      <c r="M158" s="121" t="s">
        <v>3</v>
      </c>
      <c r="N158" s="121" t="s">
        <v>2</v>
      </c>
      <c r="O158" s="121" t="s">
        <v>3</v>
      </c>
      <c r="P158" s="121"/>
      <c r="Q158" s="121" t="s">
        <v>4</v>
      </c>
      <c r="R158" s="121" t="s">
        <v>4</v>
      </c>
      <c r="S158" s="121"/>
      <c r="T158" s="121" t="s">
        <v>4</v>
      </c>
      <c r="U158" s="121"/>
      <c r="V158" s="121"/>
      <c r="W158" s="121"/>
      <c r="X158" s="121" t="s">
        <v>4</v>
      </c>
      <c r="Y158" s="121" t="s">
        <v>663</v>
      </c>
      <c r="Z158" s="122" t="s">
        <v>2</v>
      </c>
      <c r="AA158" s="119">
        <f>COUNTIF(tblF42023[[#This Row],[CIV]:[BIBLE]],"A")</f>
        <v>2</v>
      </c>
      <c r="AB158" s="119">
        <v>13</v>
      </c>
      <c r="AC158" s="119" t="s">
        <v>10</v>
      </c>
      <c r="AD158" s="120">
        <v>5</v>
      </c>
      <c r="AE158" s="173">
        <v>7</v>
      </c>
      <c r="AF158" s="173" t="s">
        <v>661</v>
      </c>
      <c r="AG158" s="173" t="s">
        <v>661</v>
      </c>
      <c r="AH158" s="173">
        <v>6</v>
      </c>
      <c r="AI158" s="173">
        <v>5</v>
      </c>
      <c r="AJ158" s="173">
        <v>8</v>
      </c>
      <c r="AK158" s="173">
        <v>9</v>
      </c>
      <c r="AL158" s="173" t="s">
        <v>661</v>
      </c>
      <c r="AM158" s="173" t="s">
        <v>661</v>
      </c>
      <c r="AN158" s="173" t="s">
        <v>661</v>
      </c>
      <c r="AO158" s="173" t="s">
        <v>661</v>
      </c>
      <c r="AP15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5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8" s="173" t="s">
        <v>991</v>
      </c>
      <c r="AU15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5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59" spans="1:53" x14ac:dyDescent="0.3">
      <c r="A159" s="173" t="s">
        <v>724</v>
      </c>
      <c r="B159" s="173"/>
      <c r="C159" s="171" t="s">
        <v>59</v>
      </c>
      <c r="D159" s="172" t="s">
        <v>8</v>
      </c>
      <c r="E159" s="172" t="s">
        <v>42</v>
      </c>
      <c r="F159" s="117" t="str">
        <f>_xlfn.XLOOKUP(tblF42023[[#This Row],[FULL_NAME]],F6Results_2026[Full_Name],F6Results_2026[Comb],"",0,1)</f>
        <v>HGL</v>
      </c>
      <c r="G159" s="117"/>
      <c r="H15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59" s="173" t="s">
        <v>530</v>
      </c>
      <c r="J159" s="173">
        <v>2025</v>
      </c>
      <c r="K159" s="121" t="s">
        <v>3</v>
      </c>
      <c r="L159" s="121" t="s">
        <v>2</v>
      </c>
      <c r="M159" s="121" t="s">
        <v>3</v>
      </c>
      <c r="N159" s="121" t="s">
        <v>4</v>
      </c>
      <c r="O159" s="121" t="s">
        <v>3</v>
      </c>
      <c r="P159" s="121"/>
      <c r="Q159" s="121" t="s">
        <v>4</v>
      </c>
      <c r="R159" s="121" t="s">
        <v>4</v>
      </c>
      <c r="S159" s="121"/>
      <c r="T159" s="121" t="s">
        <v>5</v>
      </c>
      <c r="U159" s="121"/>
      <c r="V159" s="121"/>
      <c r="W159" s="121"/>
      <c r="X159" s="121" t="s">
        <v>3</v>
      </c>
      <c r="Y159" s="121" t="s">
        <v>663</v>
      </c>
      <c r="Z159" s="122" t="s">
        <v>2</v>
      </c>
      <c r="AA159" s="119">
        <f>COUNTIF(tblF42023[[#This Row],[CIV]:[BIBLE]],"A")</f>
        <v>2</v>
      </c>
      <c r="AB159" s="119">
        <v>13</v>
      </c>
      <c r="AC159" s="119" t="s">
        <v>10</v>
      </c>
      <c r="AD159" s="120">
        <v>6</v>
      </c>
      <c r="AE159" s="173">
        <v>7</v>
      </c>
      <c r="AF159" s="173" t="s">
        <v>661</v>
      </c>
      <c r="AG159" s="173" t="s">
        <v>661</v>
      </c>
      <c r="AH159" s="173">
        <v>5</v>
      </c>
      <c r="AI159" s="173">
        <v>6</v>
      </c>
      <c r="AJ159" s="173">
        <v>10</v>
      </c>
      <c r="AK159" s="173">
        <v>10</v>
      </c>
      <c r="AL159" s="173" t="s">
        <v>661</v>
      </c>
      <c r="AM159" s="173" t="s">
        <v>661</v>
      </c>
      <c r="AN159" s="173" t="s">
        <v>661</v>
      </c>
      <c r="AO159" s="173" t="s">
        <v>661</v>
      </c>
      <c r="AP15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5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5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5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59" s="173" t="s">
        <v>991</v>
      </c>
      <c r="AU15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5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5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5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5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5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5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0" spans="1:53" x14ac:dyDescent="0.3">
      <c r="A160" s="173" t="s">
        <v>725</v>
      </c>
      <c r="B160" s="173"/>
      <c r="C160" s="171" t="s">
        <v>113</v>
      </c>
      <c r="D160" s="172" t="s">
        <v>8</v>
      </c>
      <c r="E160" s="172" t="s">
        <v>42</v>
      </c>
      <c r="F160" s="117" t="str">
        <f>_xlfn.XLOOKUP(tblF42023[[#This Row],[FULL_NAME]],F6Results_2026[Full_Name],F6Results_2026[Comb],"",0,1)</f>
        <v>HGK</v>
      </c>
      <c r="G160" s="117"/>
      <c r="H16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0" s="173" t="s">
        <v>530</v>
      </c>
      <c r="J160" s="173">
        <v>2025</v>
      </c>
      <c r="K160" s="121" t="s">
        <v>2</v>
      </c>
      <c r="L160" s="121" t="s">
        <v>3</v>
      </c>
      <c r="M160" s="121" t="s">
        <v>4</v>
      </c>
      <c r="N160" s="121" t="s">
        <v>2</v>
      </c>
      <c r="O160" s="121" t="s">
        <v>3</v>
      </c>
      <c r="P160" s="121"/>
      <c r="Q160" s="121"/>
      <c r="R160" s="121"/>
      <c r="S160" s="121"/>
      <c r="T160" s="121" t="s">
        <v>4</v>
      </c>
      <c r="U160" s="121"/>
      <c r="V160" s="121"/>
      <c r="W160" s="121" t="s">
        <v>3</v>
      </c>
      <c r="X160" s="121" t="s">
        <v>3</v>
      </c>
      <c r="Y160" s="121" t="s">
        <v>5</v>
      </c>
      <c r="Z160" s="122" t="s">
        <v>2</v>
      </c>
      <c r="AA160" s="119">
        <f>COUNTIF(tblF42023[[#This Row],[CIV]:[BIBLE]],"A")</f>
        <v>3</v>
      </c>
      <c r="AB160" s="119">
        <v>11</v>
      </c>
      <c r="AC160" s="119" t="s">
        <v>10</v>
      </c>
      <c r="AD160" s="120">
        <v>5</v>
      </c>
      <c r="AE160" s="173">
        <v>8</v>
      </c>
      <c r="AF160" s="173">
        <v>7</v>
      </c>
      <c r="AG160" s="173" t="s">
        <v>661</v>
      </c>
      <c r="AH160" s="173">
        <v>7</v>
      </c>
      <c r="AI160" s="173">
        <v>6</v>
      </c>
      <c r="AJ160" s="173">
        <v>9</v>
      </c>
      <c r="AK160" s="173" t="s">
        <v>661</v>
      </c>
      <c r="AL160" s="173">
        <v>8</v>
      </c>
      <c r="AM160" s="173">
        <v>9</v>
      </c>
      <c r="AN160" s="173" t="s">
        <v>661</v>
      </c>
      <c r="AO160" s="173" t="s">
        <v>661</v>
      </c>
      <c r="AP16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6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0" s="173" t="s">
        <v>992</v>
      </c>
      <c r="AU16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6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6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6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1" spans="1:53" x14ac:dyDescent="0.3">
      <c r="A161" s="173" t="s">
        <v>726</v>
      </c>
      <c r="B161" s="173"/>
      <c r="C161" s="171" t="s">
        <v>61</v>
      </c>
      <c r="D161" s="172" t="s">
        <v>8</v>
      </c>
      <c r="E161" s="172" t="s">
        <v>42</v>
      </c>
      <c r="F161" s="117" t="str">
        <f>_xlfn.XLOOKUP(tblF42023[[#This Row],[FULL_NAME]],F6Results_2026[Full_Name],F6Results_2026[Comb],"",0,1)</f>
        <v>HGL</v>
      </c>
      <c r="G161" s="117"/>
      <c r="H16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1" s="173" t="s">
        <v>530</v>
      </c>
      <c r="J161" s="173">
        <v>2025</v>
      </c>
      <c r="K161" s="121" t="s">
        <v>2</v>
      </c>
      <c r="L161" s="121" t="s">
        <v>2</v>
      </c>
      <c r="M161" s="121" t="s">
        <v>3</v>
      </c>
      <c r="N161" s="121" t="s">
        <v>2</v>
      </c>
      <c r="O161" s="121" t="s">
        <v>2</v>
      </c>
      <c r="P161" s="121"/>
      <c r="Q161" s="121"/>
      <c r="R161" s="121"/>
      <c r="S161" s="121"/>
      <c r="T161" s="121" t="s">
        <v>4</v>
      </c>
      <c r="U161" s="121"/>
      <c r="V161" s="121"/>
      <c r="W161" s="121" t="s">
        <v>2</v>
      </c>
      <c r="X161" s="121" t="s">
        <v>2</v>
      </c>
      <c r="Y161" s="121" t="s">
        <v>4</v>
      </c>
      <c r="Z161" s="122" t="s">
        <v>2</v>
      </c>
      <c r="AA161" s="119">
        <f>COUNTIF(tblF42023[[#This Row],[CIV]:[BIBLE]],"A")</f>
        <v>7</v>
      </c>
      <c r="AB161" s="119">
        <v>7</v>
      </c>
      <c r="AC161" s="119" t="s">
        <v>10</v>
      </c>
      <c r="AD161" s="120">
        <v>3</v>
      </c>
      <c r="AE161" s="173">
        <v>6</v>
      </c>
      <c r="AF161" s="173">
        <v>4</v>
      </c>
      <c r="AG161" s="173" t="s">
        <v>661</v>
      </c>
      <c r="AH161" s="173">
        <v>4</v>
      </c>
      <c r="AI161" s="173">
        <v>4</v>
      </c>
      <c r="AJ161" s="173">
        <v>8</v>
      </c>
      <c r="AK161" s="173" t="s">
        <v>661</v>
      </c>
      <c r="AL161" s="173">
        <v>5</v>
      </c>
      <c r="AM161" s="173">
        <v>7</v>
      </c>
      <c r="AN161" s="173" t="s">
        <v>661</v>
      </c>
      <c r="AO161" s="173" t="s">
        <v>661</v>
      </c>
      <c r="AP16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1" s="173" t="s">
        <v>991</v>
      </c>
      <c r="AU16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6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6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6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2" spans="1:53" x14ac:dyDescent="0.3">
      <c r="A162" s="173" t="s">
        <v>727</v>
      </c>
      <c r="B162" s="173"/>
      <c r="C162" s="171" t="s">
        <v>256</v>
      </c>
      <c r="D162" s="172" t="s">
        <v>8</v>
      </c>
      <c r="E162" s="172" t="s">
        <v>42</v>
      </c>
      <c r="F162" s="117" t="str">
        <f>_xlfn.XLOOKUP(tblF42023[[#This Row],[FULL_NAME]],F6Results_2026[Full_Name],F6Results_2026[Comb],"",0,1)</f>
        <v>PCB</v>
      </c>
      <c r="G162" s="117"/>
      <c r="H16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2" s="173" t="s">
        <v>530</v>
      </c>
      <c r="J162" s="173">
        <v>2025</v>
      </c>
      <c r="K162" s="121" t="s">
        <v>2</v>
      </c>
      <c r="L162" s="121" t="s">
        <v>3</v>
      </c>
      <c r="M162" s="121" t="s">
        <v>2</v>
      </c>
      <c r="N162" s="121" t="s">
        <v>2</v>
      </c>
      <c r="O162" s="121" t="s">
        <v>2</v>
      </c>
      <c r="P162" s="121"/>
      <c r="Q162" s="121"/>
      <c r="R162" s="121"/>
      <c r="S162" s="121" t="s">
        <v>3</v>
      </c>
      <c r="T162" s="121" t="s">
        <v>3</v>
      </c>
      <c r="U162" s="121"/>
      <c r="V162" s="121"/>
      <c r="W162" s="121" t="s">
        <v>2</v>
      </c>
      <c r="X162" s="121" t="s">
        <v>2</v>
      </c>
      <c r="Y162" s="121" t="s">
        <v>4</v>
      </c>
      <c r="Z162" s="122"/>
      <c r="AA162" s="119">
        <f>COUNTIF(tblF42023[[#This Row],[CIV]:[BIBLE]],"A")</f>
        <v>6</v>
      </c>
      <c r="AB162" s="119">
        <v>8</v>
      </c>
      <c r="AC162" s="119" t="s">
        <v>10</v>
      </c>
      <c r="AD162" s="120">
        <v>4</v>
      </c>
      <c r="AE162" s="173">
        <v>5</v>
      </c>
      <c r="AF162" s="173">
        <v>3</v>
      </c>
      <c r="AG162" s="173">
        <v>6</v>
      </c>
      <c r="AH162" s="173">
        <v>4</v>
      </c>
      <c r="AI162" s="173">
        <v>4</v>
      </c>
      <c r="AJ162" s="173">
        <v>5</v>
      </c>
      <c r="AK162" s="173" t="s">
        <v>661</v>
      </c>
      <c r="AL162" s="173">
        <v>5</v>
      </c>
      <c r="AM162" s="173">
        <v>6</v>
      </c>
      <c r="AN162" s="173">
        <v>7</v>
      </c>
      <c r="AO162" s="173" t="s">
        <v>661</v>
      </c>
      <c r="AP16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62" s="173" t="s">
        <v>991</v>
      </c>
      <c r="AU16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6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6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6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6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3" spans="1:53" x14ac:dyDescent="0.3">
      <c r="A163" s="173" t="s">
        <v>728</v>
      </c>
      <c r="B163" s="173"/>
      <c r="C163" s="171"/>
      <c r="D163" s="172" t="s">
        <v>8</v>
      </c>
      <c r="E163" s="172" t="s">
        <v>42</v>
      </c>
      <c r="F163" s="117" t="str">
        <f>_xlfn.XLOOKUP(tblF42023[[#This Row],[FULL_NAME]],F6Results_2026[Full_Name],F6Results_2026[Comb],"",0,1)</f>
        <v/>
      </c>
      <c r="G163" s="117"/>
      <c r="H16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3" s="173" t="s">
        <v>530</v>
      </c>
      <c r="J163" s="173">
        <v>2025</v>
      </c>
      <c r="K163" s="173" t="s">
        <v>2</v>
      </c>
      <c r="L163" s="173" t="s">
        <v>2</v>
      </c>
      <c r="M163" s="173" t="s">
        <v>2</v>
      </c>
      <c r="N163" s="173" t="s">
        <v>2</v>
      </c>
      <c r="O163" s="173" t="s">
        <v>2</v>
      </c>
      <c r="P163" s="173"/>
      <c r="Q163" s="173"/>
      <c r="R163" s="173"/>
      <c r="S163" s="173" t="s">
        <v>2</v>
      </c>
      <c r="T163" s="173" t="s">
        <v>2</v>
      </c>
      <c r="U163" s="173"/>
      <c r="V163" s="173"/>
      <c r="W163" s="173" t="s">
        <v>2</v>
      </c>
      <c r="X163" s="173" t="s">
        <v>2</v>
      </c>
      <c r="Y163" s="173" t="s">
        <v>4</v>
      </c>
      <c r="Z163" s="118"/>
      <c r="AA163" s="119">
        <f>COUNTIF(tblF42023[[#This Row],[CIV]:[BIBLE]],"A")</f>
        <v>9</v>
      </c>
      <c r="AB163" s="119">
        <v>7</v>
      </c>
      <c r="AC163" s="119" t="s">
        <v>10</v>
      </c>
      <c r="AD163" s="120">
        <v>3</v>
      </c>
      <c r="AE163" s="173">
        <v>3</v>
      </c>
      <c r="AF163" s="173">
        <v>3</v>
      </c>
      <c r="AG163" s="173">
        <v>3</v>
      </c>
      <c r="AH163" s="173">
        <v>3</v>
      </c>
      <c r="AI163" s="173">
        <v>3</v>
      </c>
      <c r="AJ163" s="173">
        <v>3</v>
      </c>
      <c r="AK163" s="173" t="s">
        <v>661</v>
      </c>
      <c r="AL163" s="173">
        <v>5</v>
      </c>
      <c r="AM163" s="173">
        <v>5</v>
      </c>
      <c r="AN163" s="173">
        <v>5</v>
      </c>
      <c r="AO163" s="173" t="s">
        <v>661</v>
      </c>
      <c r="AP16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63" s="173" t="s">
        <v>991</v>
      </c>
      <c r="AU16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6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6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6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6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4" spans="1:53" x14ac:dyDescent="0.3">
      <c r="A164" s="173" t="s">
        <v>729</v>
      </c>
      <c r="B164" s="173"/>
      <c r="C164" s="171" t="s">
        <v>63</v>
      </c>
      <c r="D164" s="172" t="s">
        <v>8</v>
      </c>
      <c r="E164" s="172" t="s">
        <v>42</v>
      </c>
      <c r="F164" s="117" t="str">
        <f>_xlfn.XLOOKUP(tblF42023[[#This Row],[FULL_NAME]],F6Results_2026[Full_Name],F6Results_2026[Comb],"",0,1)</f>
        <v>HGL</v>
      </c>
      <c r="G164" s="117"/>
      <c r="H16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4" s="173" t="s">
        <v>530</v>
      </c>
      <c r="J164" s="173">
        <v>2025</v>
      </c>
      <c r="K164" s="121" t="s">
        <v>3</v>
      </c>
      <c r="L164" s="121" t="s">
        <v>4</v>
      </c>
      <c r="M164" s="121" t="s">
        <v>4</v>
      </c>
      <c r="N164" s="121" t="s">
        <v>3</v>
      </c>
      <c r="O164" s="121" t="s">
        <v>3</v>
      </c>
      <c r="P164" s="121"/>
      <c r="Q164" s="121" t="s">
        <v>5</v>
      </c>
      <c r="R164" s="121" t="s">
        <v>4</v>
      </c>
      <c r="S164" s="121" t="s">
        <v>4</v>
      </c>
      <c r="T164" s="121" t="s">
        <v>4</v>
      </c>
      <c r="U164" s="121"/>
      <c r="V164" s="121"/>
      <c r="W164" s="121"/>
      <c r="X164" s="121" t="s">
        <v>4</v>
      </c>
      <c r="Y164" s="121" t="s">
        <v>663</v>
      </c>
      <c r="Z164" s="122"/>
      <c r="AA164" s="119">
        <f>COUNTIF(tblF42023[[#This Row],[CIV]:[BIBLE]],"A")</f>
        <v>0</v>
      </c>
      <c r="AB164" s="119">
        <v>18</v>
      </c>
      <c r="AC164" s="119" t="s">
        <v>11</v>
      </c>
      <c r="AD164" s="120">
        <v>7</v>
      </c>
      <c r="AE164" s="173">
        <v>9</v>
      </c>
      <c r="AF164" s="173" t="s">
        <v>661</v>
      </c>
      <c r="AG164" s="173">
        <v>9</v>
      </c>
      <c r="AH164" s="173">
        <v>8</v>
      </c>
      <c r="AI164" s="173">
        <v>8</v>
      </c>
      <c r="AJ164" s="173">
        <v>9</v>
      </c>
      <c r="AK164" s="173">
        <v>10</v>
      </c>
      <c r="AL164" s="173" t="s">
        <v>661</v>
      </c>
      <c r="AM164" s="173" t="s">
        <v>661</v>
      </c>
      <c r="AN164" s="173" t="s">
        <v>661</v>
      </c>
      <c r="AO164" s="173" t="s">
        <v>661</v>
      </c>
      <c r="AP16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6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6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6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64" s="173" t="s">
        <v>992</v>
      </c>
      <c r="AU16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6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6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6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6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6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5" spans="1:53" x14ac:dyDescent="0.3">
      <c r="A165" s="173" t="s">
        <v>730</v>
      </c>
      <c r="B165" s="173"/>
      <c r="C165" s="171" t="s">
        <v>259</v>
      </c>
      <c r="D165" s="172" t="s">
        <v>8</v>
      </c>
      <c r="E165" s="172" t="s">
        <v>42</v>
      </c>
      <c r="F165" s="117" t="str">
        <f>_xlfn.XLOOKUP(tblF42023[[#This Row],[FULL_NAME]],F6Results_2026[Full_Name],F6Results_2026[Comb],"",0,1)</f>
        <v>PCB</v>
      </c>
      <c r="G165" s="117"/>
      <c r="H16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5" s="173" t="s">
        <v>530</v>
      </c>
      <c r="J165" s="173">
        <v>2025</v>
      </c>
      <c r="K165" s="121" t="s">
        <v>2</v>
      </c>
      <c r="L165" s="121" t="s">
        <v>3</v>
      </c>
      <c r="M165" s="121" t="s">
        <v>3</v>
      </c>
      <c r="N165" s="121" t="s">
        <v>2</v>
      </c>
      <c r="O165" s="121" t="s">
        <v>2</v>
      </c>
      <c r="P165" s="121"/>
      <c r="Q165" s="121"/>
      <c r="R165" s="121"/>
      <c r="S165" s="121"/>
      <c r="T165" s="121" t="s">
        <v>3</v>
      </c>
      <c r="U165" s="121"/>
      <c r="V165" s="121"/>
      <c r="W165" s="121" t="s">
        <v>3</v>
      </c>
      <c r="X165" s="121" t="s">
        <v>3</v>
      </c>
      <c r="Y165" s="121" t="s">
        <v>4</v>
      </c>
      <c r="Z165" s="122" t="s">
        <v>2</v>
      </c>
      <c r="AA165" s="119">
        <f>COUNTIF(tblF42023[[#This Row],[CIV]:[BIBLE]],"A")</f>
        <v>4</v>
      </c>
      <c r="AB165" s="119">
        <v>10</v>
      </c>
      <c r="AC165" s="119" t="s">
        <v>10</v>
      </c>
      <c r="AD165" s="120">
        <v>4</v>
      </c>
      <c r="AE165" s="173">
        <v>6</v>
      </c>
      <c r="AF165" s="173">
        <v>6</v>
      </c>
      <c r="AG165" s="173" t="s">
        <v>661</v>
      </c>
      <c r="AH165" s="173">
        <v>5</v>
      </c>
      <c r="AI165" s="173">
        <v>5</v>
      </c>
      <c r="AJ165" s="173">
        <v>6</v>
      </c>
      <c r="AK165" s="173" t="s">
        <v>661</v>
      </c>
      <c r="AL165" s="173">
        <v>7</v>
      </c>
      <c r="AM165" s="173">
        <v>7</v>
      </c>
      <c r="AN165" s="173" t="s">
        <v>661</v>
      </c>
      <c r="AO165" s="173" t="s">
        <v>661</v>
      </c>
      <c r="AP16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5" s="173" t="s">
        <v>991</v>
      </c>
      <c r="AU16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6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6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6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6" spans="1:53" x14ac:dyDescent="0.3">
      <c r="A166" s="173" t="s">
        <v>731</v>
      </c>
      <c r="B166" s="173"/>
      <c r="C166" s="171" t="s">
        <v>204</v>
      </c>
      <c r="D166" s="172" t="s">
        <v>8</v>
      </c>
      <c r="E166" s="172" t="s">
        <v>42</v>
      </c>
      <c r="F166" s="117" t="str">
        <f>_xlfn.XLOOKUP(tblF42023[[#This Row],[FULL_NAME]],F6Results_2026[Full_Name],F6Results_2026[Comb],"",0,1)</f>
        <v>PCM</v>
      </c>
      <c r="G166" s="117"/>
      <c r="H16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6" s="173" t="s">
        <v>530</v>
      </c>
      <c r="J166" s="173">
        <v>2025</v>
      </c>
      <c r="K166" s="173" t="s">
        <v>2</v>
      </c>
      <c r="L166" s="173" t="s">
        <v>2</v>
      </c>
      <c r="M166" s="173" t="s">
        <v>2</v>
      </c>
      <c r="N166" s="173" t="s">
        <v>2</v>
      </c>
      <c r="O166" s="173" t="s">
        <v>2</v>
      </c>
      <c r="P166" s="173"/>
      <c r="Q166" s="173"/>
      <c r="R166" s="173"/>
      <c r="S166" s="173"/>
      <c r="T166" s="173" t="s">
        <v>2</v>
      </c>
      <c r="U166" s="173"/>
      <c r="V166" s="173"/>
      <c r="W166" s="173" t="s">
        <v>2</v>
      </c>
      <c r="X166" s="173" t="s">
        <v>2</v>
      </c>
      <c r="Y166" s="173" t="s">
        <v>4</v>
      </c>
      <c r="Z166" s="118" t="s">
        <v>2</v>
      </c>
      <c r="AA166" s="119">
        <f>COUNTIF(tblF42023[[#This Row],[CIV]:[BIBLE]],"A")</f>
        <v>9</v>
      </c>
      <c r="AB166" s="119">
        <v>7</v>
      </c>
      <c r="AC166" s="119" t="s">
        <v>10</v>
      </c>
      <c r="AD166" s="120">
        <v>3</v>
      </c>
      <c r="AE166" s="173">
        <v>3</v>
      </c>
      <c r="AF166" s="173">
        <v>3</v>
      </c>
      <c r="AG166" s="173" t="s">
        <v>661</v>
      </c>
      <c r="AH166" s="173">
        <v>3</v>
      </c>
      <c r="AI166" s="173">
        <v>3</v>
      </c>
      <c r="AJ166" s="173">
        <v>3</v>
      </c>
      <c r="AK166" s="173" t="s">
        <v>661</v>
      </c>
      <c r="AL166" s="173">
        <v>5</v>
      </c>
      <c r="AM166" s="173">
        <v>5</v>
      </c>
      <c r="AN166" s="173" t="s">
        <v>661</v>
      </c>
      <c r="AO166" s="173" t="s">
        <v>661</v>
      </c>
      <c r="AP16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6" s="173" t="s">
        <v>991</v>
      </c>
      <c r="AU16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6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6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6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7" spans="1:53" x14ac:dyDescent="0.3">
      <c r="A167" s="173" t="s">
        <v>732</v>
      </c>
      <c r="B167" s="173"/>
      <c r="C167" s="171" t="s">
        <v>206</v>
      </c>
      <c r="D167" s="172" t="s">
        <v>8</v>
      </c>
      <c r="E167" s="172" t="s">
        <v>42</v>
      </c>
      <c r="F167" s="117" t="str">
        <f>_xlfn.XLOOKUP(tblF42023[[#This Row],[FULL_NAME]],F6Results_2026[Full_Name],F6Results_2026[Comb],"",0,1)</f>
        <v>PCM</v>
      </c>
      <c r="G167" s="117"/>
      <c r="H16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7" s="173" t="s">
        <v>530</v>
      </c>
      <c r="J167" s="173">
        <v>2025</v>
      </c>
      <c r="K167" s="173" t="s">
        <v>2</v>
      </c>
      <c r="L167" s="173" t="s">
        <v>3</v>
      </c>
      <c r="M167" s="173" t="s">
        <v>2</v>
      </c>
      <c r="N167" s="173" t="s">
        <v>2</v>
      </c>
      <c r="O167" s="173" t="s">
        <v>2</v>
      </c>
      <c r="P167" s="173"/>
      <c r="Q167" s="173"/>
      <c r="R167" s="173"/>
      <c r="S167" s="173"/>
      <c r="T167" s="173" t="s">
        <v>2</v>
      </c>
      <c r="U167" s="173"/>
      <c r="V167" s="173"/>
      <c r="W167" s="173" t="s">
        <v>2</v>
      </c>
      <c r="X167" s="173" t="s">
        <v>2</v>
      </c>
      <c r="Y167" s="173" t="s">
        <v>4</v>
      </c>
      <c r="Z167" s="118" t="s">
        <v>2</v>
      </c>
      <c r="AA167" s="119">
        <f>COUNTIF(tblF42023[[#This Row],[CIV]:[BIBLE]],"A")</f>
        <v>8</v>
      </c>
      <c r="AB167" s="119">
        <v>7</v>
      </c>
      <c r="AC167" s="119" t="s">
        <v>10</v>
      </c>
      <c r="AD167" s="120">
        <v>4</v>
      </c>
      <c r="AE167" s="173">
        <v>4</v>
      </c>
      <c r="AF167" s="173">
        <v>3</v>
      </c>
      <c r="AG167" s="173" t="s">
        <v>661</v>
      </c>
      <c r="AH167" s="173">
        <v>4</v>
      </c>
      <c r="AI167" s="173">
        <v>4</v>
      </c>
      <c r="AJ167" s="173">
        <v>3</v>
      </c>
      <c r="AK167" s="173" t="s">
        <v>661</v>
      </c>
      <c r="AL167" s="173">
        <v>5</v>
      </c>
      <c r="AM167" s="173">
        <v>5</v>
      </c>
      <c r="AN167" s="173" t="s">
        <v>661</v>
      </c>
      <c r="AO167" s="173" t="s">
        <v>661</v>
      </c>
      <c r="AP16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6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6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6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7" s="173" t="s">
        <v>991</v>
      </c>
      <c r="AU16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6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6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6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6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8" spans="1:53" x14ac:dyDescent="0.3">
      <c r="A168" s="173" t="s">
        <v>733</v>
      </c>
      <c r="B168" s="173"/>
      <c r="C168" s="171" t="s">
        <v>116</v>
      </c>
      <c r="D168" s="172" t="s">
        <v>8</v>
      </c>
      <c r="E168" s="172" t="s">
        <v>42</v>
      </c>
      <c r="F168" s="117" t="str">
        <f>_xlfn.XLOOKUP(tblF42023[[#This Row],[FULL_NAME]],F6Results_2026[Full_Name],F6Results_2026[Comb],"",0,1)</f>
        <v>HGK</v>
      </c>
      <c r="G168" s="117"/>
      <c r="H16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8" s="173" t="s">
        <v>530</v>
      </c>
      <c r="J168" s="173">
        <v>2025</v>
      </c>
      <c r="K168" s="121" t="s">
        <v>3</v>
      </c>
      <c r="L168" s="121" t="s">
        <v>5</v>
      </c>
      <c r="M168" s="121" t="s">
        <v>4</v>
      </c>
      <c r="N168" s="121" t="s">
        <v>2</v>
      </c>
      <c r="O168" s="121" t="s">
        <v>4</v>
      </c>
      <c r="P168" s="121"/>
      <c r="Q168" s="121" t="s">
        <v>5</v>
      </c>
      <c r="R168" s="121" t="s">
        <v>4</v>
      </c>
      <c r="S168" s="121"/>
      <c r="T168" s="121" t="s">
        <v>4</v>
      </c>
      <c r="U168" s="121"/>
      <c r="V168" s="121"/>
      <c r="W168" s="121"/>
      <c r="X168" s="121" t="s">
        <v>4</v>
      </c>
      <c r="Y168" s="121" t="s">
        <v>663</v>
      </c>
      <c r="Z168" s="122" t="s">
        <v>2</v>
      </c>
      <c r="AA168" s="119">
        <f>COUNTIF(tblF42023[[#This Row],[CIV]:[BIBLE]],"A")</f>
        <v>2</v>
      </c>
      <c r="AB168" s="119">
        <v>16</v>
      </c>
      <c r="AC168" s="119" t="s">
        <v>10</v>
      </c>
      <c r="AD168" s="120">
        <v>8</v>
      </c>
      <c r="AE168" s="173">
        <v>10</v>
      </c>
      <c r="AF168" s="173" t="s">
        <v>661</v>
      </c>
      <c r="AG168" s="173" t="s">
        <v>661</v>
      </c>
      <c r="AH168" s="173">
        <v>10</v>
      </c>
      <c r="AI168" s="173">
        <v>8</v>
      </c>
      <c r="AJ168" s="173">
        <v>9</v>
      </c>
      <c r="AK168" s="173">
        <v>10</v>
      </c>
      <c r="AL168" s="173" t="s">
        <v>661</v>
      </c>
      <c r="AM168" s="173" t="s">
        <v>661</v>
      </c>
      <c r="AN168" s="173" t="s">
        <v>661</v>
      </c>
      <c r="AO168" s="173" t="s">
        <v>661</v>
      </c>
      <c r="AP16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6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6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6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8" s="173" t="s">
        <v>992</v>
      </c>
      <c r="AU16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6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6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6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6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6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69" spans="1:53" x14ac:dyDescent="0.3">
      <c r="A169" s="173" t="s">
        <v>734</v>
      </c>
      <c r="B169" s="173"/>
      <c r="C169" s="171" t="s">
        <v>65</v>
      </c>
      <c r="D169" s="172" t="s">
        <v>8</v>
      </c>
      <c r="E169" s="172" t="s">
        <v>42</v>
      </c>
      <c r="F169" s="117" t="str">
        <f>_xlfn.XLOOKUP(tblF42023[[#This Row],[FULL_NAME]],F6Results_2026[Full_Name],F6Results_2026[Comb],"",0,1)</f>
        <v>HGL</v>
      </c>
      <c r="G169" s="117"/>
      <c r="H16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69" s="173" t="s">
        <v>530</v>
      </c>
      <c r="J169" s="173">
        <v>2025</v>
      </c>
      <c r="K169" s="121" t="s">
        <v>3</v>
      </c>
      <c r="L169" s="121" t="s">
        <v>4</v>
      </c>
      <c r="M169" s="121" t="s">
        <v>4</v>
      </c>
      <c r="N169" s="121" t="s">
        <v>3</v>
      </c>
      <c r="O169" s="121" t="s">
        <v>3</v>
      </c>
      <c r="P169" s="121" t="s">
        <v>4</v>
      </c>
      <c r="Q169" s="121"/>
      <c r="R169" s="121"/>
      <c r="S169" s="121"/>
      <c r="T169" s="121" t="s">
        <v>5</v>
      </c>
      <c r="U169" s="121"/>
      <c r="V169" s="121"/>
      <c r="W169" s="121"/>
      <c r="X169" s="121" t="s">
        <v>4</v>
      </c>
      <c r="Y169" s="121" t="s">
        <v>663</v>
      </c>
      <c r="Z169" s="122" t="s">
        <v>2</v>
      </c>
      <c r="AA169" s="119">
        <f>COUNTIF(tblF42023[[#This Row],[CIV]:[BIBLE]],"A")</f>
        <v>1</v>
      </c>
      <c r="AB169" s="119">
        <v>16</v>
      </c>
      <c r="AC169" s="119" t="s">
        <v>10</v>
      </c>
      <c r="AD169" s="120">
        <v>7</v>
      </c>
      <c r="AE169" s="173">
        <v>10</v>
      </c>
      <c r="AF169" s="173" t="s">
        <v>661</v>
      </c>
      <c r="AG169" s="173" t="s">
        <v>661</v>
      </c>
      <c r="AH169" s="173">
        <v>8</v>
      </c>
      <c r="AI169" s="173">
        <v>8</v>
      </c>
      <c r="AJ169" s="173">
        <v>11</v>
      </c>
      <c r="AK169" s="173" t="s">
        <v>661</v>
      </c>
      <c r="AL169" s="173" t="s">
        <v>661</v>
      </c>
      <c r="AM169" s="173" t="s">
        <v>661</v>
      </c>
      <c r="AN169" s="173" t="s">
        <v>661</v>
      </c>
      <c r="AO169" s="173" t="s">
        <v>661</v>
      </c>
      <c r="AP16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6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6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6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69" s="173" t="s">
        <v>992</v>
      </c>
      <c r="AU16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6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6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6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6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6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6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0" spans="1:53" x14ac:dyDescent="0.3">
      <c r="A170" s="173" t="s">
        <v>735</v>
      </c>
      <c r="B170" s="173"/>
      <c r="C170" s="171" t="s">
        <v>261</v>
      </c>
      <c r="D170" s="172" t="s">
        <v>8</v>
      </c>
      <c r="E170" s="172" t="s">
        <v>42</v>
      </c>
      <c r="F170" s="117" t="str">
        <f>_xlfn.XLOOKUP(tblF42023[[#This Row],[FULL_NAME]],F6Results_2026[Full_Name],F6Results_2026[Comb],"",0,1)</f>
        <v>PCB</v>
      </c>
      <c r="G170" s="117"/>
      <c r="H17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0" s="173" t="s">
        <v>530</v>
      </c>
      <c r="J170" s="173">
        <v>2025</v>
      </c>
      <c r="K170" s="121" t="s">
        <v>2</v>
      </c>
      <c r="L170" s="121" t="s">
        <v>4</v>
      </c>
      <c r="M170" s="121" t="s">
        <v>3</v>
      </c>
      <c r="N170" s="121" t="s">
        <v>2</v>
      </c>
      <c r="O170" s="121" t="s">
        <v>3</v>
      </c>
      <c r="P170" s="121"/>
      <c r="Q170" s="121"/>
      <c r="R170" s="121"/>
      <c r="S170" s="121"/>
      <c r="T170" s="121" t="s">
        <v>2</v>
      </c>
      <c r="U170" s="121"/>
      <c r="V170" s="121"/>
      <c r="W170" s="121" t="s">
        <v>2</v>
      </c>
      <c r="X170" s="121" t="s">
        <v>2</v>
      </c>
      <c r="Y170" s="121" t="s">
        <v>4</v>
      </c>
      <c r="Z170" s="122" t="s">
        <v>2</v>
      </c>
      <c r="AA170" s="119">
        <f>COUNTIF(tblF42023[[#This Row],[CIV]:[BIBLE]],"A")</f>
        <v>6</v>
      </c>
      <c r="AB170" s="119">
        <v>8</v>
      </c>
      <c r="AC170" s="119" t="s">
        <v>10</v>
      </c>
      <c r="AD170" s="120">
        <v>6</v>
      </c>
      <c r="AE170" s="173">
        <v>6</v>
      </c>
      <c r="AF170" s="173">
        <v>4</v>
      </c>
      <c r="AG170" s="173" t="s">
        <v>661</v>
      </c>
      <c r="AH170" s="173">
        <v>7</v>
      </c>
      <c r="AI170" s="173">
        <v>6</v>
      </c>
      <c r="AJ170" s="173">
        <v>4</v>
      </c>
      <c r="AK170" s="173" t="s">
        <v>661</v>
      </c>
      <c r="AL170" s="173">
        <v>5</v>
      </c>
      <c r="AM170" s="173">
        <v>5</v>
      </c>
      <c r="AN170" s="173" t="s">
        <v>661</v>
      </c>
      <c r="AO170" s="173" t="s">
        <v>661</v>
      </c>
      <c r="AP17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7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0" s="173" t="s">
        <v>992</v>
      </c>
      <c r="AU17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7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7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7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1" spans="1:53" x14ac:dyDescent="0.3">
      <c r="A171" s="173" t="s">
        <v>736</v>
      </c>
      <c r="B171" s="173"/>
      <c r="C171" s="171" t="s">
        <v>208</v>
      </c>
      <c r="D171" s="172" t="s">
        <v>8</v>
      </c>
      <c r="E171" s="172" t="s">
        <v>42</v>
      </c>
      <c r="F171" s="117" t="str">
        <f>_xlfn.XLOOKUP(tblF42023[[#This Row],[FULL_NAME]],F6Results_2026[Full_Name],F6Results_2026[Comb],"",0,1)</f>
        <v>PCM</v>
      </c>
      <c r="G171" s="117"/>
      <c r="H17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1" s="173" t="s">
        <v>530</v>
      </c>
      <c r="J171" s="173">
        <v>2025</v>
      </c>
      <c r="K171" s="173" t="s">
        <v>2</v>
      </c>
      <c r="L171" s="173" t="s">
        <v>2</v>
      </c>
      <c r="M171" s="173" t="s">
        <v>2</v>
      </c>
      <c r="N171" s="173" t="s">
        <v>2</v>
      </c>
      <c r="O171" s="173" t="s">
        <v>2</v>
      </c>
      <c r="P171" s="173"/>
      <c r="Q171" s="173"/>
      <c r="R171" s="173"/>
      <c r="S171" s="173"/>
      <c r="T171" s="173" t="s">
        <v>3</v>
      </c>
      <c r="U171" s="173"/>
      <c r="V171" s="173"/>
      <c r="W171" s="173" t="s">
        <v>2</v>
      </c>
      <c r="X171" s="173" t="s">
        <v>2</v>
      </c>
      <c r="Y171" s="173" t="s">
        <v>4</v>
      </c>
      <c r="Z171" s="118" t="s">
        <v>2</v>
      </c>
      <c r="AA171" s="119">
        <f>COUNTIF(tblF42023[[#This Row],[CIV]:[BIBLE]],"A")</f>
        <v>8</v>
      </c>
      <c r="AB171" s="119">
        <v>7</v>
      </c>
      <c r="AC171" s="119" t="s">
        <v>10</v>
      </c>
      <c r="AD171" s="120">
        <v>3</v>
      </c>
      <c r="AE171" s="173">
        <v>4</v>
      </c>
      <c r="AF171" s="173">
        <v>3</v>
      </c>
      <c r="AG171" s="173" t="s">
        <v>661</v>
      </c>
      <c r="AH171" s="173">
        <v>3</v>
      </c>
      <c r="AI171" s="173">
        <v>3</v>
      </c>
      <c r="AJ171" s="173">
        <v>5</v>
      </c>
      <c r="AK171" s="173" t="s">
        <v>661</v>
      </c>
      <c r="AL171" s="173">
        <v>5</v>
      </c>
      <c r="AM171" s="173">
        <v>6</v>
      </c>
      <c r="AN171" s="173" t="s">
        <v>661</v>
      </c>
      <c r="AO171" s="173" t="s">
        <v>661</v>
      </c>
      <c r="AP17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7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1" s="173" t="s">
        <v>991</v>
      </c>
      <c r="AU17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7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7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7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2" spans="1:53" x14ac:dyDescent="0.3">
      <c r="A172" s="173" t="s">
        <v>737</v>
      </c>
      <c r="B172" s="173"/>
      <c r="C172" s="171" t="s">
        <v>210</v>
      </c>
      <c r="D172" s="172" t="s">
        <v>8</v>
      </c>
      <c r="E172" s="172" t="s">
        <v>42</v>
      </c>
      <c r="F172" s="117" t="str">
        <f>_xlfn.XLOOKUP(tblF42023[[#This Row],[FULL_NAME]],F6Results_2026[Full_Name],F6Results_2026[Comb],"",0,1)</f>
        <v>PCM</v>
      </c>
      <c r="G172" s="117"/>
      <c r="H17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2" s="173" t="s">
        <v>530</v>
      </c>
      <c r="J172" s="173">
        <v>2025</v>
      </c>
      <c r="K172" s="121" t="s">
        <v>2</v>
      </c>
      <c r="L172" s="121" t="s">
        <v>3</v>
      </c>
      <c r="M172" s="121" t="s">
        <v>2</v>
      </c>
      <c r="N172" s="121" t="s">
        <v>2</v>
      </c>
      <c r="O172" s="121" t="s">
        <v>2</v>
      </c>
      <c r="P172" s="121"/>
      <c r="Q172" s="121"/>
      <c r="R172" s="121"/>
      <c r="S172" s="121"/>
      <c r="T172" s="121" t="s">
        <v>2</v>
      </c>
      <c r="U172" s="121"/>
      <c r="V172" s="121"/>
      <c r="W172" s="121" t="s">
        <v>2</v>
      </c>
      <c r="X172" s="121" t="s">
        <v>3</v>
      </c>
      <c r="Y172" s="121" t="s">
        <v>4</v>
      </c>
      <c r="Z172" s="122" t="s">
        <v>2</v>
      </c>
      <c r="AA172" s="119">
        <f>COUNTIF(tblF42023[[#This Row],[CIV]:[BIBLE]],"A")</f>
        <v>7</v>
      </c>
      <c r="AB172" s="119">
        <v>7</v>
      </c>
      <c r="AC172" s="119" t="s">
        <v>10</v>
      </c>
      <c r="AD172" s="120">
        <v>4</v>
      </c>
      <c r="AE172" s="173">
        <v>4</v>
      </c>
      <c r="AF172" s="173">
        <v>4</v>
      </c>
      <c r="AG172" s="173" t="s">
        <v>661</v>
      </c>
      <c r="AH172" s="173">
        <v>4</v>
      </c>
      <c r="AI172" s="173">
        <v>4</v>
      </c>
      <c r="AJ172" s="173">
        <v>3</v>
      </c>
      <c r="AK172" s="173" t="s">
        <v>661</v>
      </c>
      <c r="AL172" s="173">
        <v>6</v>
      </c>
      <c r="AM172" s="173">
        <v>5</v>
      </c>
      <c r="AN172" s="173" t="s">
        <v>661</v>
      </c>
      <c r="AO172" s="173" t="s">
        <v>661</v>
      </c>
      <c r="AP17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7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2" s="173" t="s">
        <v>991</v>
      </c>
      <c r="AU17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7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7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7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3" spans="1:53" x14ac:dyDescent="0.3">
      <c r="A173" s="173" t="s">
        <v>738</v>
      </c>
      <c r="B173" s="173"/>
      <c r="C173" s="171"/>
      <c r="D173" s="172" t="s">
        <v>8</v>
      </c>
      <c r="E173" s="172" t="s">
        <v>42</v>
      </c>
      <c r="F173" s="117" t="str">
        <f>_xlfn.XLOOKUP(tblF42023[[#This Row],[FULL_NAME]],F6Results_2026[Full_Name],F6Results_2026[Comb],"",0,1)</f>
        <v/>
      </c>
      <c r="G173" s="117"/>
      <c r="H17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3" s="173" t="s">
        <v>530</v>
      </c>
      <c r="J173" s="173">
        <v>2025</v>
      </c>
      <c r="K173" s="121" t="s">
        <v>3</v>
      </c>
      <c r="L173" s="121" t="s">
        <v>4</v>
      </c>
      <c r="M173" s="121" t="s">
        <v>4</v>
      </c>
      <c r="N173" s="121" t="s">
        <v>3</v>
      </c>
      <c r="O173" s="121" t="s">
        <v>3</v>
      </c>
      <c r="P173" s="121"/>
      <c r="Q173" s="121" t="s">
        <v>4</v>
      </c>
      <c r="R173" s="121" t="s">
        <v>4</v>
      </c>
      <c r="S173" s="121" t="s">
        <v>2</v>
      </c>
      <c r="T173" s="121" t="s">
        <v>4</v>
      </c>
      <c r="U173" s="121"/>
      <c r="V173" s="121"/>
      <c r="W173" s="121"/>
      <c r="X173" s="121" t="s">
        <v>3</v>
      </c>
      <c r="Y173" s="121" t="s">
        <v>663</v>
      </c>
      <c r="Z173" s="122"/>
      <c r="AA173" s="119">
        <f>COUNTIF(tblF42023[[#This Row],[CIV]:[BIBLE]],"A")</f>
        <v>1</v>
      </c>
      <c r="AB173" s="119">
        <v>15</v>
      </c>
      <c r="AC173" s="119" t="s">
        <v>10</v>
      </c>
      <c r="AD173" s="120">
        <v>7</v>
      </c>
      <c r="AE173" s="173">
        <v>9</v>
      </c>
      <c r="AF173" s="173" t="s">
        <v>661</v>
      </c>
      <c r="AG173" s="173">
        <v>7</v>
      </c>
      <c r="AH173" s="173">
        <v>8</v>
      </c>
      <c r="AI173" s="173">
        <v>8</v>
      </c>
      <c r="AJ173" s="173">
        <v>9</v>
      </c>
      <c r="AK173" s="173">
        <v>9</v>
      </c>
      <c r="AL173" s="173" t="s">
        <v>661</v>
      </c>
      <c r="AM173" s="173" t="s">
        <v>661</v>
      </c>
      <c r="AN173" s="173" t="s">
        <v>661</v>
      </c>
      <c r="AO173" s="173" t="s">
        <v>661</v>
      </c>
      <c r="AP17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7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7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7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73" s="173" t="s">
        <v>992</v>
      </c>
      <c r="AU17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7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7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7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7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7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4" spans="1:53" x14ac:dyDescent="0.3">
      <c r="A174" s="173" t="s">
        <v>739</v>
      </c>
      <c r="B174" s="173"/>
      <c r="C174" s="171" t="s">
        <v>118</v>
      </c>
      <c r="D174" s="172" t="s">
        <v>8</v>
      </c>
      <c r="E174" s="172" t="s">
        <v>42</v>
      </c>
      <c r="F174" s="117" t="str">
        <f>_xlfn.XLOOKUP(tblF42023[[#This Row],[FULL_NAME]],F6Results_2026[Full_Name],F6Results_2026[Comb],"",0,1)</f>
        <v>HGK</v>
      </c>
      <c r="G174" s="117"/>
      <c r="H17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4" s="173" t="s">
        <v>530</v>
      </c>
      <c r="J174" s="173">
        <v>2025</v>
      </c>
      <c r="K174" s="121" t="s">
        <v>4</v>
      </c>
      <c r="L174" s="121" t="s">
        <v>4</v>
      </c>
      <c r="M174" s="121" t="s">
        <v>4</v>
      </c>
      <c r="N174" s="121" t="s">
        <v>2</v>
      </c>
      <c r="O174" s="121" t="s">
        <v>4</v>
      </c>
      <c r="P174" s="121"/>
      <c r="Q174" s="121" t="s">
        <v>5</v>
      </c>
      <c r="R174" s="121" t="s">
        <v>4</v>
      </c>
      <c r="S174" s="121"/>
      <c r="T174" s="121" t="s">
        <v>4</v>
      </c>
      <c r="U174" s="121"/>
      <c r="V174" s="121"/>
      <c r="W174" s="121"/>
      <c r="X174" s="121" t="s">
        <v>4</v>
      </c>
      <c r="Y174" s="121" t="s">
        <v>663</v>
      </c>
      <c r="Z174" s="122" t="s">
        <v>2</v>
      </c>
      <c r="AA174" s="119">
        <f>COUNTIF(tblF42023[[#This Row],[CIV]:[BIBLE]],"A")</f>
        <v>2</v>
      </c>
      <c r="AB174" s="119">
        <v>17</v>
      </c>
      <c r="AC174" s="119" t="s">
        <v>10</v>
      </c>
      <c r="AD174" s="120">
        <v>7</v>
      </c>
      <c r="AE174" s="173">
        <v>9</v>
      </c>
      <c r="AF174" s="173" t="s">
        <v>661</v>
      </c>
      <c r="AG174" s="173" t="s">
        <v>661</v>
      </c>
      <c r="AH174" s="173">
        <v>9</v>
      </c>
      <c r="AI174" s="173">
        <v>7</v>
      </c>
      <c r="AJ174" s="173">
        <v>9</v>
      </c>
      <c r="AK174" s="173">
        <v>10</v>
      </c>
      <c r="AL174" s="173" t="s">
        <v>661</v>
      </c>
      <c r="AM174" s="173" t="s">
        <v>661</v>
      </c>
      <c r="AN174" s="173" t="s">
        <v>661</v>
      </c>
      <c r="AO174" s="173" t="s">
        <v>661</v>
      </c>
      <c r="AP17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7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7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7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4" s="173" t="s">
        <v>992</v>
      </c>
      <c r="AU17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7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7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7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7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7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5" spans="1:53" x14ac:dyDescent="0.3">
      <c r="A175" s="173" t="s">
        <v>740</v>
      </c>
      <c r="B175" s="173"/>
      <c r="C175" s="171"/>
      <c r="D175" s="172" t="s">
        <v>8</v>
      </c>
      <c r="E175" s="172" t="s">
        <v>42</v>
      </c>
      <c r="F175" s="117" t="str">
        <f>_xlfn.XLOOKUP(tblF42023[[#This Row],[FULL_NAME]],F6Results_2026[Full_Name],F6Results_2026[Comb],"",0,1)</f>
        <v/>
      </c>
      <c r="G175" s="117"/>
      <c r="H17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5" s="173" t="s">
        <v>530</v>
      </c>
      <c r="J175" s="173">
        <v>2025</v>
      </c>
      <c r="K175" s="121" t="s">
        <v>3</v>
      </c>
      <c r="L175" s="121" t="s">
        <v>3</v>
      </c>
      <c r="M175" s="121" t="s">
        <v>3</v>
      </c>
      <c r="N175" s="121" t="s">
        <v>2</v>
      </c>
      <c r="O175" s="121" t="s">
        <v>2</v>
      </c>
      <c r="P175" s="121"/>
      <c r="Q175" s="121"/>
      <c r="R175" s="121"/>
      <c r="S175" s="121" t="s">
        <v>4</v>
      </c>
      <c r="T175" s="121" t="s">
        <v>4</v>
      </c>
      <c r="U175" s="121"/>
      <c r="V175" s="121"/>
      <c r="W175" s="121" t="s">
        <v>3</v>
      </c>
      <c r="X175" s="121" t="s">
        <v>3</v>
      </c>
      <c r="Y175" s="121" t="s">
        <v>5</v>
      </c>
      <c r="Z175" s="122"/>
      <c r="AA175" s="119">
        <f>COUNTIF(tblF42023[[#This Row],[CIV]:[BIBLE]],"A")</f>
        <v>2</v>
      </c>
      <c r="AB175" s="119">
        <v>12</v>
      </c>
      <c r="AC175" s="119" t="s">
        <v>10</v>
      </c>
      <c r="AD175" s="120">
        <v>4</v>
      </c>
      <c r="AE175" s="173">
        <v>7</v>
      </c>
      <c r="AF175" s="173">
        <v>6</v>
      </c>
      <c r="AG175" s="173">
        <v>9</v>
      </c>
      <c r="AH175" s="173">
        <v>5</v>
      </c>
      <c r="AI175" s="173">
        <v>5</v>
      </c>
      <c r="AJ175" s="173">
        <v>8</v>
      </c>
      <c r="AK175" s="173" t="s">
        <v>661</v>
      </c>
      <c r="AL175" s="173">
        <v>8</v>
      </c>
      <c r="AM175" s="173">
        <v>9</v>
      </c>
      <c r="AN175" s="173">
        <v>10</v>
      </c>
      <c r="AO175" s="173" t="s">
        <v>661</v>
      </c>
      <c r="AP17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7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75" s="173" t="s">
        <v>991</v>
      </c>
      <c r="AU17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7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7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7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17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6" spans="1:53" x14ac:dyDescent="0.3">
      <c r="A176" s="173" t="s">
        <v>741</v>
      </c>
      <c r="B176" s="173"/>
      <c r="C176" s="171"/>
      <c r="D176" s="172" t="s">
        <v>8</v>
      </c>
      <c r="E176" s="172" t="s">
        <v>42</v>
      </c>
      <c r="F176" s="117" t="str">
        <f>_xlfn.XLOOKUP(tblF42023[[#This Row],[FULL_NAME]],F6Results_2026[Full_Name],F6Results_2026[Comb],"",0,1)</f>
        <v/>
      </c>
      <c r="G176" s="117"/>
      <c r="H17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6" s="173" t="s">
        <v>530</v>
      </c>
      <c r="J176" s="173">
        <v>2025</v>
      </c>
      <c r="K176" s="121" t="s">
        <v>2</v>
      </c>
      <c r="L176" s="121" t="s">
        <v>3</v>
      </c>
      <c r="M176" s="121" t="s">
        <v>3</v>
      </c>
      <c r="N176" s="121" t="s">
        <v>2</v>
      </c>
      <c r="O176" s="121" t="s">
        <v>2</v>
      </c>
      <c r="P176" s="121"/>
      <c r="Q176" s="121"/>
      <c r="R176" s="121"/>
      <c r="S176" s="121"/>
      <c r="T176" s="121" t="s">
        <v>4</v>
      </c>
      <c r="U176" s="121"/>
      <c r="V176" s="121"/>
      <c r="W176" s="121" t="s">
        <v>3</v>
      </c>
      <c r="X176" s="121" t="s">
        <v>2</v>
      </c>
      <c r="Y176" s="121" t="s">
        <v>5</v>
      </c>
      <c r="Z176" s="122" t="s">
        <v>3</v>
      </c>
      <c r="AA176" s="119">
        <f>COUNTIF(tblF42023[[#This Row],[CIV]:[BIBLE]],"A")</f>
        <v>4</v>
      </c>
      <c r="AB176" s="119">
        <v>10</v>
      </c>
      <c r="AC176" s="119" t="s">
        <v>10</v>
      </c>
      <c r="AD176" s="120">
        <v>4</v>
      </c>
      <c r="AE176" s="173">
        <v>7</v>
      </c>
      <c r="AF176" s="173">
        <v>5</v>
      </c>
      <c r="AG176" s="173" t="s">
        <v>661</v>
      </c>
      <c r="AH176" s="173">
        <v>5</v>
      </c>
      <c r="AI176" s="173">
        <v>5</v>
      </c>
      <c r="AJ176" s="173">
        <v>8</v>
      </c>
      <c r="AK176" s="173" t="s">
        <v>661</v>
      </c>
      <c r="AL176" s="173">
        <v>7</v>
      </c>
      <c r="AM176" s="173">
        <v>9</v>
      </c>
      <c r="AN176" s="173" t="s">
        <v>661</v>
      </c>
      <c r="AO176" s="173" t="s">
        <v>661</v>
      </c>
      <c r="AP17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7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6" s="173" t="s">
        <v>991</v>
      </c>
      <c r="AU17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7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7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7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7" spans="1:53" x14ac:dyDescent="0.3">
      <c r="A177" s="173" t="s">
        <v>742</v>
      </c>
      <c r="B177" s="173"/>
      <c r="C177" s="171" t="s">
        <v>155</v>
      </c>
      <c r="D177" s="172" t="s">
        <v>8</v>
      </c>
      <c r="E177" s="172" t="s">
        <v>42</v>
      </c>
      <c r="F177" s="117" t="str">
        <f>_xlfn.XLOOKUP(tblF42023[[#This Row],[FULL_NAME]],F6Results_2026[Full_Name],F6Results_2026[Comb],"",0,1)</f>
        <v>EGM</v>
      </c>
      <c r="G177" s="117"/>
      <c r="H17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7" s="173" t="s">
        <v>530</v>
      </c>
      <c r="J177" s="173">
        <v>2025</v>
      </c>
      <c r="K177" s="121" t="s">
        <v>2</v>
      </c>
      <c r="L177" s="121" t="s">
        <v>3</v>
      </c>
      <c r="M177" s="121" t="s">
        <v>3</v>
      </c>
      <c r="N177" s="121" t="s">
        <v>2</v>
      </c>
      <c r="O177" s="121" t="s">
        <v>2</v>
      </c>
      <c r="P177" s="121"/>
      <c r="Q177" s="121"/>
      <c r="R177" s="121"/>
      <c r="S177" s="121"/>
      <c r="T177" s="121" t="s">
        <v>3</v>
      </c>
      <c r="U177" s="121"/>
      <c r="V177" s="121"/>
      <c r="W177" s="121" t="s">
        <v>2</v>
      </c>
      <c r="X177" s="121" t="s">
        <v>2</v>
      </c>
      <c r="Y177" s="121" t="s">
        <v>4</v>
      </c>
      <c r="Z177" s="122" t="s">
        <v>2</v>
      </c>
      <c r="AA177" s="119">
        <f>COUNTIF(tblF42023[[#This Row],[CIV]:[BIBLE]],"A")</f>
        <v>6</v>
      </c>
      <c r="AB177" s="119">
        <v>8</v>
      </c>
      <c r="AC177" s="119" t="s">
        <v>10</v>
      </c>
      <c r="AD177" s="120">
        <v>4</v>
      </c>
      <c r="AE177" s="173">
        <v>6</v>
      </c>
      <c r="AF177" s="173">
        <v>4</v>
      </c>
      <c r="AG177" s="173" t="s">
        <v>661</v>
      </c>
      <c r="AH177" s="173">
        <v>5</v>
      </c>
      <c r="AI177" s="173">
        <v>5</v>
      </c>
      <c r="AJ177" s="173">
        <v>6</v>
      </c>
      <c r="AK177" s="173" t="s">
        <v>661</v>
      </c>
      <c r="AL177" s="173">
        <v>5</v>
      </c>
      <c r="AM177" s="173">
        <v>6</v>
      </c>
      <c r="AN177" s="173" t="s">
        <v>661</v>
      </c>
      <c r="AO177" s="173" t="s">
        <v>661</v>
      </c>
      <c r="AP17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7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7" s="173" t="s">
        <v>991</v>
      </c>
      <c r="AU17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7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7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7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8" spans="1:53" x14ac:dyDescent="0.3">
      <c r="A178" s="173" t="s">
        <v>743</v>
      </c>
      <c r="B178" s="173"/>
      <c r="C178" s="171" t="s">
        <v>263</v>
      </c>
      <c r="D178" s="172" t="s">
        <v>8</v>
      </c>
      <c r="E178" s="172" t="s">
        <v>42</v>
      </c>
      <c r="F178" s="117" t="str">
        <f>_xlfn.XLOOKUP(tblF42023[[#This Row],[FULL_NAME]],F6Results_2026[Full_Name],F6Results_2026[Comb],"",0,1)</f>
        <v>PCB</v>
      </c>
      <c r="G178" s="117"/>
      <c r="H17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8" s="173" t="s">
        <v>530</v>
      </c>
      <c r="J178" s="173">
        <v>2025</v>
      </c>
      <c r="K178" s="121" t="s">
        <v>2</v>
      </c>
      <c r="L178" s="121" t="s">
        <v>2</v>
      </c>
      <c r="M178" s="121" t="s">
        <v>3</v>
      </c>
      <c r="N178" s="121" t="s">
        <v>2</v>
      </c>
      <c r="O178" s="121" t="s">
        <v>2</v>
      </c>
      <c r="P178" s="121"/>
      <c r="Q178" s="121"/>
      <c r="R178" s="121"/>
      <c r="S178" s="121" t="s">
        <v>3</v>
      </c>
      <c r="T178" s="121" t="s">
        <v>3</v>
      </c>
      <c r="U178" s="121"/>
      <c r="V178" s="121"/>
      <c r="W178" s="121" t="s">
        <v>2</v>
      </c>
      <c r="X178" s="121" t="s">
        <v>2</v>
      </c>
      <c r="Y178" s="121" t="s">
        <v>4</v>
      </c>
      <c r="Z178" s="122"/>
      <c r="AA178" s="119">
        <f>COUNTIF(tblF42023[[#This Row],[CIV]:[BIBLE]],"A")</f>
        <v>6</v>
      </c>
      <c r="AB178" s="119">
        <v>8</v>
      </c>
      <c r="AC178" s="119" t="s">
        <v>10</v>
      </c>
      <c r="AD178" s="120">
        <v>3</v>
      </c>
      <c r="AE178" s="173">
        <v>5</v>
      </c>
      <c r="AF178" s="173">
        <v>4</v>
      </c>
      <c r="AG178" s="173">
        <v>6</v>
      </c>
      <c r="AH178" s="173">
        <v>4</v>
      </c>
      <c r="AI178" s="173">
        <v>4</v>
      </c>
      <c r="AJ178" s="173">
        <v>6</v>
      </c>
      <c r="AK178" s="173" t="s">
        <v>661</v>
      </c>
      <c r="AL178" s="173">
        <v>5</v>
      </c>
      <c r="AM178" s="173">
        <v>6</v>
      </c>
      <c r="AN178" s="173">
        <v>7</v>
      </c>
      <c r="AO178" s="173" t="s">
        <v>661</v>
      </c>
      <c r="AP17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7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7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78" s="173" t="s">
        <v>991</v>
      </c>
      <c r="AU17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7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7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7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7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7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79" spans="1:53" x14ac:dyDescent="0.3">
      <c r="A179" s="173" t="s">
        <v>744</v>
      </c>
      <c r="B179" s="173"/>
      <c r="C179" s="171" t="s">
        <v>67</v>
      </c>
      <c r="D179" s="172" t="s">
        <v>8</v>
      </c>
      <c r="E179" s="172" t="s">
        <v>42</v>
      </c>
      <c r="F179" s="117" t="str">
        <f>_xlfn.XLOOKUP(tblF42023[[#This Row],[FULL_NAME]],F6Results_2026[Full_Name],F6Results_2026[Comb],"",0,1)</f>
        <v>HGL</v>
      </c>
      <c r="G179" s="117"/>
      <c r="H17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79" s="173" t="s">
        <v>530</v>
      </c>
      <c r="J179" s="173">
        <v>2025</v>
      </c>
      <c r="K179" s="121" t="s">
        <v>2</v>
      </c>
      <c r="L179" s="121" t="s">
        <v>3</v>
      </c>
      <c r="M179" s="121" t="s">
        <v>3</v>
      </c>
      <c r="N179" s="121" t="s">
        <v>3</v>
      </c>
      <c r="O179" s="121" t="s">
        <v>2</v>
      </c>
      <c r="P179" s="121"/>
      <c r="Q179" s="121" t="s">
        <v>4</v>
      </c>
      <c r="R179" s="121" t="s">
        <v>4</v>
      </c>
      <c r="S179" s="121"/>
      <c r="T179" s="121" t="s">
        <v>4</v>
      </c>
      <c r="U179" s="121"/>
      <c r="V179" s="121"/>
      <c r="W179" s="121"/>
      <c r="X179" s="121" t="s">
        <v>2</v>
      </c>
      <c r="Y179" s="121" t="s">
        <v>663</v>
      </c>
      <c r="Z179" s="122" t="s">
        <v>2</v>
      </c>
      <c r="AA179" s="119">
        <f>COUNTIF(tblF42023[[#This Row],[CIV]:[BIBLE]],"A")</f>
        <v>4</v>
      </c>
      <c r="AB179" s="119">
        <v>10</v>
      </c>
      <c r="AC179" s="119" t="s">
        <v>10</v>
      </c>
      <c r="AD179" s="120">
        <v>5</v>
      </c>
      <c r="AE179" s="173">
        <v>7</v>
      </c>
      <c r="AF179" s="173" t="s">
        <v>661</v>
      </c>
      <c r="AG179" s="173" t="s">
        <v>661</v>
      </c>
      <c r="AH179" s="173">
        <v>5</v>
      </c>
      <c r="AI179" s="173">
        <v>6</v>
      </c>
      <c r="AJ179" s="173">
        <v>8</v>
      </c>
      <c r="AK179" s="173">
        <v>9</v>
      </c>
      <c r="AL179" s="173" t="s">
        <v>661</v>
      </c>
      <c r="AM179" s="173" t="s">
        <v>661</v>
      </c>
      <c r="AN179" s="173" t="s">
        <v>661</v>
      </c>
      <c r="AO179" s="173" t="s">
        <v>661</v>
      </c>
      <c r="AP17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7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7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7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79" s="173" t="s">
        <v>991</v>
      </c>
      <c r="AU17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7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7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7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7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7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7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0" spans="1:53" x14ac:dyDescent="0.3">
      <c r="A180" s="173" t="s">
        <v>745</v>
      </c>
      <c r="B180" s="173"/>
      <c r="C180" s="171" t="s">
        <v>265</v>
      </c>
      <c r="D180" s="172" t="s">
        <v>8</v>
      </c>
      <c r="E180" s="172" t="s">
        <v>42</v>
      </c>
      <c r="F180" s="117" t="str">
        <f>_xlfn.XLOOKUP(tblF42023[[#This Row],[FULL_NAME]],F6Results_2026[Full_Name],F6Results_2026[Comb],"",0,1)</f>
        <v>PCB</v>
      </c>
      <c r="G180" s="117"/>
      <c r="H18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0" s="173" t="s">
        <v>530</v>
      </c>
      <c r="J180" s="173">
        <v>2025</v>
      </c>
      <c r="K180" s="121" t="s">
        <v>2</v>
      </c>
      <c r="L180" s="121" t="s">
        <v>2</v>
      </c>
      <c r="M180" s="121" t="s">
        <v>2</v>
      </c>
      <c r="N180" s="121" t="s">
        <v>2</v>
      </c>
      <c r="O180" s="121" t="s">
        <v>2</v>
      </c>
      <c r="P180" s="121"/>
      <c r="Q180" s="121"/>
      <c r="R180" s="121"/>
      <c r="S180" s="121"/>
      <c r="T180" s="121" t="s">
        <v>4</v>
      </c>
      <c r="U180" s="121"/>
      <c r="V180" s="121"/>
      <c r="W180" s="121" t="s">
        <v>2</v>
      </c>
      <c r="X180" s="121" t="s">
        <v>2</v>
      </c>
      <c r="Y180" s="121" t="s">
        <v>4</v>
      </c>
      <c r="Z180" s="122" t="s">
        <v>2</v>
      </c>
      <c r="AA180" s="119">
        <f>COUNTIF(tblF42023[[#This Row],[CIV]:[BIBLE]],"A")</f>
        <v>8</v>
      </c>
      <c r="AB180" s="119">
        <v>7</v>
      </c>
      <c r="AC180" s="119" t="s">
        <v>10</v>
      </c>
      <c r="AD180" s="120">
        <v>3</v>
      </c>
      <c r="AE180" s="173">
        <v>5</v>
      </c>
      <c r="AF180" s="173">
        <v>3</v>
      </c>
      <c r="AG180" s="173" t="s">
        <v>661</v>
      </c>
      <c r="AH180" s="173">
        <v>3</v>
      </c>
      <c r="AI180" s="173">
        <v>3</v>
      </c>
      <c r="AJ180" s="173">
        <v>7</v>
      </c>
      <c r="AK180" s="173" t="s">
        <v>661</v>
      </c>
      <c r="AL180" s="173">
        <v>5</v>
      </c>
      <c r="AM180" s="173">
        <v>7</v>
      </c>
      <c r="AN180" s="173" t="s">
        <v>661</v>
      </c>
      <c r="AO180" s="173" t="s">
        <v>661</v>
      </c>
      <c r="AP18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8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0" s="173" t="s">
        <v>991</v>
      </c>
      <c r="AU18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8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8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1" spans="1:53" x14ac:dyDescent="0.3">
      <c r="A181" s="173" t="s">
        <v>746</v>
      </c>
      <c r="B181" s="173"/>
      <c r="C181" s="171" t="s">
        <v>157</v>
      </c>
      <c r="D181" s="172" t="s">
        <v>8</v>
      </c>
      <c r="E181" s="172" t="s">
        <v>42</v>
      </c>
      <c r="F181" s="117" t="str">
        <f>_xlfn.XLOOKUP(tblF42023[[#This Row],[FULL_NAME]],F6Results_2026[Full_Name],F6Results_2026[Comb],"",0,1)</f>
        <v>EGM</v>
      </c>
      <c r="G181" s="117"/>
      <c r="H18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1" s="173" t="s">
        <v>530</v>
      </c>
      <c r="J181" s="173">
        <v>2025</v>
      </c>
      <c r="K181" s="121" t="s">
        <v>2</v>
      </c>
      <c r="L181" s="121" t="s">
        <v>2</v>
      </c>
      <c r="M181" s="121" t="s">
        <v>3</v>
      </c>
      <c r="N181" s="121" t="s">
        <v>2</v>
      </c>
      <c r="O181" s="121" t="s">
        <v>3</v>
      </c>
      <c r="P181" s="121"/>
      <c r="Q181" s="121"/>
      <c r="R181" s="121"/>
      <c r="S181" s="121"/>
      <c r="T181" s="121" t="s">
        <v>2</v>
      </c>
      <c r="U181" s="121"/>
      <c r="V181" s="121"/>
      <c r="W181" s="121" t="s">
        <v>2</v>
      </c>
      <c r="X181" s="121" t="s">
        <v>2</v>
      </c>
      <c r="Y181" s="121" t="s">
        <v>4</v>
      </c>
      <c r="Z181" s="122" t="s">
        <v>2</v>
      </c>
      <c r="AA181" s="119">
        <f>COUNTIF(tblF42023[[#This Row],[CIV]:[BIBLE]],"A")</f>
        <v>7</v>
      </c>
      <c r="AB181" s="119">
        <v>7</v>
      </c>
      <c r="AC181" s="119" t="s">
        <v>10</v>
      </c>
      <c r="AD181" s="120">
        <v>4</v>
      </c>
      <c r="AE181" s="173">
        <v>4</v>
      </c>
      <c r="AF181" s="173">
        <v>4</v>
      </c>
      <c r="AG181" s="173" t="s">
        <v>661</v>
      </c>
      <c r="AH181" s="173">
        <v>5</v>
      </c>
      <c r="AI181" s="173">
        <v>4</v>
      </c>
      <c r="AJ181" s="173">
        <v>4</v>
      </c>
      <c r="AK181" s="173" t="s">
        <v>661</v>
      </c>
      <c r="AL181" s="173">
        <v>5</v>
      </c>
      <c r="AM181" s="173">
        <v>5</v>
      </c>
      <c r="AN181" s="173" t="s">
        <v>661</v>
      </c>
      <c r="AO181" s="173" t="s">
        <v>661</v>
      </c>
      <c r="AP18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8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1" s="173" t="s">
        <v>991</v>
      </c>
      <c r="AU18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8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8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8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2" spans="1:53" x14ac:dyDescent="0.3">
      <c r="A182" s="173" t="s">
        <v>747</v>
      </c>
      <c r="B182" s="173"/>
      <c r="C182" s="171" t="s">
        <v>69</v>
      </c>
      <c r="D182" s="172" t="s">
        <v>8</v>
      </c>
      <c r="E182" s="172" t="s">
        <v>42</v>
      </c>
      <c r="F182" s="117" t="str">
        <f>_xlfn.XLOOKUP(tblF42023[[#This Row],[FULL_NAME]],F6Results_2026[Full_Name],F6Results_2026[Comb],"",0,1)</f>
        <v>HGL</v>
      </c>
      <c r="G182" s="117"/>
      <c r="H18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2" s="173" t="s">
        <v>530</v>
      </c>
      <c r="J182" s="173">
        <v>2025</v>
      </c>
      <c r="K182" s="121" t="s">
        <v>2</v>
      </c>
      <c r="L182" s="121" t="s">
        <v>2</v>
      </c>
      <c r="M182" s="121" t="s">
        <v>3</v>
      </c>
      <c r="N182" s="121" t="s">
        <v>2</v>
      </c>
      <c r="O182" s="121" t="s">
        <v>3</v>
      </c>
      <c r="P182" s="121"/>
      <c r="Q182" s="121"/>
      <c r="R182" s="121"/>
      <c r="S182" s="121"/>
      <c r="T182" s="121" t="s">
        <v>2</v>
      </c>
      <c r="U182" s="121"/>
      <c r="V182" s="121"/>
      <c r="W182" s="121" t="s">
        <v>2</v>
      </c>
      <c r="X182" s="121" t="s">
        <v>2</v>
      </c>
      <c r="Y182" s="121" t="s">
        <v>4</v>
      </c>
      <c r="Z182" s="122" t="s">
        <v>2</v>
      </c>
      <c r="AA182" s="119">
        <f>COUNTIF(tblF42023[[#This Row],[CIV]:[BIBLE]],"A")</f>
        <v>7</v>
      </c>
      <c r="AB182" s="119">
        <v>7</v>
      </c>
      <c r="AC182" s="119" t="s">
        <v>10</v>
      </c>
      <c r="AD182" s="120">
        <v>4</v>
      </c>
      <c r="AE182" s="173">
        <v>4</v>
      </c>
      <c r="AF182" s="173">
        <v>4</v>
      </c>
      <c r="AG182" s="173" t="s">
        <v>661</v>
      </c>
      <c r="AH182" s="173">
        <v>5</v>
      </c>
      <c r="AI182" s="173">
        <v>4</v>
      </c>
      <c r="AJ182" s="173">
        <v>4</v>
      </c>
      <c r="AK182" s="173" t="s">
        <v>661</v>
      </c>
      <c r="AL182" s="173">
        <v>5</v>
      </c>
      <c r="AM182" s="173">
        <v>5</v>
      </c>
      <c r="AN182" s="173" t="s">
        <v>661</v>
      </c>
      <c r="AO182" s="173" t="s">
        <v>661</v>
      </c>
      <c r="AP18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8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2" s="173" t="s">
        <v>991</v>
      </c>
      <c r="AU18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8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8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8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3" spans="1:53" x14ac:dyDescent="0.3">
      <c r="A183" s="173" t="s">
        <v>748</v>
      </c>
      <c r="B183" s="173"/>
      <c r="C183" s="171" t="s">
        <v>213</v>
      </c>
      <c r="D183" s="172" t="s">
        <v>8</v>
      </c>
      <c r="E183" s="172" t="s">
        <v>42</v>
      </c>
      <c r="F183" s="117" t="str">
        <f>_xlfn.XLOOKUP(tblF42023[[#This Row],[FULL_NAME]],F6Results_2026[Full_Name],F6Results_2026[Comb],"",0,1)</f>
        <v>PCM</v>
      </c>
      <c r="G183" s="117"/>
      <c r="H18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3" s="173" t="s">
        <v>530</v>
      </c>
      <c r="J183" s="173">
        <v>2025</v>
      </c>
      <c r="K183" s="121" t="s">
        <v>3</v>
      </c>
      <c r="L183" s="121" t="s">
        <v>4</v>
      </c>
      <c r="M183" s="121" t="s">
        <v>3</v>
      </c>
      <c r="N183" s="121" t="s">
        <v>2</v>
      </c>
      <c r="O183" s="121" t="s">
        <v>2</v>
      </c>
      <c r="P183" s="121"/>
      <c r="Q183" s="121"/>
      <c r="R183" s="121"/>
      <c r="S183" s="121"/>
      <c r="T183" s="121" t="s">
        <v>4</v>
      </c>
      <c r="U183" s="121"/>
      <c r="V183" s="121"/>
      <c r="W183" s="121" t="s">
        <v>2</v>
      </c>
      <c r="X183" s="121" t="s">
        <v>2</v>
      </c>
      <c r="Y183" s="121" t="s">
        <v>5</v>
      </c>
      <c r="Z183" s="122" t="s">
        <v>2</v>
      </c>
      <c r="AA183" s="119">
        <f>COUNTIF(tblF42023[[#This Row],[CIV]:[BIBLE]],"A")</f>
        <v>5</v>
      </c>
      <c r="AB183" s="119">
        <v>9</v>
      </c>
      <c r="AC183" s="119" t="s">
        <v>10</v>
      </c>
      <c r="AD183" s="120">
        <v>5</v>
      </c>
      <c r="AE183" s="173">
        <v>8</v>
      </c>
      <c r="AF183" s="173">
        <v>4</v>
      </c>
      <c r="AG183" s="173" t="s">
        <v>661</v>
      </c>
      <c r="AH183" s="173">
        <v>6</v>
      </c>
      <c r="AI183" s="173">
        <v>6</v>
      </c>
      <c r="AJ183" s="173">
        <v>8</v>
      </c>
      <c r="AK183" s="173" t="s">
        <v>661</v>
      </c>
      <c r="AL183" s="173">
        <v>6</v>
      </c>
      <c r="AM183" s="173">
        <v>8</v>
      </c>
      <c r="AN183" s="173" t="s">
        <v>661</v>
      </c>
      <c r="AO183" s="173" t="s">
        <v>661</v>
      </c>
      <c r="AP18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8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3" s="173" t="s">
        <v>991</v>
      </c>
      <c r="AU18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8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8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4" spans="1:53" x14ac:dyDescent="0.3">
      <c r="A184" s="173" t="s">
        <v>749</v>
      </c>
      <c r="B184" s="173"/>
      <c r="C184" s="171" t="s">
        <v>71</v>
      </c>
      <c r="D184" s="172" t="s">
        <v>8</v>
      </c>
      <c r="E184" s="172" t="s">
        <v>42</v>
      </c>
      <c r="F184" s="117" t="str">
        <f>_xlfn.XLOOKUP(tblF42023[[#This Row],[FULL_NAME]],F6Results_2026[Full_Name],F6Results_2026[Comb],"",0,1)</f>
        <v>HGL</v>
      </c>
      <c r="G184" s="117"/>
      <c r="H18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4" s="173" t="s">
        <v>530</v>
      </c>
      <c r="J184" s="173">
        <v>2025</v>
      </c>
      <c r="K184" s="121" t="s">
        <v>3</v>
      </c>
      <c r="L184" s="121" t="s">
        <v>3</v>
      </c>
      <c r="M184" s="121" t="s">
        <v>2</v>
      </c>
      <c r="N184" s="121" t="s">
        <v>2</v>
      </c>
      <c r="O184" s="121" t="s">
        <v>2</v>
      </c>
      <c r="P184" s="121"/>
      <c r="Q184" s="121"/>
      <c r="R184" s="121"/>
      <c r="S184" s="121"/>
      <c r="T184" s="121" t="s">
        <v>4</v>
      </c>
      <c r="U184" s="121"/>
      <c r="V184" s="121"/>
      <c r="W184" s="121" t="s">
        <v>3</v>
      </c>
      <c r="X184" s="121" t="s">
        <v>3</v>
      </c>
      <c r="Y184" s="121" t="s">
        <v>4</v>
      </c>
      <c r="Z184" s="122" t="s">
        <v>2</v>
      </c>
      <c r="AA184" s="119">
        <f>COUNTIF(tblF42023[[#This Row],[CIV]:[BIBLE]],"A")</f>
        <v>4</v>
      </c>
      <c r="AB184" s="119">
        <v>10</v>
      </c>
      <c r="AC184" s="119" t="s">
        <v>10</v>
      </c>
      <c r="AD184" s="120">
        <v>4</v>
      </c>
      <c r="AE184" s="173">
        <v>6</v>
      </c>
      <c r="AF184" s="173">
        <v>5</v>
      </c>
      <c r="AG184" s="173" t="s">
        <v>661</v>
      </c>
      <c r="AH184" s="173">
        <v>4</v>
      </c>
      <c r="AI184" s="173">
        <v>4</v>
      </c>
      <c r="AJ184" s="173">
        <v>7</v>
      </c>
      <c r="AK184" s="173" t="s">
        <v>661</v>
      </c>
      <c r="AL184" s="173">
        <v>7</v>
      </c>
      <c r="AM184" s="173">
        <v>8</v>
      </c>
      <c r="AN184" s="173" t="s">
        <v>661</v>
      </c>
      <c r="AO184" s="173" t="s">
        <v>661</v>
      </c>
      <c r="AP18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8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4" s="173" t="s">
        <v>991</v>
      </c>
      <c r="AU18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8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8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5" spans="1:53" x14ac:dyDescent="0.3">
      <c r="A185" s="173" t="s">
        <v>750</v>
      </c>
      <c r="B185" s="173"/>
      <c r="C185" s="171" t="s">
        <v>267</v>
      </c>
      <c r="D185" s="172" t="s">
        <v>8</v>
      </c>
      <c r="E185" s="172" t="s">
        <v>42</v>
      </c>
      <c r="F185" s="117" t="str">
        <f>_xlfn.XLOOKUP(tblF42023[[#This Row],[FULL_NAME]],F6Results_2026[Full_Name],F6Results_2026[Comb],"",0,1)</f>
        <v>PCB</v>
      </c>
      <c r="G185" s="117"/>
      <c r="H18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5" s="173" t="s">
        <v>530</v>
      </c>
      <c r="J185" s="173">
        <v>2025</v>
      </c>
      <c r="K185" s="121" t="s">
        <v>3</v>
      </c>
      <c r="L185" s="121" t="s">
        <v>4</v>
      </c>
      <c r="M185" s="121" t="s">
        <v>4</v>
      </c>
      <c r="N185" s="121" t="s">
        <v>2</v>
      </c>
      <c r="O185" s="121" t="s">
        <v>4</v>
      </c>
      <c r="P185" s="121"/>
      <c r="Q185" s="121" t="s">
        <v>4</v>
      </c>
      <c r="R185" s="121" t="s">
        <v>4</v>
      </c>
      <c r="S185" s="121"/>
      <c r="T185" s="121" t="s">
        <v>5</v>
      </c>
      <c r="U185" s="121"/>
      <c r="V185" s="121"/>
      <c r="W185" s="121"/>
      <c r="X185" s="121" t="s">
        <v>4</v>
      </c>
      <c r="Y185" s="121" t="s">
        <v>663</v>
      </c>
      <c r="Z185" s="122" t="s">
        <v>2</v>
      </c>
      <c r="AA185" s="119">
        <f>COUNTIF(tblF42023[[#This Row],[CIV]:[BIBLE]],"A")</f>
        <v>2</v>
      </c>
      <c r="AB185" s="119">
        <v>16</v>
      </c>
      <c r="AC185" s="119" t="s">
        <v>10</v>
      </c>
      <c r="AD185" s="120">
        <v>7</v>
      </c>
      <c r="AE185" s="173">
        <v>10</v>
      </c>
      <c r="AF185" s="173" t="s">
        <v>661</v>
      </c>
      <c r="AG185" s="173" t="s">
        <v>661</v>
      </c>
      <c r="AH185" s="173">
        <v>9</v>
      </c>
      <c r="AI185" s="173">
        <v>7</v>
      </c>
      <c r="AJ185" s="173">
        <v>11</v>
      </c>
      <c r="AK185" s="173">
        <v>10</v>
      </c>
      <c r="AL185" s="173" t="s">
        <v>661</v>
      </c>
      <c r="AM185" s="173" t="s">
        <v>661</v>
      </c>
      <c r="AN185" s="173" t="s">
        <v>661</v>
      </c>
      <c r="AO185" s="173" t="s">
        <v>661</v>
      </c>
      <c r="AP18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8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8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8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5" s="173" t="s">
        <v>992</v>
      </c>
      <c r="AU18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8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8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8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8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6" spans="1:53" x14ac:dyDescent="0.3">
      <c r="A186" s="173" t="s">
        <v>751</v>
      </c>
      <c r="B186" s="173"/>
      <c r="C186" s="171"/>
      <c r="D186" s="172" t="s">
        <v>8</v>
      </c>
      <c r="E186" s="172" t="s">
        <v>42</v>
      </c>
      <c r="F186" s="117" t="str">
        <f>_xlfn.XLOOKUP(tblF42023[[#This Row],[FULL_NAME]],F6Results_2026[Full_Name],F6Results_2026[Comb],"",0,1)</f>
        <v/>
      </c>
      <c r="G186" s="117"/>
      <c r="H18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6" s="173" t="s">
        <v>530</v>
      </c>
      <c r="J186" s="173">
        <v>2025</v>
      </c>
      <c r="K186" s="121" t="s">
        <v>3</v>
      </c>
      <c r="L186" s="121" t="s">
        <v>4</v>
      </c>
      <c r="M186" s="121" t="s">
        <v>3</v>
      </c>
      <c r="N186" s="121" t="s">
        <v>2</v>
      </c>
      <c r="O186" s="121" t="s">
        <v>3</v>
      </c>
      <c r="P186" s="121"/>
      <c r="Q186" s="121"/>
      <c r="R186" s="121"/>
      <c r="S186" s="121"/>
      <c r="T186" s="121" t="s">
        <v>3</v>
      </c>
      <c r="U186" s="121"/>
      <c r="V186" s="121"/>
      <c r="W186" s="121" t="s">
        <v>2</v>
      </c>
      <c r="X186" s="121" t="s">
        <v>3</v>
      </c>
      <c r="Y186" s="121" t="s">
        <v>4</v>
      </c>
      <c r="Z186" s="122" t="s">
        <v>2</v>
      </c>
      <c r="AA186" s="119">
        <f>COUNTIF(tblF42023[[#This Row],[CIV]:[BIBLE]],"A")</f>
        <v>3</v>
      </c>
      <c r="AB186" s="119">
        <v>11</v>
      </c>
      <c r="AC186" s="119" t="s">
        <v>10</v>
      </c>
      <c r="AD186" s="120">
        <v>6</v>
      </c>
      <c r="AE186" s="173">
        <v>7</v>
      </c>
      <c r="AF186" s="173">
        <v>5</v>
      </c>
      <c r="AG186" s="173" t="s">
        <v>661</v>
      </c>
      <c r="AH186" s="173">
        <v>7</v>
      </c>
      <c r="AI186" s="173">
        <v>6</v>
      </c>
      <c r="AJ186" s="173">
        <v>6</v>
      </c>
      <c r="AK186" s="173" t="s">
        <v>661</v>
      </c>
      <c r="AL186" s="173">
        <v>6</v>
      </c>
      <c r="AM186" s="173">
        <v>6</v>
      </c>
      <c r="AN186" s="173" t="s">
        <v>661</v>
      </c>
      <c r="AO186" s="173" t="s">
        <v>661</v>
      </c>
      <c r="AP18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8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6" s="173" t="s">
        <v>992</v>
      </c>
      <c r="AU18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8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8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8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8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7" spans="1:53" x14ac:dyDescent="0.3">
      <c r="A187" s="173" t="s">
        <v>752</v>
      </c>
      <c r="B187" s="173"/>
      <c r="C187" s="171" t="s">
        <v>122</v>
      </c>
      <c r="D187" s="172" t="s">
        <v>8</v>
      </c>
      <c r="E187" s="172" t="s">
        <v>42</v>
      </c>
      <c r="F187" s="117" t="str">
        <f>_xlfn.XLOOKUP(tblF42023[[#This Row],[FULL_NAME]],F6Results_2026[Full_Name],F6Results_2026[Comb],"",0,1)</f>
        <v>HGK</v>
      </c>
      <c r="G187" s="117"/>
      <c r="H18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7" s="173" t="s">
        <v>530</v>
      </c>
      <c r="J187" s="173">
        <v>2025</v>
      </c>
      <c r="K187" s="121" t="s">
        <v>3</v>
      </c>
      <c r="L187" s="121" t="s">
        <v>3</v>
      </c>
      <c r="M187" s="121" t="s">
        <v>4</v>
      </c>
      <c r="N187" s="121" t="s">
        <v>3</v>
      </c>
      <c r="O187" s="121" t="s">
        <v>3</v>
      </c>
      <c r="P187" s="121"/>
      <c r="Q187" s="121" t="s">
        <v>5</v>
      </c>
      <c r="R187" s="121" t="s">
        <v>4</v>
      </c>
      <c r="S187" s="121"/>
      <c r="T187" s="121" t="s">
        <v>4</v>
      </c>
      <c r="U187" s="121"/>
      <c r="V187" s="121"/>
      <c r="W187" s="121"/>
      <c r="X187" s="121" t="s">
        <v>4</v>
      </c>
      <c r="Y187" s="121" t="s">
        <v>663</v>
      </c>
      <c r="Z187" s="122" t="s">
        <v>2</v>
      </c>
      <c r="AA187" s="119">
        <f>COUNTIF(tblF42023[[#This Row],[CIV]:[BIBLE]],"A")</f>
        <v>1</v>
      </c>
      <c r="AB187" s="119">
        <v>15</v>
      </c>
      <c r="AC187" s="119" t="s">
        <v>10</v>
      </c>
      <c r="AD187" s="120">
        <v>6</v>
      </c>
      <c r="AE187" s="173">
        <v>8</v>
      </c>
      <c r="AF187" s="173" t="s">
        <v>661</v>
      </c>
      <c r="AG187" s="173" t="s">
        <v>661</v>
      </c>
      <c r="AH187" s="173">
        <v>7</v>
      </c>
      <c r="AI187" s="173">
        <v>7</v>
      </c>
      <c r="AJ187" s="173">
        <v>9</v>
      </c>
      <c r="AK187" s="173">
        <v>10</v>
      </c>
      <c r="AL187" s="173" t="s">
        <v>661</v>
      </c>
      <c r="AM187" s="173" t="s">
        <v>661</v>
      </c>
      <c r="AN187" s="173" t="s">
        <v>661</v>
      </c>
      <c r="AO187" s="173" t="s">
        <v>661</v>
      </c>
      <c r="AP18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8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8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8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7" s="173" t="s">
        <v>992</v>
      </c>
      <c r="AU18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8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8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8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8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8" spans="1:53" x14ac:dyDescent="0.3">
      <c r="A188" s="173" t="s">
        <v>753</v>
      </c>
      <c r="B188" s="173"/>
      <c r="C188" s="171" t="s">
        <v>73</v>
      </c>
      <c r="D188" s="172" t="s">
        <v>8</v>
      </c>
      <c r="E188" s="172" t="s">
        <v>42</v>
      </c>
      <c r="F188" s="117" t="str">
        <f>_xlfn.XLOOKUP(tblF42023[[#This Row],[FULL_NAME]],F6Results_2026[Full_Name],F6Results_2026[Comb],"",0,1)</f>
        <v>HGL</v>
      </c>
      <c r="G188" s="117"/>
      <c r="H18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8" s="173" t="s">
        <v>530</v>
      </c>
      <c r="J188" s="173">
        <v>2025</v>
      </c>
      <c r="K188" s="121" t="s">
        <v>3</v>
      </c>
      <c r="L188" s="121" t="s">
        <v>4</v>
      </c>
      <c r="M188" s="121" t="s">
        <v>3</v>
      </c>
      <c r="N188" s="121" t="s">
        <v>3</v>
      </c>
      <c r="O188" s="121" t="s">
        <v>3</v>
      </c>
      <c r="P188" s="121"/>
      <c r="Q188" s="121"/>
      <c r="R188" s="121"/>
      <c r="S188" s="121"/>
      <c r="T188" s="121" t="s">
        <v>4</v>
      </c>
      <c r="U188" s="121"/>
      <c r="V188" s="121"/>
      <c r="W188" s="121" t="s">
        <v>4</v>
      </c>
      <c r="X188" s="121" t="s">
        <v>3</v>
      </c>
      <c r="Y188" s="121" t="s">
        <v>5</v>
      </c>
      <c r="Z188" s="122" t="s">
        <v>2</v>
      </c>
      <c r="AA188" s="119">
        <f>COUNTIF(tblF42023[[#This Row],[CIV]:[BIBLE]],"A")</f>
        <v>1</v>
      </c>
      <c r="AB188" s="119">
        <v>14</v>
      </c>
      <c r="AC188" s="119" t="s">
        <v>10</v>
      </c>
      <c r="AD188" s="120">
        <v>7</v>
      </c>
      <c r="AE188" s="173">
        <v>8</v>
      </c>
      <c r="AF188" s="173">
        <v>7</v>
      </c>
      <c r="AG188" s="173" t="s">
        <v>661</v>
      </c>
      <c r="AH188" s="173">
        <v>7</v>
      </c>
      <c r="AI188" s="173">
        <v>7</v>
      </c>
      <c r="AJ188" s="173">
        <v>8</v>
      </c>
      <c r="AK188" s="173" t="s">
        <v>661</v>
      </c>
      <c r="AL188" s="173">
        <v>9</v>
      </c>
      <c r="AM188" s="173">
        <v>10</v>
      </c>
      <c r="AN188" s="173" t="s">
        <v>661</v>
      </c>
      <c r="AO188" s="173" t="s">
        <v>661</v>
      </c>
      <c r="AP18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8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8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8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8" s="173" t="s">
        <v>992</v>
      </c>
      <c r="AU18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8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8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8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8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89" spans="1:53" x14ac:dyDescent="0.3">
      <c r="A189" s="173" t="s">
        <v>754</v>
      </c>
      <c r="B189" s="173"/>
      <c r="C189" s="171" t="s">
        <v>75</v>
      </c>
      <c r="D189" s="172" t="s">
        <v>8</v>
      </c>
      <c r="E189" s="172" t="s">
        <v>42</v>
      </c>
      <c r="F189" s="117" t="str">
        <f>_xlfn.XLOOKUP(tblF42023[[#This Row],[FULL_NAME]],F6Results_2026[Full_Name],F6Results_2026[Comb],"",0,1)</f>
        <v>HGL</v>
      </c>
      <c r="G189" s="117"/>
      <c r="H18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89" s="173" t="s">
        <v>530</v>
      </c>
      <c r="J189" s="173">
        <v>2025</v>
      </c>
      <c r="K189" s="121" t="s">
        <v>3</v>
      </c>
      <c r="L189" s="121" t="s">
        <v>4</v>
      </c>
      <c r="M189" s="121" t="s">
        <v>4</v>
      </c>
      <c r="N189" s="121" t="s">
        <v>3</v>
      </c>
      <c r="O189" s="121" t="s">
        <v>3</v>
      </c>
      <c r="P189" s="121"/>
      <c r="Q189" s="121" t="s">
        <v>4</v>
      </c>
      <c r="R189" s="121" t="s">
        <v>4</v>
      </c>
      <c r="S189" s="121"/>
      <c r="T189" s="121" t="s">
        <v>5</v>
      </c>
      <c r="U189" s="121"/>
      <c r="V189" s="121"/>
      <c r="W189" s="121"/>
      <c r="X189" s="121" t="s">
        <v>3</v>
      </c>
      <c r="Y189" s="121" t="s">
        <v>663</v>
      </c>
      <c r="Z189" s="122" t="s">
        <v>3</v>
      </c>
      <c r="AA189" s="119">
        <f>COUNTIF(tblF42023[[#This Row],[CIV]:[BIBLE]],"A")</f>
        <v>0</v>
      </c>
      <c r="AB189" s="119">
        <v>16</v>
      </c>
      <c r="AC189" s="119" t="s">
        <v>10</v>
      </c>
      <c r="AD189" s="120">
        <v>7</v>
      </c>
      <c r="AE189" s="173">
        <v>10</v>
      </c>
      <c r="AF189" s="173" t="s">
        <v>661</v>
      </c>
      <c r="AG189" s="173" t="s">
        <v>661</v>
      </c>
      <c r="AH189" s="173">
        <v>8</v>
      </c>
      <c r="AI189" s="173">
        <v>8</v>
      </c>
      <c r="AJ189" s="173">
        <v>11</v>
      </c>
      <c r="AK189" s="173">
        <v>10</v>
      </c>
      <c r="AL189" s="173" t="s">
        <v>661</v>
      </c>
      <c r="AM189" s="173" t="s">
        <v>661</v>
      </c>
      <c r="AN189" s="173" t="s">
        <v>661</v>
      </c>
      <c r="AO189" s="173" t="s">
        <v>661</v>
      </c>
      <c r="AP18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8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8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8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89" s="173" t="s">
        <v>992</v>
      </c>
      <c r="AU18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8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8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18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8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8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8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0" spans="1:53" x14ac:dyDescent="0.3">
      <c r="A190" s="173" t="s">
        <v>755</v>
      </c>
      <c r="B190" s="173"/>
      <c r="C190" s="171" t="s">
        <v>269</v>
      </c>
      <c r="D190" s="172" t="s">
        <v>8</v>
      </c>
      <c r="E190" s="172" t="s">
        <v>42</v>
      </c>
      <c r="F190" s="117" t="str">
        <f>_xlfn.XLOOKUP(tblF42023[[#This Row],[FULL_NAME]],F6Results_2026[Full_Name],F6Results_2026[Comb],"",0,1)</f>
        <v>PCB</v>
      </c>
      <c r="G190" s="117"/>
      <c r="H19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0" s="173" t="s">
        <v>530</v>
      </c>
      <c r="J190" s="173">
        <v>2025</v>
      </c>
      <c r="K190" s="121" t="s">
        <v>2</v>
      </c>
      <c r="L190" s="121" t="s">
        <v>2</v>
      </c>
      <c r="M190" s="121" t="s">
        <v>2</v>
      </c>
      <c r="N190" s="121" t="s">
        <v>2</v>
      </c>
      <c r="O190" s="121" t="s">
        <v>2</v>
      </c>
      <c r="P190" s="121"/>
      <c r="Q190" s="121"/>
      <c r="R190" s="121"/>
      <c r="S190" s="121"/>
      <c r="T190" s="121" t="s">
        <v>3</v>
      </c>
      <c r="U190" s="121"/>
      <c r="V190" s="121"/>
      <c r="W190" s="121" t="s">
        <v>2</v>
      </c>
      <c r="X190" s="121" t="s">
        <v>2</v>
      </c>
      <c r="Y190" s="121" t="s">
        <v>4</v>
      </c>
      <c r="Z190" s="122" t="s">
        <v>2</v>
      </c>
      <c r="AA190" s="119">
        <f>COUNTIF(tblF42023[[#This Row],[CIV]:[BIBLE]],"A")</f>
        <v>8</v>
      </c>
      <c r="AB190" s="119">
        <v>7</v>
      </c>
      <c r="AC190" s="119" t="s">
        <v>10</v>
      </c>
      <c r="AD190" s="120">
        <v>3</v>
      </c>
      <c r="AE190" s="173">
        <v>4</v>
      </c>
      <c r="AF190" s="173">
        <v>3</v>
      </c>
      <c r="AG190" s="173" t="s">
        <v>661</v>
      </c>
      <c r="AH190" s="173">
        <v>3</v>
      </c>
      <c r="AI190" s="173">
        <v>3</v>
      </c>
      <c r="AJ190" s="173">
        <v>5</v>
      </c>
      <c r="AK190" s="173" t="s">
        <v>661</v>
      </c>
      <c r="AL190" s="173">
        <v>5</v>
      </c>
      <c r="AM190" s="173">
        <v>6</v>
      </c>
      <c r="AN190" s="173" t="s">
        <v>661</v>
      </c>
      <c r="AO190" s="173" t="s">
        <v>661</v>
      </c>
      <c r="AP19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0" s="173" t="s">
        <v>991</v>
      </c>
      <c r="AU19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9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9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1" spans="1:53" x14ac:dyDescent="0.3">
      <c r="A191" s="173" t="s">
        <v>756</v>
      </c>
      <c r="B191" s="173"/>
      <c r="C191" s="171" t="s">
        <v>124</v>
      </c>
      <c r="D191" s="172" t="s">
        <v>8</v>
      </c>
      <c r="E191" s="172" t="s">
        <v>42</v>
      </c>
      <c r="F191" s="117" t="str">
        <f>_xlfn.XLOOKUP(tblF42023[[#This Row],[FULL_NAME]],F6Results_2026[Full_Name],F6Results_2026[Comb],"",0,1)</f>
        <v>HGK</v>
      </c>
      <c r="G191" s="117"/>
      <c r="H19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1" s="173" t="s">
        <v>530</v>
      </c>
      <c r="J191" s="173">
        <v>2025</v>
      </c>
      <c r="K191" s="121" t="s">
        <v>4</v>
      </c>
      <c r="L191" s="121" t="s">
        <v>4</v>
      </c>
      <c r="M191" s="121" t="s">
        <v>4</v>
      </c>
      <c r="N191" s="121" t="s">
        <v>3</v>
      </c>
      <c r="O191" s="121" t="s">
        <v>3</v>
      </c>
      <c r="P191" s="121"/>
      <c r="Q191" s="121"/>
      <c r="R191" s="121"/>
      <c r="S191" s="121"/>
      <c r="T191" s="121" t="s">
        <v>4</v>
      </c>
      <c r="U191" s="121"/>
      <c r="V191" s="121"/>
      <c r="W191" s="121" t="s">
        <v>4</v>
      </c>
      <c r="X191" s="121" t="s">
        <v>4</v>
      </c>
      <c r="Y191" s="121" t="s">
        <v>5</v>
      </c>
      <c r="Z191" s="122" t="s">
        <v>2</v>
      </c>
      <c r="AA191" s="119">
        <f>COUNTIF(tblF42023[[#This Row],[CIV]:[BIBLE]],"A")</f>
        <v>1</v>
      </c>
      <c r="AB191" s="119">
        <v>17</v>
      </c>
      <c r="AC191" s="119" t="s">
        <v>10</v>
      </c>
      <c r="AD191" s="120">
        <v>7</v>
      </c>
      <c r="AE191" s="173">
        <v>9</v>
      </c>
      <c r="AF191" s="173">
        <v>9</v>
      </c>
      <c r="AG191" s="173" t="s">
        <v>661</v>
      </c>
      <c r="AH191" s="173">
        <v>8</v>
      </c>
      <c r="AI191" s="173">
        <v>8</v>
      </c>
      <c r="AJ191" s="173">
        <v>9</v>
      </c>
      <c r="AK191" s="173" t="s">
        <v>661</v>
      </c>
      <c r="AL191" s="173">
        <v>10</v>
      </c>
      <c r="AM191" s="173">
        <v>10</v>
      </c>
      <c r="AN191" s="173" t="s">
        <v>661</v>
      </c>
      <c r="AO191" s="173" t="s">
        <v>661</v>
      </c>
      <c r="AP19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9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9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N</v>
      </c>
      <c r="AS19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1" s="173" t="s">
        <v>992</v>
      </c>
      <c r="AU19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9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9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9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9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2" spans="1:53" x14ac:dyDescent="0.3">
      <c r="A192" s="173" t="s">
        <v>757</v>
      </c>
      <c r="B192" s="173"/>
      <c r="C192" s="171"/>
      <c r="D192" s="172" t="s">
        <v>8</v>
      </c>
      <c r="E192" s="172" t="s">
        <v>42</v>
      </c>
      <c r="F192" s="117" t="str">
        <f>_xlfn.XLOOKUP(tblF42023[[#This Row],[FULL_NAME]],F6Results_2026[Full_Name],F6Results_2026[Comb],"",0,1)</f>
        <v/>
      </c>
      <c r="G192" s="117"/>
      <c r="H19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2" s="173" t="s">
        <v>530</v>
      </c>
      <c r="J192" s="173">
        <v>2025</v>
      </c>
      <c r="K192" s="121" t="s">
        <v>3</v>
      </c>
      <c r="L192" s="121" t="s">
        <v>3</v>
      </c>
      <c r="M192" s="121" t="s">
        <v>3</v>
      </c>
      <c r="N192" s="121" t="s">
        <v>2</v>
      </c>
      <c r="O192" s="121" t="s">
        <v>3</v>
      </c>
      <c r="P192" s="121"/>
      <c r="Q192" s="121"/>
      <c r="R192" s="121"/>
      <c r="S192" s="121" t="s">
        <v>3</v>
      </c>
      <c r="T192" s="121" t="s">
        <v>3</v>
      </c>
      <c r="U192" s="121"/>
      <c r="V192" s="121"/>
      <c r="W192" s="121" t="s">
        <v>3</v>
      </c>
      <c r="X192" s="121" t="s">
        <v>2</v>
      </c>
      <c r="Y192" s="121" t="s">
        <v>4</v>
      </c>
      <c r="Z192" s="122"/>
      <c r="AA192" s="119">
        <f>COUNTIF(tblF42023[[#This Row],[CIV]:[BIBLE]],"A")</f>
        <v>2</v>
      </c>
      <c r="AB192" s="119">
        <v>12</v>
      </c>
      <c r="AC192" s="119" t="s">
        <v>10</v>
      </c>
      <c r="AD192" s="120">
        <v>5</v>
      </c>
      <c r="AE192" s="173">
        <v>6</v>
      </c>
      <c r="AF192" s="173">
        <v>5</v>
      </c>
      <c r="AG192" s="173">
        <v>6</v>
      </c>
      <c r="AH192" s="173">
        <v>6</v>
      </c>
      <c r="AI192" s="173">
        <v>5</v>
      </c>
      <c r="AJ192" s="173">
        <v>6</v>
      </c>
      <c r="AK192" s="173" t="s">
        <v>661</v>
      </c>
      <c r="AL192" s="173">
        <v>6</v>
      </c>
      <c r="AM192" s="173">
        <v>7</v>
      </c>
      <c r="AN192" s="173">
        <v>7</v>
      </c>
      <c r="AO192" s="173" t="s">
        <v>661</v>
      </c>
      <c r="AP19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92" s="173" t="s">
        <v>991</v>
      </c>
      <c r="AU19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9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9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19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3" spans="1:53" x14ac:dyDescent="0.3">
      <c r="A193" s="173" t="s">
        <v>758</v>
      </c>
      <c r="B193" s="173"/>
      <c r="C193" s="171" t="s">
        <v>271</v>
      </c>
      <c r="D193" s="172" t="s">
        <v>8</v>
      </c>
      <c r="E193" s="172" t="s">
        <v>42</v>
      </c>
      <c r="F193" s="117" t="str">
        <f>_xlfn.XLOOKUP(tblF42023[[#This Row],[FULL_NAME]],F6Results_2026[Full_Name],F6Results_2026[Comb],"",0,1)</f>
        <v>PCB</v>
      </c>
      <c r="G193" s="117"/>
      <c r="H19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3" s="173" t="s">
        <v>530</v>
      </c>
      <c r="J193" s="173">
        <v>2025</v>
      </c>
      <c r="K193" s="173" t="s">
        <v>2</v>
      </c>
      <c r="L193" s="173" t="s">
        <v>2</v>
      </c>
      <c r="M193" s="173" t="s">
        <v>2</v>
      </c>
      <c r="N193" s="173" t="s">
        <v>2</v>
      </c>
      <c r="O193" s="173" t="s">
        <v>2</v>
      </c>
      <c r="P193" s="173"/>
      <c r="Q193" s="173"/>
      <c r="R193" s="173"/>
      <c r="S193" s="173"/>
      <c r="T193" s="173" t="s">
        <v>2</v>
      </c>
      <c r="U193" s="173"/>
      <c r="V193" s="173"/>
      <c r="W193" s="173" t="s">
        <v>2</v>
      </c>
      <c r="X193" s="173" t="s">
        <v>2</v>
      </c>
      <c r="Y193" s="173" t="s">
        <v>4</v>
      </c>
      <c r="Z193" s="118" t="s">
        <v>2</v>
      </c>
      <c r="AA193" s="119">
        <f>COUNTIF(tblF42023[[#This Row],[CIV]:[BIBLE]],"A")</f>
        <v>9</v>
      </c>
      <c r="AB193" s="119">
        <v>7</v>
      </c>
      <c r="AC193" s="119" t="s">
        <v>10</v>
      </c>
      <c r="AD193" s="120">
        <v>3</v>
      </c>
      <c r="AE193" s="173">
        <v>3</v>
      </c>
      <c r="AF193" s="173">
        <v>3</v>
      </c>
      <c r="AG193" s="173" t="s">
        <v>661</v>
      </c>
      <c r="AH193" s="173">
        <v>3</v>
      </c>
      <c r="AI193" s="173">
        <v>3</v>
      </c>
      <c r="AJ193" s="173">
        <v>3</v>
      </c>
      <c r="AK193" s="173" t="s">
        <v>661</v>
      </c>
      <c r="AL193" s="173">
        <v>5</v>
      </c>
      <c r="AM193" s="173">
        <v>5</v>
      </c>
      <c r="AN193" s="173" t="s">
        <v>661</v>
      </c>
      <c r="AO193" s="173" t="s">
        <v>661</v>
      </c>
      <c r="AP19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3" s="173" t="s">
        <v>991</v>
      </c>
      <c r="AU19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9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9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4" spans="1:53" x14ac:dyDescent="0.3">
      <c r="A194" s="173" t="s">
        <v>759</v>
      </c>
      <c r="B194" s="173"/>
      <c r="C194" s="171" t="s">
        <v>77</v>
      </c>
      <c r="D194" s="172" t="s">
        <v>8</v>
      </c>
      <c r="E194" s="172" t="s">
        <v>42</v>
      </c>
      <c r="F194" s="117" t="str">
        <f>_xlfn.XLOOKUP(tblF42023[[#This Row],[FULL_NAME]],F6Results_2026[Full_Name],F6Results_2026[Comb],"",0,1)</f>
        <v>HGL</v>
      </c>
      <c r="G194" s="117"/>
      <c r="H19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4" s="173" t="s">
        <v>530</v>
      </c>
      <c r="J194" s="173">
        <v>2025</v>
      </c>
      <c r="K194" s="121" t="s">
        <v>3</v>
      </c>
      <c r="L194" s="121" t="s">
        <v>4</v>
      </c>
      <c r="M194" s="121" t="s">
        <v>4</v>
      </c>
      <c r="N194" s="121" t="s">
        <v>3</v>
      </c>
      <c r="O194" s="121" t="s">
        <v>2</v>
      </c>
      <c r="P194" s="121"/>
      <c r="Q194" s="121"/>
      <c r="R194" s="121"/>
      <c r="S194" s="121"/>
      <c r="T194" s="121" t="s">
        <v>5</v>
      </c>
      <c r="U194" s="121"/>
      <c r="V194" s="121"/>
      <c r="W194" s="121" t="s">
        <v>4</v>
      </c>
      <c r="X194" s="121" t="s">
        <v>3</v>
      </c>
      <c r="Y194" s="121" t="s">
        <v>5</v>
      </c>
      <c r="Z194" s="122" t="s">
        <v>2</v>
      </c>
      <c r="AA194" s="119">
        <f>COUNTIF(tblF42023[[#This Row],[CIV]:[BIBLE]],"A")</f>
        <v>2</v>
      </c>
      <c r="AB194" s="119">
        <v>14</v>
      </c>
      <c r="AC194" s="119" t="s">
        <v>10</v>
      </c>
      <c r="AD194" s="120">
        <v>6</v>
      </c>
      <c r="AE194" s="173">
        <v>10</v>
      </c>
      <c r="AF194" s="173">
        <v>8</v>
      </c>
      <c r="AG194" s="173" t="s">
        <v>661</v>
      </c>
      <c r="AH194" s="173">
        <v>7</v>
      </c>
      <c r="AI194" s="173">
        <v>8</v>
      </c>
      <c r="AJ194" s="173">
        <v>11</v>
      </c>
      <c r="AK194" s="173" t="s">
        <v>661</v>
      </c>
      <c r="AL194" s="173">
        <v>9</v>
      </c>
      <c r="AM194" s="173">
        <v>11</v>
      </c>
      <c r="AN194" s="173" t="s">
        <v>661</v>
      </c>
      <c r="AO194" s="173" t="s">
        <v>661</v>
      </c>
      <c r="AP19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9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N</v>
      </c>
      <c r="AS19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4" s="173" t="s">
        <v>992</v>
      </c>
      <c r="AU19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9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9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9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9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5" spans="1:53" x14ac:dyDescent="0.3">
      <c r="A195" s="173" t="s">
        <v>760</v>
      </c>
      <c r="B195" s="173"/>
      <c r="C195" s="171" t="s">
        <v>159</v>
      </c>
      <c r="D195" s="172" t="s">
        <v>8</v>
      </c>
      <c r="E195" s="172" t="s">
        <v>42</v>
      </c>
      <c r="F195" s="117" t="str">
        <f>_xlfn.XLOOKUP(tblF42023[[#This Row],[FULL_NAME]],F6Results_2026[Full_Name],F6Results_2026[Comb],"",0,1)</f>
        <v>EGM</v>
      </c>
      <c r="G195" s="117"/>
      <c r="H19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5" s="173" t="s">
        <v>530</v>
      </c>
      <c r="J195" s="173">
        <v>2025</v>
      </c>
      <c r="K195" s="121" t="s">
        <v>2</v>
      </c>
      <c r="L195" s="121" t="s">
        <v>2</v>
      </c>
      <c r="M195" s="121" t="s">
        <v>2</v>
      </c>
      <c r="N195" s="121" t="s">
        <v>2</v>
      </c>
      <c r="O195" s="121" t="s">
        <v>2</v>
      </c>
      <c r="P195" s="121"/>
      <c r="Q195" s="121"/>
      <c r="R195" s="121"/>
      <c r="S195" s="121"/>
      <c r="T195" s="121" t="s">
        <v>3</v>
      </c>
      <c r="U195" s="121"/>
      <c r="V195" s="121"/>
      <c r="W195" s="121" t="s">
        <v>2</v>
      </c>
      <c r="X195" s="121" t="s">
        <v>2</v>
      </c>
      <c r="Y195" s="121" t="s">
        <v>4</v>
      </c>
      <c r="Z195" s="122" t="s">
        <v>2</v>
      </c>
      <c r="AA195" s="119">
        <f>COUNTIF(tblF42023[[#This Row],[CIV]:[BIBLE]],"A")</f>
        <v>8</v>
      </c>
      <c r="AB195" s="119">
        <v>7</v>
      </c>
      <c r="AC195" s="119" t="s">
        <v>10</v>
      </c>
      <c r="AD195" s="120">
        <v>3</v>
      </c>
      <c r="AE195" s="173">
        <v>4</v>
      </c>
      <c r="AF195" s="173">
        <v>3</v>
      </c>
      <c r="AG195" s="173" t="s">
        <v>661</v>
      </c>
      <c r="AH195" s="173">
        <v>3</v>
      </c>
      <c r="AI195" s="173">
        <v>3</v>
      </c>
      <c r="AJ195" s="173">
        <v>5</v>
      </c>
      <c r="AK195" s="173" t="s">
        <v>661</v>
      </c>
      <c r="AL195" s="173">
        <v>5</v>
      </c>
      <c r="AM195" s="173">
        <v>6</v>
      </c>
      <c r="AN195" s="173" t="s">
        <v>661</v>
      </c>
      <c r="AO195" s="173" t="s">
        <v>661</v>
      </c>
      <c r="AP19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5" s="173" t="s">
        <v>991</v>
      </c>
      <c r="AU19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9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9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6" spans="1:53" x14ac:dyDescent="0.3">
      <c r="A196" s="173" t="s">
        <v>761</v>
      </c>
      <c r="B196" s="173"/>
      <c r="C196" s="171" t="s">
        <v>126</v>
      </c>
      <c r="D196" s="172" t="s">
        <v>8</v>
      </c>
      <c r="E196" s="172" t="s">
        <v>42</v>
      </c>
      <c r="F196" s="117" t="str">
        <f>_xlfn.XLOOKUP(tblF42023[[#This Row],[FULL_NAME]],F6Results_2026[Full_Name],F6Results_2026[Comb],"",0,1)</f>
        <v>HGK</v>
      </c>
      <c r="G196" s="117"/>
      <c r="H19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6" s="173" t="s">
        <v>530</v>
      </c>
      <c r="J196" s="173">
        <v>2025</v>
      </c>
      <c r="K196" s="121" t="s">
        <v>3</v>
      </c>
      <c r="L196" s="121" t="s">
        <v>4</v>
      </c>
      <c r="M196" s="121" t="s">
        <v>3</v>
      </c>
      <c r="N196" s="121" t="s">
        <v>2</v>
      </c>
      <c r="O196" s="121" t="s">
        <v>3</v>
      </c>
      <c r="P196" s="121"/>
      <c r="Q196" s="121"/>
      <c r="R196" s="121"/>
      <c r="S196" s="121"/>
      <c r="T196" s="121" t="s">
        <v>4</v>
      </c>
      <c r="U196" s="121"/>
      <c r="V196" s="121"/>
      <c r="W196" s="121" t="s">
        <v>3</v>
      </c>
      <c r="X196" s="121" t="s">
        <v>4</v>
      </c>
      <c r="Y196" s="121" t="s">
        <v>4</v>
      </c>
      <c r="Z196" s="122" t="s">
        <v>2</v>
      </c>
      <c r="AA196" s="119">
        <f>COUNTIF(tblF42023[[#This Row],[CIV]:[BIBLE]],"A")</f>
        <v>2</v>
      </c>
      <c r="AB196" s="119">
        <v>13</v>
      </c>
      <c r="AC196" s="119" t="s">
        <v>10</v>
      </c>
      <c r="AD196" s="120">
        <v>6</v>
      </c>
      <c r="AE196" s="173">
        <v>8</v>
      </c>
      <c r="AF196" s="173">
        <v>7</v>
      </c>
      <c r="AG196" s="173" t="s">
        <v>661</v>
      </c>
      <c r="AH196" s="173">
        <v>7</v>
      </c>
      <c r="AI196" s="173">
        <v>6</v>
      </c>
      <c r="AJ196" s="173">
        <v>8</v>
      </c>
      <c r="AK196" s="173" t="s">
        <v>661</v>
      </c>
      <c r="AL196" s="173">
        <v>8</v>
      </c>
      <c r="AM196" s="173">
        <v>8</v>
      </c>
      <c r="AN196" s="173" t="s">
        <v>661</v>
      </c>
      <c r="AO196" s="173" t="s">
        <v>661</v>
      </c>
      <c r="AP19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9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6" s="173" t="s">
        <v>992</v>
      </c>
      <c r="AU19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9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19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19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7" spans="1:53" x14ac:dyDescent="0.3">
      <c r="A197" s="173" t="s">
        <v>762</v>
      </c>
      <c r="B197" s="173"/>
      <c r="C197" s="171"/>
      <c r="D197" s="172" t="s">
        <v>8</v>
      </c>
      <c r="E197" s="172" t="s">
        <v>42</v>
      </c>
      <c r="F197" s="117" t="str">
        <f>_xlfn.XLOOKUP(tblF42023[[#This Row],[FULL_NAME]],F6Results_2026[Full_Name],F6Results_2026[Comb],"",0,1)</f>
        <v/>
      </c>
      <c r="G197" s="117"/>
      <c r="H19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7" s="173" t="s">
        <v>530</v>
      </c>
      <c r="J197" s="173">
        <v>2025</v>
      </c>
      <c r="K197" s="121" t="s">
        <v>4</v>
      </c>
      <c r="L197" s="121" t="s">
        <v>5</v>
      </c>
      <c r="M197" s="121" t="s">
        <v>4</v>
      </c>
      <c r="N197" s="121" t="s">
        <v>4</v>
      </c>
      <c r="O197" s="121" t="s">
        <v>4</v>
      </c>
      <c r="P197" s="121"/>
      <c r="Q197" s="121"/>
      <c r="R197" s="121"/>
      <c r="S197" s="121" t="s">
        <v>4</v>
      </c>
      <c r="T197" s="121" t="s">
        <v>5</v>
      </c>
      <c r="U197" s="121"/>
      <c r="V197" s="121"/>
      <c r="W197" s="121"/>
      <c r="X197" s="121" t="s">
        <v>4</v>
      </c>
      <c r="Y197" s="121" t="s">
        <v>663</v>
      </c>
      <c r="Z197" s="122"/>
      <c r="AA197" s="119">
        <f>COUNTIF(tblF42023[[#This Row],[CIV]:[BIBLE]],"A")</f>
        <v>0</v>
      </c>
      <c r="AB197" s="119">
        <v>22</v>
      </c>
      <c r="AC197" s="119" t="s">
        <v>12</v>
      </c>
      <c r="AD197" s="120">
        <v>10</v>
      </c>
      <c r="AE197" s="173">
        <v>11</v>
      </c>
      <c r="AF197" s="173" t="s">
        <v>661</v>
      </c>
      <c r="AG197" s="173">
        <v>11</v>
      </c>
      <c r="AH197" s="173">
        <v>10</v>
      </c>
      <c r="AI197" s="173">
        <v>10</v>
      </c>
      <c r="AJ197" s="173">
        <v>11</v>
      </c>
      <c r="AK197" s="173" t="s">
        <v>661</v>
      </c>
      <c r="AL197" s="173" t="s">
        <v>661</v>
      </c>
      <c r="AM197" s="173" t="s">
        <v>661</v>
      </c>
      <c r="AN197" s="173" t="s">
        <v>661</v>
      </c>
      <c r="AO197" s="173" t="s">
        <v>661</v>
      </c>
      <c r="AP19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19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19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9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N</v>
      </c>
      <c r="AT197" s="173" t="s">
        <v>992</v>
      </c>
      <c r="AU19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19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19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9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9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8" spans="1:53" x14ac:dyDescent="0.3">
      <c r="A198" s="173" t="s">
        <v>763</v>
      </c>
      <c r="B198" s="173"/>
      <c r="C198" s="171" t="s">
        <v>161</v>
      </c>
      <c r="D198" s="172" t="s">
        <v>8</v>
      </c>
      <c r="E198" s="172" t="s">
        <v>42</v>
      </c>
      <c r="F198" s="117" t="str">
        <f>_xlfn.XLOOKUP(tblF42023[[#This Row],[FULL_NAME]],F6Results_2026[Full_Name],F6Results_2026[Comb],"",0,1)</f>
        <v>EGM</v>
      </c>
      <c r="G198" s="117"/>
      <c r="H19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8" s="173" t="s">
        <v>530</v>
      </c>
      <c r="J198" s="173">
        <v>2025</v>
      </c>
      <c r="K198" s="121" t="s">
        <v>2</v>
      </c>
      <c r="L198" s="121" t="s">
        <v>2</v>
      </c>
      <c r="M198" s="121" t="s">
        <v>2</v>
      </c>
      <c r="N198" s="121" t="s">
        <v>2</v>
      </c>
      <c r="O198" s="121" t="s">
        <v>2</v>
      </c>
      <c r="P198" s="121"/>
      <c r="Q198" s="121"/>
      <c r="R198" s="121"/>
      <c r="S198" s="121"/>
      <c r="T198" s="121" t="s">
        <v>3</v>
      </c>
      <c r="U198" s="121"/>
      <c r="V198" s="121"/>
      <c r="W198" s="121" t="s">
        <v>2</v>
      </c>
      <c r="X198" s="121" t="s">
        <v>2</v>
      </c>
      <c r="Y198" s="121" t="s">
        <v>4</v>
      </c>
      <c r="Z198" s="122" t="s">
        <v>2</v>
      </c>
      <c r="AA198" s="119">
        <f>COUNTIF(tblF42023[[#This Row],[CIV]:[BIBLE]],"A")</f>
        <v>8</v>
      </c>
      <c r="AB198" s="119">
        <v>7</v>
      </c>
      <c r="AC198" s="119" t="s">
        <v>10</v>
      </c>
      <c r="AD198" s="120">
        <v>3</v>
      </c>
      <c r="AE198" s="173">
        <v>4</v>
      </c>
      <c r="AF198" s="173">
        <v>3</v>
      </c>
      <c r="AG198" s="173" t="s">
        <v>661</v>
      </c>
      <c r="AH198" s="173">
        <v>3</v>
      </c>
      <c r="AI198" s="173">
        <v>3</v>
      </c>
      <c r="AJ198" s="173">
        <v>5</v>
      </c>
      <c r="AK198" s="173" t="s">
        <v>661</v>
      </c>
      <c r="AL198" s="173">
        <v>5</v>
      </c>
      <c r="AM198" s="173">
        <v>6</v>
      </c>
      <c r="AN198" s="173" t="s">
        <v>661</v>
      </c>
      <c r="AO198" s="173" t="s">
        <v>661</v>
      </c>
      <c r="AP19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19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198" s="173" t="s">
        <v>991</v>
      </c>
      <c r="AU19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19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19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19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199" spans="1:53" x14ac:dyDescent="0.3">
      <c r="A199" s="173" t="s">
        <v>764</v>
      </c>
      <c r="B199" s="173"/>
      <c r="C199" s="171"/>
      <c r="D199" s="172" t="s">
        <v>8</v>
      </c>
      <c r="E199" s="172" t="s">
        <v>42</v>
      </c>
      <c r="F199" s="117" t="str">
        <f>_xlfn.XLOOKUP(tblF42023[[#This Row],[FULL_NAME]],F6Results_2026[Full_Name],F6Results_2026[Comb],"",0,1)</f>
        <v/>
      </c>
      <c r="G199" s="117"/>
      <c r="H19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199" s="173" t="s">
        <v>530</v>
      </c>
      <c r="J199" s="173">
        <v>2025</v>
      </c>
      <c r="K199" s="121" t="s">
        <v>2</v>
      </c>
      <c r="L199" s="121" t="s">
        <v>3</v>
      </c>
      <c r="M199" s="121" t="s">
        <v>2</v>
      </c>
      <c r="N199" s="121" t="s">
        <v>2</v>
      </c>
      <c r="O199" s="121" t="s">
        <v>2</v>
      </c>
      <c r="P199" s="121"/>
      <c r="Q199" s="121" t="s">
        <v>2</v>
      </c>
      <c r="R199" s="121" t="s">
        <v>3</v>
      </c>
      <c r="S199" s="121" t="s">
        <v>2</v>
      </c>
      <c r="T199" s="121" t="s">
        <v>3</v>
      </c>
      <c r="U199" s="121"/>
      <c r="V199" s="121"/>
      <c r="W199" s="121"/>
      <c r="X199" s="121" t="s">
        <v>2</v>
      </c>
      <c r="Y199" s="121" t="s">
        <v>663</v>
      </c>
      <c r="Z199" s="122"/>
      <c r="AA199" s="119">
        <f>COUNTIF(tblF42023[[#This Row],[CIV]:[BIBLE]],"A")</f>
        <v>7</v>
      </c>
      <c r="AB199" s="119">
        <v>7</v>
      </c>
      <c r="AC199" s="119" t="s">
        <v>10</v>
      </c>
      <c r="AD199" s="120">
        <v>4</v>
      </c>
      <c r="AE199" s="173">
        <v>5</v>
      </c>
      <c r="AF199" s="173" t="s">
        <v>661</v>
      </c>
      <c r="AG199" s="173">
        <v>5</v>
      </c>
      <c r="AH199" s="173">
        <v>4</v>
      </c>
      <c r="AI199" s="173">
        <v>4</v>
      </c>
      <c r="AJ199" s="173">
        <v>5</v>
      </c>
      <c r="AK199" s="173">
        <v>5</v>
      </c>
      <c r="AL199" s="173" t="s">
        <v>661</v>
      </c>
      <c r="AM199" s="173" t="s">
        <v>661</v>
      </c>
      <c r="AN199" s="173" t="s">
        <v>661</v>
      </c>
      <c r="AO199" s="173" t="s">
        <v>661</v>
      </c>
      <c r="AP19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19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19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19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199" s="173" t="s">
        <v>991</v>
      </c>
      <c r="AU19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19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19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Y</v>
      </c>
      <c r="AX19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19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19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19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0" spans="1:53" x14ac:dyDescent="0.3">
      <c r="A200" s="173" t="s">
        <v>765</v>
      </c>
      <c r="B200" s="173"/>
      <c r="C200" s="171"/>
      <c r="D200" s="172" t="s">
        <v>8</v>
      </c>
      <c r="E200" s="172" t="s">
        <v>42</v>
      </c>
      <c r="F200" s="117" t="str">
        <f>_xlfn.XLOOKUP(tblF42023[[#This Row],[FULL_NAME]],F6Results_2026[Full_Name],F6Results_2026[Comb],"",0,1)</f>
        <v/>
      </c>
      <c r="G200" s="117"/>
      <c r="H20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0" s="173" t="s">
        <v>530</v>
      </c>
      <c r="J200" s="173">
        <v>2025</v>
      </c>
      <c r="K200" s="121" t="s">
        <v>4</v>
      </c>
      <c r="L200" s="121" t="s">
        <v>5</v>
      </c>
      <c r="M200" s="121" t="s">
        <v>4</v>
      </c>
      <c r="N200" s="121" t="s">
        <v>3</v>
      </c>
      <c r="O200" s="121" t="s">
        <v>4</v>
      </c>
      <c r="P200" s="121" t="s">
        <v>5</v>
      </c>
      <c r="Q200" s="121"/>
      <c r="R200" s="121"/>
      <c r="S200" s="121"/>
      <c r="T200" s="121" t="s">
        <v>5</v>
      </c>
      <c r="U200" s="121"/>
      <c r="V200" s="121"/>
      <c r="W200" s="121"/>
      <c r="X200" s="121" t="s">
        <v>4</v>
      </c>
      <c r="Y200" s="121" t="s">
        <v>663</v>
      </c>
      <c r="Z200" s="122" t="s">
        <v>2</v>
      </c>
      <c r="AA200" s="119">
        <f>COUNTIF(tblF42023[[#This Row],[CIV]:[BIBLE]],"A")</f>
        <v>1</v>
      </c>
      <c r="AB200" s="119">
        <v>19</v>
      </c>
      <c r="AC200" s="119" t="s">
        <v>11</v>
      </c>
      <c r="AD200" s="120">
        <v>9</v>
      </c>
      <c r="AE200" s="173">
        <v>11</v>
      </c>
      <c r="AF200" s="173" t="s">
        <v>661</v>
      </c>
      <c r="AG200" s="173" t="s">
        <v>661</v>
      </c>
      <c r="AH200" s="173">
        <v>10</v>
      </c>
      <c r="AI200" s="173">
        <v>9</v>
      </c>
      <c r="AJ200" s="173">
        <v>11</v>
      </c>
      <c r="AK200" s="173" t="s">
        <v>661</v>
      </c>
      <c r="AL200" s="173" t="s">
        <v>661</v>
      </c>
      <c r="AM200" s="173" t="s">
        <v>661</v>
      </c>
      <c r="AN200" s="173" t="s">
        <v>661</v>
      </c>
      <c r="AO200" s="173" t="s">
        <v>661</v>
      </c>
      <c r="AP20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20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20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0" s="173" t="s">
        <v>992</v>
      </c>
      <c r="AU20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20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20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20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1" spans="1:53" x14ac:dyDescent="0.3">
      <c r="A201" s="173" t="s">
        <v>766</v>
      </c>
      <c r="B201" s="173"/>
      <c r="C201" s="171" t="s">
        <v>79</v>
      </c>
      <c r="D201" s="172" t="s">
        <v>8</v>
      </c>
      <c r="E201" s="172" t="s">
        <v>42</v>
      </c>
      <c r="F201" s="117" t="str">
        <f>_xlfn.XLOOKUP(tblF42023[[#This Row],[FULL_NAME]],F6Results_2026[Full_Name],F6Results_2026[Comb],"",0,1)</f>
        <v>HGL</v>
      </c>
      <c r="G201" s="117"/>
      <c r="H201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1" s="173" t="s">
        <v>530</v>
      </c>
      <c r="J201" s="173">
        <v>2025</v>
      </c>
      <c r="K201" s="121" t="s">
        <v>2</v>
      </c>
      <c r="L201" s="121" t="s">
        <v>3</v>
      </c>
      <c r="M201" s="121" t="s">
        <v>4</v>
      </c>
      <c r="N201" s="121" t="s">
        <v>2</v>
      </c>
      <c r="O201" s="121" t="s">
        <v>3</v>
      </c>
      <c r="P201" s="121"/>
      <c r="Q201" s="121"/>
      <c r="R201" s="121"/>
      <c r="S201" s="121" t="s">
        <v>3</v>
      </c>
      <c r="T201" s="121" t="s">
        <v>3</v>
      </c>
      <c r="U201" s="121"/>
      <c r="V201" s="121"/>
      <c r="W201" s="121" t="s">
        <v>3</v>
      </c>
      <c r="X201" s="121" t="s">
        <v>3</v>
      </c>
      <c r="Y201" s="121" t="s">
        <v>5</v>
      </c>
      <c r="Z201" s="122"/>
      <c r="AA201" s="119">
        <f>COUNTIF(tblF42023[[#This Row],[CIV]:[BIBLE]],"A")</f>
        <v>2</v>
      </c>
      <c r="AB201" s="119">
        <v>12</v>
      </c>
      <c r="AC201" s="119" t="s">
        <v>10</v>
      </c>
      <c r="AD201" s="120">
        <v>5</v>
      </c>
      <c r="AE201" s="173">
        <v>7</v>
      </c>
      <c r="AF201" s="173">
        <v>7</v>
      </c>
      <c r="AG201" s="173">
        <v>6</v>
      </c>
      <c r="AH201" s="173">
        <v>7</v>
      </c>
      <c r="AI201" s="173">
        <v>6</v>
      </c>
      <c r="AJ201" s="173">
        <v>7</v>
      </c>
      <c r="AK201" s="173" t="s">
        <v>661</v>
      </c>
      <c r="AL201" s="173">
        <v>8</v>
      </c>
      <c r="AM201" s="173">
        <v>8</v>
      </c>
      <c r="AN201" s="173">
        <v>8</v>
      </c>
      <c r="AO201" s="173" t="s">
        <v>661</v>
      </c>
      <c r="AP201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1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1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01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201" s="173" t="s">
        <v>992</v>
      </c>
      <c r="AU201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1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1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1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201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201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N</v>
      </c>
      <c r="BA201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2" spans="1:53" x14ac:dyDescent="0.3">
      <c r="A202" s="173" t="s">
        <v>767</v>
      </c>
      <c r="B202" s="173"/>
      <c r="C202" s="171"/>
      <c r="D202" s="172" t="s">
        <v>8</v>
      </c>
      <c r="E202" s="172" t="s">
        <v>42</v>
      </c>
      <c r="F202" s="117" t="str">
        <f>_xlfn.XLOOKUP(tblF42023[[#This Row],[FULL_NAME]],F6Results_2026[Full_Name],F6Results_2026[Comb],"",0,1)</f>
        <v/>
      </c>
      <c r="G202" s="117"/>
      <c r="H202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2" s="173" t="s">
        <v>530</v>
      </c>
      <c r="J202" s="173">
        <v>2025</v>
      </c>
      <c r="K202" s="121" t="s">
        <v>3</v>
      </c>
      <c r="L202" s="121" t="s">
        <v>4</v>
      </c>
      <c r="M202" s="121" t="s">
        <v>4</v>
      </c>
      <c r="N202" s="121" t="s">
        <v>2</v>
      </c>
      <c r="O202" s="121" t="s">
        <v>3</v>
      </c>
      <c r="P202" s="121"/>
      <c r="Q202" s="121"/>
      <c r="R202" s="121"/>
      <c r="S202" s="121"/>
      <c r="T202" s="121" t="s">
        <v>4</v>
      </c>
      <c r="U202" s="121"/>
      <c r="V202" s="121"/>
      <c r="W202" s="121" t="s">
        <v>3</v>
      </c>
      <c r="X202" s="121" t="s">
        <v>3</v>
      </c>
      <c r="Y202" s="121" t="s">
        <v>5</v>
      </c>
      <c r="Z202" s="122" t="s">
        <v>2</v>
      </c>
      <c r="AA202" s="119">
        <f>COUNTIF(tblF42023[[#This Row],[CIV]:[BIBLE]],"A")</f>
        <v>2</v>
      </c>
      <c r="AB202" s="119">
        <v>13</v>
      </c>
      <c r="AC202" s="119" t="s">
        <v>10</v>
      </c>
      <c r="AD202" s="120">
        <v>6</v>
      </c>
      <c r="AE202" s="173">
        <v>9</v>
      </c>
      <c r="AF202" s="173">
        <v>7</v>
      </c>
      <c r="AG202" s="173" t="s">
        <v>661</v>
      </c>
      <c r="AH202" s="173">
        <v>8</v>
      </c>
      <c r="AI202" s="173">
        <v>7</v>
      </c>
      <c r="AJ202" s="173">
        <v>9</v>
      </c>
      <c r="AK202" s="173" t="s">
        <v>661</v>
      </c>
      <c r="AL202" s="173">
        <v>8</v>
      </c>
      <c r="AM202" s="173">
        <v>9</v>
      </c>
      <c r="AN202" s="173" t="s">
        <v>661</v>
      </c>
      <c r="AO202" s="173" t="s">
        <v>661</v>
      </c>
      <c r="AP202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2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2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02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2" s="173" t="s">
        <v>992</v>
      </c>
      <c r="AU202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202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2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2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202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202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2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3" spans="1:53" x14ac:dyDescent="0.3">
      <c r="A203" s="173" t="s">
        <v>768</v>
      </c>
      <c r="B203" s="173"/>
      <c r="C203" s="171" t="s">
        <v>337</v>
      </c>
      <c r="D203" s="172" t="s">
        <v>8</v>
      </c>
      <c r="E203" s="172" t="s">
        <v>42</v>
      </c>
      <c r="F203" s="117" t="str">
        <f>_xlfn.XLOOKUP(tblF42023[[#This Row],[FULL_NAME]],F6Results_2026[Full_Name],F6Results_2026[Comb],"",0,1)</f>
        <v>PMCs</v>
      </c>
      <c r="G203" s="117"/>
      <c r="H203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3" s="173" t="s">
        <v>530</v>
      </c>
      <c r="J203" s="173">
        <v>2025</v>
      </c>
      <c r="K203" s="121" t="s">
        <v>2</v>
      </c>
      <c r="L203" s="121" t="s">
        <v>3</v>
      </c>
      <c r="M203" s="121" t="s">
        <v>2</v>
      </c>
      <c r="N203" s="121" t="s">
        <v>2</v>
      </c>
      <c r="O203" s="121" t="s">
        <v>3</v>
      </c>
      <c r="P203" s="121"/>
      <c r="Q203" s="121"/>
      <c r="R203" s="121"/>
      <c r="S203" s="121" t="s">
        <v>3</v>
      </c>
      <c r="T203" s="121" t="s">
        <v>2</v>
      </c>
      <c r="U203" s="121"/>
      <c r="V203" s="121"/>
      <c r="W203" s="121" t="s">
        <v>2</v>
      </c>
      <c r="X203" s="121" t="s">
        <v>3</v>
      </c>
      <c r="Y203" s="121" t="s">
        <v>4</v>
      </c>
      <c r="Z203" s="122"/>
      <c r="AA203" s="119">
        <f>COUNTIF(tblF42023[[#This Row],[CIV]:[BIBLE]],"A")</f>
        <v>5</v>
      </c>
      <c r="AB203" s="119">
        <v>9</v>
      </c>
      <c r="AC203" s="119" t="s">
        <v>10</v>
      </c>
      <c r="AD203" s="120">
        <v>5</v>
      </c>
      <c r="AE203" s="173">
        <v>4</v>
      </c>
      <c r="AF203" s="173">
        <v>4</v>
      </c>
      <c r="AG203" s="173">
        <v>4</v>
      </c>
      <c r="AH203" s="173">
        <v>5</v>
      </c>
      <c r="AI203" s="173">
        <v>4</v>
      </c>
      <c r="AJ203" s="173">
        <v>3</v>
      </c>
      <c r="AK203" s="173" t="s">
        <v>661</v>
      </c>
      <c r="AL203" s="173">
        <v>6</v>
      </c>
      <c r="AM203" s="173">
        <v>5</v>
      </c>
      <c r="AN203" s="173">
        <v>6</v>
      </c>
      <c r="AO203" s="173" t="s">
        <v>661</v>
      </c>
      <c r="AP203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3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03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03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203" s="173" t="s">
        <v>991</v>
      </c>
      <c r="AU203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3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03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3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03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03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203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4" spans="1:53" x14ac:dyDescent="0.3">
      <c r="A204" s="173" t="s">
        <v>769</v>
      </c>
      <c r="B204" s="173"/>
      <c r="C204" s="171" t="s">
        <v>81</v>
      </c>
      <c r="D204" s="172" t="s">
        <v>8</v>
      </c>
      <c r="E204" s="172" t="s">
        <v>42</v>
      </c>
      <c r="F204" s="117" t="str">
        <f>_xlfn.XLOOKUP(tblF42023[[#This Row],[FULL_NAME]],F6Results_2026[Full_Name],F6Results_2026[Comb],"",0,1)</f>
        <v>HGL</v>
      </c>
      <c r="G204" s="117"/>
      <c r="H204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4" s="173" t="s">
        <v>530</v>
      </c>
      <c r="J204" s="173">
        <v>2025</v>
      </c>
      <c r="K204" s="121" t="s">
        <v>2</v>
      </c>
      <c r="L204" s="121" t="s">
        <v>2</v>
      </c>
      <c r="M204" s="121" t="s">
        <v>2</v>
      </c>
      <c r="N204" s="121" t="s">
        <v>2</v>
      </c>
      <c r="O204" s="121" t="s">
        <v>2</v>
      </c>
      <c r="P204" s="121"/>
      <c r="Q204" s="121"/>
      <c r="R204" s="121"/>
      <c r="S204" s="121"/>
      <c r="T204" s="121" t="s">
        <v>3</v>
      </c>
      <c r="U204" s="121"/>
      <c r="V204" s="121"/>
      <c r="W204" s="121" t="s">
        <v>2</v>
      </c>
      <c r="X204" s="121" t="s">
        <v>2</v>
      </c>
      <c r="Y204" s="121" t="s">
        <v>4</v>
      </c>
      <c r="Z204" s="122" t="s">
        <v>2</v>
      </c>
      <c r="AA204" s="119">
        <f>COUNTIF(tblF42023[[#This Row],[CIV]:[BIBLE]],"A")</f>
        <v>8</v>
      </c>
      <c r="AB204" s="119">
        <v>7</v>
      </c>
      <c r="AC204" s="119" t="s">
        <v>10</v>
      </c>
      <c r="AD204" s="120">
        <v>3</v>
      </c>
      <c r="AE204" s="173">
        <v>4</v>
      </c>
      <c r="AF204" s="173">
        <v>3</v>
      </c>
      <c r="AG204" s="173" t="s">
        <v>661</v>
      </c>
      <c r="AH204" s="173">
        <v>3</v>
      </c>
      <c r="AI204" s="173">
        <v>3</v>
      </c>
      <c r="AJ204" s="173">
        <v>5</v>
      </c>
      <c r="AK204" s="173" t="s">
        <v>661</v>
      </c>
      <c r="AL204" s="173">
        <v>5</v>
      </c>
      <c r="AM204" s="173">
        <v>6</v>
      </c>
      <c r="AN204" s="173" t="s">
        <v>661</v>
      </c>
      <c r="AO204" s="173" t="s">
        <v>661</v>
      </c>
      <c r="AP204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4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04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04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4" s="173" t="s">
        <v>991</v>
      </c>
      <c r="AU204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4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04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4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04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04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4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5" spans="1:53" x14ac:dyDescent="0.3">
      <c r="A205" s="173" t="s">
        <v>770</v>
      </c>
      <c r="B205" s="173"/>
      <c r="C205" s="171" t="s">
        <v>273</v>
      </c>
      <c r="D205" s="172" t="s">
        <v>8</v>
      </c>
      <c r="E205" s="172" t="s">
        <v>42</v>
      </c>
      <c r="F205" s="117" t="str">
        <f>_xlfn.XLOOKUP(tblF42023[[#This Row],[FULL_NAME]],F6Results_2026[Full_Name],F6Results_2026[Comb],"",0,1)</f>
        <v>PCB</v>
      </c>
      <c r="G205" s="117"/>
      <c r="H205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5" s="173" t="s">
        <v>530</v>
      </c>
      <c r="J205" s="173">
        <v>2025</v>
      </c>
      <c r="K205" s="121" t="s">
        <v>2</v>
      </c>
      <c r="L205" s="121" t="s">
        <v>3</v>
      </c>
      <c r="M205" s="121" t="s">
        <v>4</v>
      </c>
      <c r="N205" s="121" t="s">
        <v>2</v>
      </c>
      <c r="O205" s="121" t="s">
        <v>3</v>
      </c>
      <c r="P205" s="121"/>
      <c r="Q205" s="121"/>
      <c r="R205" s="121"/>
      <c r="S205" s="121"/>
      <c r="T205" s="121" t="s">
        <v>3</v>
      </c>
      <c r="U205" s="121"/>
      <c r="V205" s="121"/>
      <c r="W205" s="121" t="s">
        <v>2</v>
      </c>
      <c r="X205" s="121" t="s">
        <v>3</v>
      </c>
      <c r="Y205" s="121" t="s">
        <v>4</v>
      </c>
      <c r="Z205" s="122" t="s">
        <v>2</v>
      </c>
      <c r="AA205" s="119">
        <f>COUNTIF(tblF42023[[#This Row],[CIV]:[BIBLE]],"A")</f>
        <v>4</v>
      </c>
      <c r="AB205" s="119">
        <v>10</v>
      </c>
      <c r="AC205" s="119" t="s">
        <v>10</v>
      </c>
      <c r="AD205" s="120">
        <v>5</v>
      </c>
      <c r="AE205" s="173">
        <v>7</v>
      </c>
      <c r="AF205" s="173">
        <v>6</v>
      </c>
      <c r="AG205" s="173" t="s">
        <v>661</v>
      </c>
      <c r="AH205" s="173">
        <v>7</v>
      </c>
      <c r="AI205" s="173">
        <v>6</v>
      </c>
      <c r="AJ205" s="173">
        <v>7</v>
      </c>
      <c r="AK205" s="173" t="s">
        <v>661</v>
      </c>
      <c r="AL205" s="173">
        <v>6</v>
      </c>
      <c r="AM205" s="173">
        <v>6</v>
      </c>
      <c r="AN205" s="173" t="s">
        <v>661</v>
      </c>
      <c r="AO205" s="173" t="s">
        <v>661</v>
      </c>
      <c r="AP205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5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5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05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5" s="173" t="s">
        <v>992</v>
      </c>
      <c r="AU205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5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5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5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05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05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5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6" spans="1:53" x14ac:dyDescent="0.3">
      <c r="A206" s="173" t="s">
        <v>771</v>
      </c>
      <c r="B206" s="173"/>
      <c r="C206" s="171" t="s">
        <v>316</v>
      </c>
      <c r="D206" s="172" t="s">
        <v>8</v>
      </c>
      <c r="E206" s="172" t="s">
        <v>42</v>
      </c>
      <c r="F206" s="117" t="str">
        <f>_xlfn.XLOOKUP(tblF42023[[#This Row],[FULL_NAME]],F6Results_2026[Full_Name],F6Results_2026[Comb],"",0,1)</f>
        <v>ECA</v>
      </c>
      <c r="G206" s="117"/>
      <c r="H206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6" s="173" t="s">
        <v>530</v>
      </c>
      <c r="J206" s="173">
        <v>2025</v>
      </c>
      <c r="K206" s="121" t="s">
        <v>2</v>
      </c>
      <c r="L206" s="121" t="s">
        <v>2</v>
      </c>
      <c r="M206" s="121" t="s">
        <v>2</v>
      </c>
      <c r="N206" s="121" t="s">
        <v>2</v>
      </c>
      <c r="O206" s="121" t="s">
        <v>2</v>
      </c>
      <c r="P206" s="121"/>
      <c r="Q206" s="121" t="s">
        <v>4</v>
      </c>
      <c r="R206" s="121" t="s">
        <v>4</v>
      </c>
      <c r="S206" s="121"/>
      <c r="T206" s="121" t="s">
        <v>3</v>
      </c>
      <c r="U206" s="121"/>
      <c r="V206" s="121"/>
      <c r="W206" s="121"/>
      <c r="X206" s="121" t="s">
        <v>3</v>
      </c>
      <c r="Y206" s="121" t="s">
        <v>663</v>
      </c>
      <c r="Z206" s="122" t="s">
        <v>2</v>
      </c>
      <c r="AA206" s="119">
        <f>COUNTIF(tblF42023[[#This Row],[CIV]:[BIBLE]],"A")</f>
        <v>6</v>
      </c>
      <c r="AB206" s="119">
        <v>8</v>
      </c>
      <c r="AC206" s="119" t="s">
        <v>10</v>
      </c>
      <c r="AD206" s="120">
        <v>3</v>
      </c>
      <c r="AE206" s="173">
        <v>4</v>
      </c>
      <c r="AF206" s="173" t="s">
        <v>661</v>
      </c>
      <c r="AG206" s="173" t="s">
        <v>661</v>
      </c>
      <c r="AH206" s="173">
        <v>3</v>
      </c>
      <c r="AI206" s="173">
        <v>3</v>
      </c>
      <c r="AJ206" s="173">
        <v>5</v>
      </c>
      <c r="AK206" s="173">
        <v>8</v>
      </c>
      <c r="AL206" s="173" t="s">
        <v>661</v>
      </c>
      <c r="AM206" s="173" t="s">
        <v>661</v>
      </c>
      <c r="AN206" s="173" t="s">
        <v>661</v>
      </c>
      <c r="AO206" s="173" t="s">
        <v>661</v>
      </c>
      <c r="AP206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6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06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/>
      </c>
      <c r="AS206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6" s="173" t="s">
        <v>991</v>
      </c>
      <c r="AU206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6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06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>N</v>
      </c>
      <c r="AX206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/>
      </c>
      <c r="AY206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/>
      </c>
      <c r="AZ206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6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7" spans="1:53" x14ac:dyDescent="0.3">
      <c r="A207" s="173" t="s">
        <v>772</v>
      </c>
      <c r="B207" s="173"/>
      <c r="C207" s="171"/>
      <c r="D207" s="172" t="s">
        <v>8</v>
      </c>
      <c r="E207" s="172" t="s">
        <v>42</v>
      </c>
      <c r="F207" s="117" t="str">
        <f>_xlfn.XLOOKUP(tblF42023[[#This Row],[FULL_NAME]],F6Results_2026[Full_Name],F6Results_2026[Comb],"",0,1)</f>
        <v/>
      </c>
      <c r="G207" s="117"/>
      <c r="H207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7" s="173" t="s">
        <v>530</v>
      </c>
      <c r="J207" s="173">
        <v>2025</v>
      </c>
      <c r="K207" s="121" t="s">
        <v>3</v>
      </c>
      <c r="L207" s="121" t="s">
        <v>4</v>
      </c>
      <c r="M207" s="121" t="s">
        <v>4</v>
      </c>
      <c r="N207" s="121" t="s">
        <v>3</v>
      </c>
      <c r="O207" s="121" t="s">
        <v>3</v>
      </c>
      <c r="P207" s="121"/>
      <c r="Q207" s="121"/>
      <c r="R207" s="121"/>
      <c r="S207" s="121"/>
      <c r="T207" s="121" t="s">
        <v>4</v>
      </c>
      <c r="U207" s="121"/>
      <c r="V207" s="121"/>
      <c r="W207" s="121" t="s">
        <v>4</v>
      </c>
      <c r="X207" s="121" t="s">
        <v>4</v>
      </c>
      <c r="Y207" s="121" t="s">
        <v>8</v>
      </c>
      <c r="Z207" s="122" t="s">
        <v>3</v>
      </c>
      <c r="AA207" s="119">
        <f>COUNTIF(tblF42023[[#This Row],[CIV]:[BIBLE]],"A")</f>
        <v>0</v>
      </c>
      <c r="AB207" s="119">
        <v>17</v>
      </c>
      <c r="AC207" s="119" t="s">
        <v>10</v>
      </c>
      <c r="AD207" s="120">
        <v>7</v>
      </c>
      <c r="AE207" s="173">
        <v>9</v>
      </c>
      <c r="AF207" s="173">
        <v>9</v>
      </c>
      <c r="AG207" s="173" t="s">
        <v>661</v>
      </c>
      <c r="AH207" s="173">
        <v>8</v>
      </c>
      <c r="AI207" s="173">
        <v>8</v>
      </c>
      <c r="AJ207" s="173">
        <v>9</v>
      </c>
      <c r="AK207" s="173" t="s">
        <v>661</v>
      </c>
      <c r="AL207" s="173">
        <v>11</v>
      </c>
      <c r="AM207" s="173">
        <v>11</v>
      </c>
      <c r="AN207" s="173" t="s">
        <v>661</v>
      </c>
      <c r="AO207" s="173" t="s">
        <v>661</v>
      </c>
      <c r="AP207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207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7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N</v>
      </c>
      <c r="AS207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7" s="173" t="s">
        <v>992</v>
      </c>
      <c r="AU207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207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7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7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207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207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7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8" spans="1:53" x14ac:dyDescent="0.3">
      <c r="A208" s="173" t="s">
        <v>773</v>
      </c>
      <c r="B208" s="173"/>
      <c r="C208" s="171" t="s">
        <v>163</v>
      </c>
      <c r="D208" s="172" t="s">
        <v>8</v>
      </c>
      <c r="E208" s="172" t="s">
        <v>42</v>
      </c>
      <c r="F208" s="117" t="str">
        <f>_xlfn.XLOOKUP(tblF42023[[#This Row],[FULL_NAME]],F6Results_2026[Full_Name],F6Results_2026[Comb],"",0,1)</f>
        <v>EGM</v>
      </c>
      <c r="G208" s="117"/>
      <c r="H208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8" s="173" t="s">
        <v>530</v>
      </c>
      <c r="J208" s="173">
        <v>2025</v>
      </c>
      <c r="K208" s="121" t="s">
        <v>2</v>
      </c>
      <c r="L208" s="121" t="s">
        <v>3</v>
      </c>
      <c r="M208" s="121" t="s">
        <v>3</v>
      </c>
      <c r="N208" s="121" t="s">
        <v>2</v>
      </c>
      <c r="O208" s="121" t="s">
        <v>3</v>
      </c>
      <c r="P208" s="121"/>
      <c r="Q208" s="121"/>
      <c r="R208" s="121"/>
      <c r="S208" s="121"/>
      <c r="T208" s="121" t="s">
        <v>3</v>
      </c>
      <c r="U208" s="121"/>
      <c r="V208" s="121"/>
      <c r="W208" s="121" t="s">
        <v>2</v>
      </c>
      <c r="X208" s="121" t="s">
        <v>2</v>
      </c>
      <c r="Y208" s="121" t="s">
        <v>4</v>
      </c>
      <c r="Z208" s="122" t="s">
        <v>2</v>
      </c>
      <c r="AA208" s="119">
        <f>COUNTIF(tblF42023[[#This Row],[CIV]:[BIBLE]],"A")</f>
        <v>5</v>
      </c>
      <c r="AB208" s="119">
        <v>9</v>
      </c>
      <c r="AC208" s="119" t="s">
        <v>10</v>
      </c>
      <c r="AD208" s="120">
        <v>5</v>
      </c>
      <c r="AE208" s="173">
        <v>6</v>
      </c>
      <c r="AF208" s="173">
        <v>4</v>
      </c>
      <c r="AG208" s="173" t="s">
        <v>661</v>
      </c>
      <c r="AH208" s="173">
        <v>6</v>
      </c>
      <c r="AI208" s="173">
        <v>5</v>
      </c>
      <c r="AJ208" s="173">
        <v>6</v>
      </c>
      <c r="AK208" s="173" t="s">
        <v>661</v>
      </c>
      <c r="AL208" s="173">
        <v>5</v>
      </c>
      <c r="AM208" s="173">
        <v>6</v>
      </c>
      <c r="AN208" s="173" t="s">
        <v>661</v>
      </c>
      <c r="AO208" s="173" t="s">
        <v>661</v>
      </c>
      <c r="AP208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08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08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08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8" s="173" t="s">
        <v>991</v>
      </c>
      <c r="AU208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08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08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8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08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08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8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09" spans="1:53" x14ac:dyDescent="0.3">
      <c r="A209" s="173" t="s">
        <v>774</v>
      </c>
      <c r="B209" s="173"/>
      <c r="C209" s="171" t="s">
        <v>130</v>
      </c>
      <c r="D209" s="172" t="s">
        <v>8</v>
      </c>
      <c r="E209" s="172" t="s">
        <v>42</v>
      </c>
      <c r="F209" s="117" t="str">
        <f>_xlfn.XLOOKUP(tblF42023[[#This Row],[FULL_NAME]],F6Results_2026[Full_Name],F6Results_2026[Comb],"",0,1)</f>
        <v>HGK</v>
      </c>
      <c r="G209" s="117"/>
      <c r="H209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09" s="173" t="s">
        <v>530</v>
      </c>
      <c r="J209" s="173">
        <v>2025</v>
      </c>
      <c r="K209" s="121" t="s">
        <v>3</v>
      </c>
      <c r="L209" s="121" t="s">
        <v>4</v>
      </c>
      <c r="M209" s="121" t="s">
        <v>4</v>
      </c>
      <c r="N209" s="121" t="s">
        <v>3</v>
      </c>
      <c r="O209" s="121" t="s">
        <v>3</v>
      </c>
      <c r="P209" s="121"/>
      <c r="Q209" s="121"/>
      <c r="R209" s="121"/>
      <c r="S209" s="121"/>
      <c r="T209" s="121" t="s">
        <v>4</v>
      </c>
      <c r="U209" s="121"/>
      <c r="V209" s="121"/>
      <c r="W209" s="121" t="s">
        <v>4</v>
      </c>
      <c r="X209" s="121" t="s">
        <v>4</v>
      </c>
      <c r="Y209" s="121" t="s">
        <v>5</v>
      </c>
      <c r="Z209" s="122" t="s">
        <v>2</v>
      </c>
      <c r="AA209" s="119">
        <f>COUNTIF(tblF42023[[#This Row],[CIV]:[BIBLE]],"A")</f>
        <v>1</v>
      </c>
      <c r="AB209" s="119">
        <v>16</v>
      </c>
      <c r="AC209" s="119" t="s">
        <v>10</v>
      </c>
      <c r="AD209" s="120">
        <v>7</v>
      </c>
      <c r="AE209" s="173">
        <v>9</v>
      </c>
      <c r="AF209" s="173">
        <v>9</v>
      </c>
      <c r="AG209" s="173" t="s">
        <v>661</v>
      </c>
      <c r="AH209" s="173">
        <v>8</v>
      </c>
      <c r="AI209" s="173">
        <v>8</v>
      </c>
      <c r="AJ209" s="173">
        <v>9</v>
      </c>
      <c r="AK209" s="173" t="s">
        <v>661</v>
      </c>
      <c r="AL209" s="173">
        <v>10</v>
      </c>
      <c r="AM209" s="173">
        <v>10</v>
      </c>
      <c r="AN209" s="173" t="s">
        <v>661</v>
      </c>
      <c r="AO209" s="173" t="s">
        <v>661</v>
      </c>
      <c r="AP209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N</v>
      </c>
      <c r="AQ209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N</v>
      </c>
      <c r="AR209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N</v>
      </c>
      <c r="AS209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/>
      </c>
      <c r="AT209" s="173" t="s">
        <v>992</v>
      </c>
      <c r="AU209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N</v>
      </c>
      <c r="AV209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N</v>
      </c>
      <c r="AW209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09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N</v>
      </c>
      <c r="AY209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N</v>
      </c>
      <c r="AZ209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/>
      </c>
      <c r="BA209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  <row r="210" spans="1:53" x14ac:dyDescent="0.3">
      <c r="A210" s="173" t="s">
        <v>775</v>
      </c>
      <c r="B210" s="173"/>
      <c r="C210" s="171" t="s">
        <v>338</v>
      </c>
      <c r="D210" s="172" t="s">
        <v>8</v>
      </c>
      <c r="E210" s="172" t="s">
        <v>42</v>
      </c>
      <c r="F210" s="117" t="str">
        <f>_xlfn.XLOOKUP(tblF42023[[#This Row],[FULL_NAME]],F6Results_2026[Full_Name],F6Results_2026[Comb],"",0,1)</f>
        <v>PMCs</v>
      </c>
      <c r="G210" s="117"/>
      <c r="H210" s="173" t="str">
        <f>IF(
   OR(tblF42023[[#This Row],[PHY]]&lt;&gt;"",tblF42023[[#This Row],[CHEM]]&lt;&gt;""),
   "Sci",
   IF(
      OR(tblF42023[[#This Row],[B/KEEP]]&lt;&gt;"",tblF42023[[#This Row],[COMM]]&lt;&gt;""),
      "Busi",
      "Art"
   )
)</f>
        <v>Sci</v>
      </c>
      <c r="I210" s="173" t="s">
        <v>530</v>
      </c>
      <c r="J210" s="173">
        <v>2025</v>
      </c>
      <c r="K210" s="121" t="s">
        <v>2</v>
      </c>
      <c r="L210" s="121" t="s">
        <v>2</v>
      </c>
      <c r="M210" s="121" t="s">
        <v>3</v>
      </c>
      <c r="N210" s="121" t="s">
        <v>2</v>
      </c>
      <c r="O210" s="121" t="s">
        <v>2</v>
      </c>
      <c r="P210" s="121"/>
      <c r="Q210" s="121"/>
      <c r="R210" s="121"/>
      <c r="S210" s="121" t="s">
        <v>3</v>
      </c>
      <c r="T210" s="121" t="s">
        <v>3</v>
      </c>
      <c r="U210" s="121"/>
      <c r="V210" s="121"/>
      <c r="W210" s="121" t="s">
        <v>2</v>
      </c>
      <c r="X210" s="121" t="s">
        <v>2</v>
      </c>
      <c r="Y210" s="121" t="s">
        <v>4</v>
      </c>
      <c r="Z210" s="122"/>
      <c r="AA210" s="119">
        <f>COUNTIF(tblF42023[[#This Row],[CIV]:[BIBLE]],"A")</f>
        <v>6</v>
      </c>
      <c r="AB210" s="119">
        <v>8</v>
      </c>
      <c r="AC210" s="119" t="s">
        <v>10</v>
      </c>
      <c r="AD210" s="120">
        <v>3</v>
      </c>
      <c r="AE210" s="173">
        <v>5</v>
      </c>
      <c r="AF210" s="173">
        <v>4</v>
      </c>
      <c r="AG210" s="173">
        <v>6</v>
      </c>
      <c r="AH210" s="173">
        <v>4</v>
      </c>
      <c r="AI210" s="173">
        <v>4</v>
      </c>
      <c r="AJ210" s="173">
        <v>6</v>
      </c>
      <c r="AK210" s="173" t="s">
        <v>661</v>
      </c>
      <c r="AL210" s="173">
        <v>5</v>
      </c>
      <c r="AM210" s="173">
        <v>6</v>
      </c>
      <c r="AN210" s="173">
        <v>7</v>
      </c>
      <c r="AO210" s="173" t="s">
        <v>661</v>
      </c>
      <c r="AP210" s="173" t="str">
        <f>_xlfn.LET(
  _xlpm.total, tblF42023[[#This Row],[HKL]],
  _xlpm.h, tblF42023[[#This Row],[HIST]], _xlpm.g, tblF42023[[#This Row],[GEO]], _xlpm.e, tblF42023[[#This Row],[ENGL]],
  _xlpm.anyBelowC, OR(_xlpm.h="D", _xlpm.h="F", _xlpm.h="", _xlpm.g="D", _xlpm.g="F", _xlpm.g="", _xlpm.e="D", _xlpm.e="F", _xlpm.e=""),
  IF(_xlpm.total="", "", IF(_xlpm.anyBelowC, "N", IF(_xlpm.total&gt;6, "N", "Y")))
)</f>
        <v>Y</v>
      </c>
      <c r="AQ210" s="173" t="str">
        <f>_xlfn.LET(
  _xlpm.total, tblF42023[[#This Row],[HGE]],
  _xlpm.h, tblF42023[[#This Row],[HIST]], _xlpm.g, tblF42023[[#This Row],[GEO]], _xlpm.m, tblF42023[[#This Row],[MATH]],
  _xlpm.anyBelowC, OR(_xlpm.h="D", _xlpm.h="F", _xlpm.h="", _xlpm.g="D", _xlpm.g="F", _xlpm.g="", _xlpm.m="D", _xlpm.m="F", _xlpm.m=""),
  IF(_xlpm.total="", "", IF(_xlpm.anyBelowC, "N", IF(_xlpm.total&gt;6, "N", "Y")))
)</f>
        <v>Y</v>
      </c>
      <c r="AR210" s="173" t="str">
        <f>_xlfn.LET(
  _xlpm.total, tblF42023[[#This Row],[CBG]],
  _xlpm.c, tblF42023[[#This Row],[CHEM]], _xlpm.g, tblF42023[[#This Row],[GEO]], _xlpm.b, tblF42023[[#This Row],[BIOS]],
  _xlpm.anyBelowC, OR(_xlpm.c="D", _xlpm.c="F", _xlpm.c="", _xlpm.g="D", _xlpm.g="F", _xlpm.g="", _xlpm.b="D", _xlpm.b="F", _xlpm.b=""),
  IF(_xlpm.total="", "", IF(_xlpm.anyBelowC, "N", IF(_xlpm.total&gt;7, "N", "Y")))
)</f>
        <v>Y</v>
      </c>
      <c r="AS210" s="173" t="str">
        <f>_xlfn.LET(
  _xlpm.total, tblF42023[[#This Row],[ECM]],
  _xlpm.i, tblF42023[[#This Row],[ICS]], _xlpm.m, tblF42023[[#This Row],[MATH]],
  _xlpm.anyBelowC, OR(_xlpm.i="D", _xlpm.i="F", _xlpm.i="", _xlpm.m="D", _xlpm.m="F", _xlpm.m=""),
  IF(_xlpm.total="", "", IF(_xlpm.anyBelowC, "N", IF(_xlpm.total&gt;6, "N", "Y")))
)</f>
        <v>Y</v>
      </c>
      <c r="AT210" s="173" t="s">
        <v>991</v>
      </c>
      <c r="AU210" s="173" t="str">
        <f>_xlfn.LET(
  _xlpm.total, tblF42023[[#This Row],[HGK]],
  _xlpm.h, tblF42023[[#This Row],[HIST]], _xlpm.g, tblF42023[[#This Row],[GEO]], _xlpm.k, tblF42023[[#This Row],[KISW]],
  _xlpm.anyBelowC, OR(_xlpm.h="D", _xlpm.h="F", _xlpm.h="", _xlpm.g="D", _xlpm.g="F", _xlpm.g="", _xlpm.k="D", _xlpm.k="F", _xlpm.k=""),
  IF(_xlpm.total="", "", IF(_xlpm.anyBelowC, "N", IF(_xlpm.total&gt;6, "N", "Y")))
)</f>
        <v>Y</v>
      </c>
      <c r="AV210" s="173" t="str">
        <f>_xlfn.LET(
  _xlpm.total, tblF42023[[#This Row],[EGM]],
  _xlpm.g, tblF42023[[#This Row],[GEO]], _xlpm.m, tblF42023[[#This Row],[MATH]],
  _xlpm.anyBelowC, OR(_xlpm.g="D", _xlpm.g="F", _xlpm.g="", _xlpm.m="D", _xlpm.m="F", _xlpm.m=""),
  IF(_xlpm.total="", "", IF(_xlpm.anyBelowC, "N", IF(_xlpm.total&gt;6, "N", "Y")))
)</f>
        <v>Y</v>
      </c>
      <c r="AW210" s="173" t="str">
        <f>_xlfn.LET(
  _xlpm.total, tblF42023[[#This Row],[EBUAC]],
  _xlpm.b, tblF42023[[#This Row],[B/KEEP]], _xlpm.c, tblF42023[[#This Row],[COMM]], _xlpm.m, tblF42023[[#This Row],[MATH]],
  _xlpm.anyBelowC, OR(_xlpm.b="D", _xlpm.b="F", _xlpm.b="", _xlpm.c="D", _xlpm.c="F", _xlpm.c="", _xlpm.m="D", _xlpm.m="F", _xlpm.m=""),
  IF(_xlpm.total="", "", IF(_xlpm.anyBelowC, "N", IF(_xlpm.total&gt;6, "N", "Y")))
)</f>
        <v/>
      </c>
      <c r="AX210" s="173" t="str">
        <f>_xlfn.LET(
  _xlpm.total, tblF42023[[#This Row],[PCB]],
  _xlpm.p, tblF42023[[#This Row],[PHY]], _xlpm.c, tblF42023[[#This Row],[CHEM]], _xlpm.b, tblF42023[[#This Row],[BIOS]],
  _xlpm.anyBelowC, OR(_xlpm.p="D", _xlpm.p="F", _xlpm.p="", _xlpm.c="D", _xlpm.c="F", _xlpm.c="", _xlpm.b="D", _xlpm.b="F", _xlpm.b=""),
  IF(_xlpm.total="", "", IF(_xlpm.anyBelowC, "N", IF(_xlpm.total&gt;7, "N", "Y")))
)</f>
        <v>Y</v>
      </c>
      <c r="AY210" s="173" t="str">
        <f>_xlfn.LET(
  _xlpm.total, tblF42023[[#This Row],[PCM]],
  _xlpm.p, tblF42023[[#This Row],[PHY]], _xlpm.c, tblF42023[[#This Row],[CHEM]], _xlpm.m, tblF42023[[#This Row],[MATH]],
  _xlpm.anyBelowC, OR(_xlpm.p="D", _xlpm.p="F", _xlpm.p="", _xlpm.c="D", _xlpm.c="F", _xlpm.c="", _xlpm.m="D", _xlpm.m="F", _xlpm.m=""),
  IF(_xlpm.total="", "", IF(_xlpm.anyBelowC, "N", IF(_xlpm.total&gt;7, "N", "Y")))
)</f>
        <v>Y</v>
      </c>
      <c r="AZ210" s="173" t="str">
        <f>_xlfn.LET(
  _xlpm.total, tblF42023[[#This Row],[PMC]],
  _xlpm.p, tblF42023[[#This Row],[PHY]], _xlpm.m, tblF42023[[#This Row],[MATH]], _xlpm.i, tblF42023[[#This Row],[ICS]],
  _xlpm.anyBelowC, OR(_xlpm.p="D", _xlpm.p="F", _xlpm.p="", _xlpm.m="D", _xlpm.m="F", _xlpm.m="", _xlpm.i="D", _xlpm.i="F", _xlpm.i=""),
  IF(_xlpm.total="", "", IF(_xlpm.anyBelowC, "N", IF(_xlpm.total&gt;7, "N", "Y")))
)</f>
        <v>Y</v>
      </c>
      <c r="BA210" s="173" t="str">
        <f>_xlfn.LET(
  _xlpm.total, tblF42023[[#This Row],[CBA]],
  _xlpm.c, tblF42023[[#This Row],[CHEM]], _xlpm.b, tblF42023[[#This Row],[BIOS]], _xlpm.a, tblF42023[[#This Row],[AGR]],
  _xlpm.anyBelowC, OR(_xlpm.c="D", _xlpm.c="F", _xlpm.c="", _xlpm.b="D", _xlpm.b="F", _xlpm.b="", _xlpm.a="D", _xlpm.a="F", _xlpm.a=""),
  IF(_xlpm.total="", "", IF(_xlpm.anyBelowC, "N", IF(_xlpm.total&gt;7, "N", "Y")))
)</f>
        <v/>
      </c>
    </row>
  </sheetData>
  <mergeCells count="2">
    <mergeCell ref="K3:AB3"/>
    <mergeCell ref="A1:BA1"/>
  </mergeCells>
  <conditionalFormatting sqref="A1:B1048576">
    <cfRule type="duplicateValues" dxfId="9" priority="1"/>
  </conditionalFormatting>
  <dataValidations count="1">
    <dataValidation type="list" allowBlank="1" showInputMessage="1" showErrorMessage="1" sqref="I10:I210" xr:uid="{00000000-0002-0000-1300-000000000000}">
      <formula1>Exams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218"/>
  <sheetViews>
    <sheetView showGridLines="0" workbookViewId="0">
      <pane ySplit="9" topLeftCell="A10" activePane="bottomLeft" state="frozen"/>
      <selection activeCell="C1" sqref="C1"/>
      <selection pane="bottomLeft" activeCell="Q5" sqref="Q5"/>
    </sheetView>
  </sheetViews>
  <sheetFormatPr defaultColWidth="7.33203125" defaultRowHeight="14.4" x14ac:dyDescent="0.3"/>
  <cols>
    <col min="1" max="1" width="15.5546875" style="210" bestFit="1" customWidth="1"/>
    <col min="2" max="2" width="15.5546875" style="210" customWidth="1"/>
    <col min="3" max="3" width="32.5546875" style="210" bestFit="1" customWidth="1"/>
    <col min="4" max="4" width="7.5546875" style="210" bestFit="1" customWidth="1"/>
    <col min="5" max="5" width="10" style="210" bestFit="1" customWidth="1"/>
    <col min="6" max="6" width="7.88671875" style="210" bestFit="1" customWidth="1"/>
    <col min="7" max="7" width="9.33203125" style="210" bestFit="1" customWidth="1"/>
    <col min="8" max="8" width="7.88671875" style="210" bestFit="1" customWidth="1"/>
    <col min="9" max="9" width="10.21875" style="210" bestFit="1" customWidth="1"/>
    <col min="10" max="20" width="7.33203125" style="210" customWidth="1"/>
    <col min="21" max="21" width="11.109375" style="210" bestFit="1" customWidth="1"/>
    <col min="22" max="22" width="9.21875" style="210" customWidth="1"/>
    <col min="23" max="23" width="7.33203125" style="210" customWidth="1"/>
    <col min="24" max="16384" width="7.33203125" style="210"/>
  </cols>
  <sheetData>
    <row r="1" spans="1:32" x14ac:dyDescent="0.3">
      <c r="A1" s="445" t="s">
        <v>498</v>
      </c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  <c r="M1" s="415"/>
      <c r="N1" s="415"/>
      <c r="O1" s="415"/>
      <c r="P1" s="415"/>
      <c r="Q1" s="415"/>
      <c r="R1" s="415"/>
      <c r="S1" s="415"/>
      <c r="T1" s="415"/>
      <c r="U1" s="415"/>
      <c r="V1" s="415"/>
    </row>
    <row r="2" spans="1:32" s="162" customFormat="1" x14ac:dyDescent="0.3">
      <c r="A2" s="79"/>
      <c r="B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1:32" ht="13.8" customHeight="1" thickBot="1" x14ac:dyDescent="0.35">
      <c r="A3" s="80"/>
      <c r="B3" s="80"/>
      <c r="I3" s="444" t="s">
        <v>499</v>
      </c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</row>
    <row r="4" spans="1:32" ht="15" customHeight="1" thickBot="1" x14ac:dyDescent="0.35">
      <c r="I4" s="83" t="s">
        <v>22</v>
      </c>
      <c r="J4" s="84" t="s">
        <v>10</v>
      </c>
      <c r="K4" s="84" t="s">
        <v>11</v>
      </c>
      <c r="L4" s="84" t="s">
        <v>12</v>
      </c>
      <c r="M4" s="84" t="s">
        <v>13</v>
      </c>
      <c r="N4" s="84" t="s">
        <v>351</v>
      </c>
      <c r="O4" s="84" t="s">
        <v>500</v>
      </c>
      <c r="P4" s="84" t="s">
        <v>501</v>
      </c>
      <c r="Q4" s="84" t="s">
        <v>352</v>
      </c>
      <c r="R4" s="84" t="s">
        <v>502</v>
      </c>
      <c r="S4" s="84" t="s">
        <v>503</v>
      </c>
      <c r="T4" s="85" t="s">
        <v>345</v>
      </c>
      <c r="U4" s="85" t="s">
        <v>346</v>
      </c>
      <c r="V4" s="89"/>
    </row>
    <row r="5" spans="1:32" ht="15" customHeight="1" thickBot="1" x14ac:dyDescent="0.35">
      <c r="I5" s="83" t="s">
        <v>504</v>
      </c>
      <c r="J5" s="91">
        <f>COUNTIFS(tblF22021[SEX],"M",tblF22021[DIVISION],"I")</f>
        <v>89</v>
      </c>
      <c r="K5" s="91">
        <f>COUNTIFS(tblF22021[SEX],"M",tblF22021[DIVISION],"II")</f>
        <v>2</v>
      </c>
      <c r="L5" s="91">
        <f>COUNTIFS(tblF22021[SEX],"M",tblF22021[DIVISION],"III")</f>
        <v>0</v>
      </c>
      <c r="M5" s="91">
        <f>COUNTIFS(tblF22021[SEX],"M",tblF22021[DIVISION],"IV")</f>
        <v>0</v>
      </c>
      <c r="N5" s="91">
        <f>COUNTIFS(tblF22021[SEX],"M",tblF22021[DIVISION],"O")</f>
        <v>0</v>
      </c>
      <c r="O5" s="91">
        <f>COUNTIFS(tblF22021[SEX],"M",tblF22021[DIVISION],"ABS")</f>
        <v>0</v>
      </c>
      <c r="P5" s="91">
        <f>SUM(J5:N5)</f>
        <v>91</v>
      </c>
      <c r="Q5" s="231"/>
      <c r="R5" s="231">
        <f>AVERAGEIFS(tblF22021[POINTS], tblF22021[SEX], "M")</f>
        <v>8.8681318681318686</v>
      </c>
      <c r="S5" s="91">
        <f>COUNTIFS(tblF22021[SEX],"M",tblF22021[POINTS],"&lt;=7")</f>
        <v>56</v>
      </c>
      <c r="T5" s="232"/>
      <c r="U5" s="92"/>
    </row>
    <row r="6" spans="1:32" ht="15" customHeight="1" thickBot="1" x14ac:dyDescent="0.35">
      <c r="I6" s="83" t="s">
        <v>505</v>
      </c>
      <c r="J6" s="93">
        <f>COUNTIFS(tblF22021[SEX],"F",tblF22021[DIVISION],"I")</f>
        <v>117</v>
      </c>
      <c r="K6" s="93">
        <f>COUNTIFS(tblF22021[SEX],"F",tblF22021[DIVISION],"II")</f>
        <v>0</v>
      </c>
      <c r="L6" s="93">
        <f>COUNTIFS(tblF22021[SEX],"F",tblF22021[DIVISION],"III")</f>
        <v>0</v>
      </c>
      <c r="M6" s="93">
        <f>COUNTIFS(tblF22021[SEX],"F",tblF22021[DIVISION],"IV")</f>
        <v>0</v>
      </c>
      <c r="N6" s="93">
        <f>COUNTIFS(tblF22021[SEX],"F",tblF22021[DIVISION],"O")</f>
        <v>0</v>
      </c>
      <c r="O6" s="93">
        <f>COUNTIFS(tblF22021[SEX],"F",tblF22021[DIVISION],"ABS")</f>
        <v>0</v>
      </c>
      <c r="P6" s="93">
        <f>SUM(J6:N6)</f>
        <v>117</v>
      </c>
      <c r="Q6" s="233"/>
      <c r="R6" s="233">
        <f>AVERAGEIFS(tblF22021[POINTS], tblF22021[SEX], "F")</f>
        <v>8.3931623931623935</v>
      </c>
      <c r="S6" s="91">
        <f>COUNTIFS(tblF22021[SEX],"F",tblF22021[POINTS],"&lt;=7")</f>
        <v>69</v>
      </c>
      <c r="T6" s="234"/>
      <c r="U6" s="94"/>
    </row>
    <row r="7" spans="1:32" s="95" customFormat="1" ht="15" customHeight="1" thickBot="1" x14ac:dyDescent="0.35">
      <c r="I7" s="96" t="s">
        <v>506</v>
      </c>
      <c r="J7" s="93">
        <f t="shared" ref="J7:P7" si="0">SUM(J5:J6)</f>
        <v>206</v>
      </c>
      <c r="K7" s="93">
        <f t="shared" si="0"/>
        <v>2</v>
      </c>
      <c r="L7" s="93">
        <f t="shared" si="0"/>
        <v>0</v>
      </c>
      <c r="M7" s="93">
        <f t="shared" si="0"/>
        <v>0</v>
      </c>
      <c r="N7" s="93">
        <f t="shared" si="0"/>
        <v>0</v>
      </c>
      <c r="O7" s="93">
        <f t="shared" si="0"/>
        <v>0</v>
      </c>
      <c r="P7" s="93">
        <f t="shared" si="0"/>
        <v>208</v>
      </c>
      <c r="Q7" s="233"/>
      <c r="R7" s="233">
        <f>AVERAGE(R5:R6)</f>
        <v>8.6306471306471302</v>
      </c>
      <c r="S7" s="91">
        <f>COUNTIF(tblF22021[POINTS],"&lt;=7")</f>
        <v>125</v>
      </c>
      <c r="T7" s="234"/>
      <c r="U7" s="94"/>
    </row>
    <row r="8" spans="1:32" s="95" customFormat="1" x14ac:dyDescent="0.3"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</row>
    <row r="9" spans="1:32" ht="58.8" customHeight="1" x14ac:dyDescent="0.3">
      <c r="A9" s="99" t="s">
        <v>507</v>
      </c>
      <c r="B9" s="99" t="s">
        <v>798</v>
      </c>
      <c r="C9" s="99" t="s">
        <v>508</v>
      </c>
      <c r="D9" s="100" t="s">
        <v>21</v>
      </c>
      <c r="E9" s="99" t="s">
        <v>23</v>
      </c>
      <c r="F9" s="101" t="s">
        <v>509</v>
      </c>
      <c r="G9" s="102" t="s">
        <v>511</v>
      </c>
      <c r="H9" s="101" t="s">
        <v>16</v>
      </c>
      <c r="I9" s="213" t="s">
        <v>512</v>
      </c>
      <c r="J9" s="213" t="s">
        <v>25</v>
      </c>
      <c r="K9" s="213" t="s">
        <v>513</v>
      </c>
      <c r="L9" s="213" t="s">
        <v>841</v>
      </c>
      <c r="M9" s="213" t="s">
        <v>842</v>
      </c>
      <c r="N9" s="213" t="s">
        <v>843</v>
      </c>
      <c r="O9" s="213" t="s">
        <v>844</v>
      </c>
      <c r="P9" s="213" t="s">
        <v>845</v>
      </c>
      <c r="Q9" s="213" t="s">
        <v>846</v>
      </c>
      <c r="R9" s="213" t="s">
        <v>32</v>
      </c>
      <c r="S9" s="174" t="s">
        <v>516</v>
      </c>
      <c r="T9" s="174" t="s">
        <v>517</v>
      </c>
      <c r="U9" s="174" t="s">
        <v>36</v>
      </c>
      <c r="V9" s="174" t="s">
        <v>852</v>
      </c>
      <c r="W9" s="104" t="s">
        <v>474</v>
      </c>
      <c r="X9" s="105" t="s">
        <v>521</v>
      </c>
      <c r="Y9" s="168" t="s">
        <v>799</v>
      </c>
      <c r="AE9">
        <v>7</v>
      </c>
      <c r="AF9" t="s">
        <v>10</v>
      </c>
    </row>
    <row r="10" spans="1:32" x14ac:dyDescent="0.3">
      <c r="A10">
        <v>1</v>
      </c>
      <c r="B10" s="173"/>
      <c r="C10" s="171" t="s">
        <v>193</v>
      </c>
      <c r="D10" s="172" t="s">
        <v>8</v>
      </c>
      <c r="E10" s="172" t="s">
        <v>42</v>
      </c>
      <c r="F10" s="117"/>
      <c r="G10" s="173" t="s">
        <v>800</v>
      </c>
      <c r="H10" s="173">
        <v>2021</v>
      </c>
      <c r="I10" s="213" t="s">
        <v>2</v>
      </c>
      <c r="J10" s="213" t="s">
        <v>2</v>
      </c>
      <c r="K10" s="213" t="s">
        <v>2</v>
      </c>
      <c r="L10" s="213" t="s">
        <v>2</v>
      </c>
      <c r="M10" s="213" t="s">
        <v>2</v>
      </c>
      <c r="N10" s="213" t="s">
        <v>2</v>
      </c>
      <c r="O10" s="213" t="s">
        <v>3</v>
      </c>
      <c r="P10" s="213" t="s">
        <v>2</v>
      </c>
      <c r="Q10" s="213" t="s">
        <v>2</v>
      </c>
      <c r="R10" s="213"/>
      <c r="S10" s="213"/>
      <c r="T10" s="213" t="s">
        <v>2</v>
      </c>
      <c r="U10" s="213" t="s">
        <v>2</v>
      </c>
      <c r="V10" s="213" t="s">
        <v>2</v>
      </c>
      <c r="W10" s="119">
        <v>7</v>
      </c>
      <c r="X10" s="119" t="s">
        <v>10</v>
      </c>
      <c r="Y10" s="119">
        <f>COUNTIF(tblF22021[[#This Row],[CIV]:[BK]],"A")</f>
        <v>11</v>
      </c>
      <c r="AE10">
        <v>18</v>
      </c>
      <c r="AF10" t="s">
        <v>11</v>
      </c>
    </row>
    <row r="11" spans="1:32" x14ac:dyDescent="0.3">
      <c r="A11">
        <v>2</v>
      </c>
      <c r="B11" s="173"/>
      <c r="C11" s="171" t="s">
        <v>138</v>
      </c>
      <c r="D11" s="172" t="s">
        <v>8</v>
      </c>
      <c r="E11" s="172" t="s">
        <v>42</v>
      </c>
      <c r="F11" s="117"/>
      <c r="G11" s="173" t="s">
        <v>800</v>
      </c>
      <c r="H11" s="173">
        <v>2021</v>
      </c>
      <c r="I11" s="213" t="s">
        <v>2</v>
      </c>
      <c r="J11" s="213" t="s">
        <v>2</v>
      </c>
      <c r="K11" s="213" t="s">
        <v>2</v>
      </c>
      <c r="L11" s="213" t="s">
        <v>2</v>
      </c>
      <c r="M11" s="213" t="s">
        <v>2</v>
      </c>
      <c r="N11" s="213" t="s">
        <v>2</v>
      </c>
      <c r="O11" s="213" t="s">
        <v>2</v>
      </c>
      <c r="P11" s="213" t="s">
        <v>2</v>
      </c>
      <c r="Q11" s="213" t="s">
        <v>2</v>
      </c>
      <c r="R11" s="213"/>
      <c r="S11" s="213"/>
      <c r="T11" s="213" t="s">
        <v>2</v>
      </c>
      <c r="U11" s="213" t="s">
        <v>3</v>
      </c>
      <c r="V11" s="213" t="s">
        <v>2</v>
      </c>
      <c r="W11" s="119">
        <v>7</v>
      </c>
      <c r="X11" s="119" t="s">
        <v>10</v>
      </c>
      <c r="Y11" s="119">
        <f>COUNTIF(tblF22021[[#This Row],[CIV]:[BK]],"A")</f>
        <v>11</v>
      </c>
      <c r="AE11">
        <v>22</v>
      </c>
      <c r="AF11" t="s">
        <v>12</v>
      </c>
    </row>
    <row r="12" spans="1:32" x14ac:dyDescent="0.3">
      <c r="A12">
        <v>3</v>
      </c>
      <c r="B12" s="173"/>
      <c r="C12" s="171" t="s">
        <v>39</v>
      </c>
      <c r="D12" s="172" t="s">
        <v>8</v>
      </c>
      <c r="E12" s="172" t="s">
        <v>42</v>
      </c>
      <c r="F12" s="117"/>
      <c r="G12" s="173" t="s">
        <v>800</v>
      </c>
      <c r="H12" s="173">
        <v>2021</v>
      </c>
      <c r="I12" s="213" t="s">
        <v>2</v>
      </c>
      <c r="J12" s="213" t="s">
        <v>2</v>
      </c>
      <c r="K12" s="213" t="s">
        <v>2</v>
      </c>
      <c r="L12" s="213" t="s">
        <v>2</v>
      </c>
      <c r="M12" s="213" t="s">
        <v>2</v>
      </c>
      <c r="N12" s="213" t="s">
        <v>2</v>
      </c>
      <c r="O12" s="213" t="s">
        <v>3</v>
      </c>
      <c r="P12" s="213" t="s">
        <v>2</v>
      </c>
      <c r="Q12" s="213" t="s">
        <v>2</v>
      </c>
      <c r="R12" s="213"/>
      <c r="S12" s="213"/>
      <c r="T12" s="213" t="s">
        <v>3</v>
      </c>
      <c r="U12" s="213" t="s">
        <v>3</v>
      </c>
      <c r="V12" s="213" t="s">
        <v>3</v>
      </c>
      <c r="W12" s="119">
        <v>7</v>
      </c>
      <c r="X12" s="119" t="s">
        <v>10</v>
      </c>
      <c r="Y12" s="119">
        <f>COUNTIF(tblF22021[[#This Row],[CIV]:[BK]],"A")</f>
        <v>8</v>
      </c>
      <c r="AE12">
        <v>26</v>
      </c>
      <c r="AF12" t="s">
        <v>13</v>
      </c>
    </row>
    <row r="13" spans="1:32" x14ac:dyDescent="0.3">
      <c r="A13">
        <v>4</v>
      </c>
      <c r="B13" s="173"/>
      <c r="C13" s="171" t="s">
        <v>801</v>
      </c>
      <c r="D13" s="172" t="s">
        <v>8</v>
      </c>
      <c r="E13" s="172" t="s">
        <v>42</v>
      </c>
      <c r="F13" s="117"/>
      <c r="G13" s="173" t="s">
        <v>800</v>
      </c>
      <c r="H13" s="173">
        <v>2021</v>
      </c>
      <c r="I13" s="213" t="s">
        <v>2</v>
      </c>
      <c r="J13" s="213" t="s">
        <v>2</v>
      </c>
      <c r="K13" s="213" t="s">
        <v>2</v>
      </c>
      <c r="L13" s="213"/>
      <c r="M13" s="213" t="s">
        <v>2</v>
      </c>
      <c r="N13" s="213" t="s">
        <v>2</v>
      </c>
      <c r="O13" s="213" t="s">
        <v>3</v>
      </c>
      <c r="P13" s="213" t="s">
        <v>2</v>
      </c>
      <c r="Q13" s="213" t="s">
        <v>2</v>
      </c>
      <c r="R13" s="213"/>
      <c r="S13" s="213" t="s">
        <v>2</v>
      </c>
      <c r="T13" s="213" t="s">
        <v>3</v>
      </c>
      <c r="U13" s="213" t="s">
        <v>3</v>
      </c>
      <c r="V13" s="213" t="s">
        <v>2</v>
      </c>
      <c r="W13" s="119">
        <v>7</v>
      </c>
      <c r="X13" s="119" t="s">
        <v>10</v>
      </c>
      <c r="Y13" s="119">
        <f>COUNTIF(tblF22021[[#This Row],[CIV]:[BK]],"A")</f>
        <v>9</v>
      </c>
      <c r="AE13">
        <v>34</v>
      </c>
      <c r="AF13" t="s">
        <v>351</v>
      </c>
    </row>
    <row r="14" spans="1:32" x14ac:dyDescent="0.3">
      <c r="A14">
        <v>5</v>
      </c>
      <c r="B14" s="173"/>
      <c r="C14" s="171" t="s">
        <v>802</v>
      </c>
      <c r="D14" s="172" t="s">
        <v>8</v>
      </c>
      <c r="E14" s="172" t="s">
        <v>42</v>
      </c>
      <c r="F14" s="117"/>
      <c r="G14" s="173" t="s">
        <v>800</v>
      </c>
      <c r="H14" s="173">
        <v>2021</v>
      </c>
      <c r="I14" s="213" t="s">
        <v>2</v>
      </c>
      <c r="J14" s="213" t="s">
        <v>2</v>
      </c>
      <c r="K14" s="213" t="s">
        <v>2</v>
      </c>
      <c r="L14" s="213"/>
      <c r="M14" s="213" t="s">
        <v>2</v>
      </c>
      <c r="N14" s="213" t="s">
        <v>2</v>
      </c>
      <c r="O14" s="213" t="s">
        <v>3</v>
      </c>
      <c r="P14" s="213" t="s">
        <v>2</v>
      </c>
      <c r="Q14" s="213" t="s">
        <v>2</v>
      </c>
      <c r="R14" s="213"/>
      <c r="S14" s="213" t="s">
        <v>2</v>
      </c>
      <c r="T14" s="213" t="s">
        <v>2</v>
      </c>
      <c r="U14" s="213" t="s">
        <v>3</v>
      </c>
      <c r="V14" s="213" t="s">
        <v>3</v>
      </c>
      <c r="W14" s="119">
        <v>7</v>
      </c>
      <c r="X14" s="119" t="s">
        <v>10</v>
      </c>
      <c r="Y14" s="119">
        <f>COUNTIF(tblF22021[[#This Row],[CIV]:[BK]],"A")</f>
        <v>9</v>
      </c>
    </row>
    <row r="15" spans="1:32" x14ac:dyDescent="0.3">
      <c r="A15">
        <v>6</v>
      </c>
      <c r="B15" s="173"/>
      <c r="C15" s="171" t="s">
        <v>141</v>
      </c>
      <c r="D15" s="172" t="s">
        <v>8</v>
      </c>
      <c r="E15" s="172" t="s">
        <v>42</v>
      </c>
      <c r="F15" s="117"/>
      <c r="G15" s="173" t="s">
        <v>800</v>
      </c>
      <c r="H15" s="173">
        <v>2021</v>
      </c>
      <c r="I15" s="213" t="s">
        <v>2</v>
      </c>
      <c r="J15" s="213" t="s">
        <v>2</v>
      </c>
      <c r="K15" s="213" t="s">
        <v>2</v>
      </c>
      <c r="L15" s="213" t="s">
        <v>2</v>
      </c>
      <c r="M15" s="213" t="s">
        <v>2</v>
      </c>
      <c r="N15" s="213" t="s">
        <v>2</v>
      </c>
      <c r="O15" s="213" t="s">
        <v>2</v>
      </c>
      <c r="P15" s="213" t="s">
        <v>2</v>
      </c>
      <c r="Q15" s="213" t="s">
        <v>2</v>
      </c>
      <c r="R15" s="213"/>
      <c r="S15" s="213"/>
      <c r="T15" s="213" t="s">
        <v>2</v>
      </c>
      <c r="U15" s="213" t="s">
        <v>3</v>
      </c>
      <c r="V15" s="213" t="s">
        <v>2</v>
      </c>
      <c r="W15" s="119">
        <v>7</v>
      </c>
      <c r="X15" s="119" t="s">
        <v>10</v>
      </c>
      <c r="Y15" s="119">
        <f>COUNTIF(tblF22021[[#This Row],[CIV]:[BK]],"A")</f>
        <v>11</v>
      </c>
    </row>
    <row r="16" spans="1:32" x14ac:dyDescent="0.3">
      <c r="A16">
        <v>7</v>
      </c>
      <c r="B16" s="173"/>
      <c r="C16" s="171" t="s">
        <v>803</v>
      </c>
      <c r="D16" s="172" t="s">
        <v>8</v>
      </c>
      <c r="E16" s="172" t="s">
        <v>42</v>
      </c>
      <c r="F16" s="117"/>
      <c r="G16" s="173" t="s">
        <v>800</v>
      </c>
      <c r="H16" s="173">
        <v>2021</v>
      </c>
      <c r="I16" s="213" t="s">
        <v>2</v>
      </c>
      <c r="J16" s="213" t="s">
        <v>3</v>
      </c>
      <c r="K16" s="213" t="s">
        <v>3</v>
      </c>
      <c r="L16" s="213" t="s">
        <v>3</v>
      </c>
      <c r="M16" s="213" t="s">
        <v>2</v>
      </c>
      <c r="N16" s="213" t="s">
        <v>2</v>
      </c>
      <c r="O16" s="213" t="s">
        <v>3</v>
      </c>
      <c r="P16" s="213" t="s">
        <v>2</v>
      </c>
      <c r="Q16" s="213" t="s">
        <v>2</v>
      </c>
      <c r="R16" s="213"/>
      <c r="S16" s="213"/>
      <c r="T16" s="213" t="s">
        <v>4</v>
      </c>
      <c r="U16" s="213" t="s">
        <v>4</v>
      </c>
      <c r="V16" s="213" t="s">
        <v>3</v>
      </c>
      <c r="W16" s="119">
        <v>9</v>
      </c>
      <c r="X16" s="119" t="s">
        <v>10</v>
      </c>
      <c r="Y16" s="119">
        <f>COUNTIF(tblF22021[[#This Row],[CIV]:[BK]],"A")</f>
        <v>5</v>
      </c>
    </row>
    <row r="17" spans="1:25" x14ac:dyDescent="0.3">
      <c r="A17">
        <v>8</v>
      </c>
      <c r="B17" s="173"/>
      <c r="C17" s="171" t="s">
        <v>44</v>
      </c>
      <c r="D17" s="172" t="s">
        <v>8</v>
      </c>
      <c r="E17" s="172" t="s">
        <v>42</v>
      </c>
      <c r="F17" s="117"/>
      <c r="G17" s="173" t="s">
        <v>800</v>
      </c>
      <c r="H17" s="173">
        <v>2021</v>
      </c>
      <c r="I17" s="213" t="s">
        <v>2</v>
      </c>
      <c r="J17" s="213" t="s">
        <v>3</v>
      </c>
      <c r="K17" s="213" t="s">
        <v>4</v>
      </c>
      <c r="L17" s="213" t="s">
        <v>4</v>
      </c>
      <c r="M17" s="213" t="s">
        <v>3</v>
      </c>
      <c r="N17" s="213" t="s">
        <v>2</v>
      </c>
      <c r="O17" s="213" t="s">
        <v>4</v>
      </c>
      <c r="P17" s="213" t="s">
        <v>4</v>
      </c>
      <c r="Q17" s="213" t="s">
        <v>2</v>
      </c>
      <c r="R17" s="213"/>
      <c r="S17" s="213"/>
      <c r="T17" s="213" t="s">
        <v>4</v>
      </c>
      <c r="U17" s="213" t="s">
        <v>4</v>
      </c>
      <c r="V17" s="213" t="s">
        <v>3</v>
      </c>
      <c r="W17" s="119">
        <v>12</v>
      </c>
      <c r="X17" s="119" t="s">
        <v>10</v>
      </c>
      <c r="Y17" s="119">
        <f>COUNTIF(tblF22021[[#This Row],[CIV]:[BK]],"A")</f>
        <v>3</v>
      </c>
    </row>
    <row r="18" spans="1:25" x14ac:dyDescent="0.3">
      <c r="A18">
        <v>9</v>
      </c>
      <c r="B18" s="173"/>
      <c r="C18" s="171" t="s">
        <v>804</v>
      </c>
      <c r="D18" s="172" t="s">
        <v>8</v>
      </c>
      <c r="E18" s="172" t="s">
        <v>42</v>
      </c>
      <c r="F18" s="117"/>
      <c r="G18" s="173" t="s">
        <v>800</v>
      </c>
      <c r="H18" s="173">
        <v>2021</v>
      </c>
      <c r="I18" s="213" t="s">
        <v>2</v>
      </c>
      <c r="J18" s="213" t="s">
        <v>2</v>
      </c>
      <c r="K18" s="213" t="s">
        <v>2</v>
      </c>
      <c r="L18" s="213" t="s">
        <v>3</v>
      </c>
      <c r="M18" s="213" t="s">
        <v>2</v>
      </c>
      <c r="N18" s="213" t="s">
        <v>2</v>
      </c>
      <c r="O18" s="213" t="s">
        <v>2</v>
      </c>
      <c r="P18" s="213" t="s">
        <v>2</v>
      </c>
      <c r="Q18" s="213" t="s">
        <v>2</v>
      </c>
      <c r="R18" s="213"/>
      <c r="S18" s="213"/>
      <c r="T18" s="213" t="s">
        <v>2</v>
      </c>
      <c r="U18" s="213" t="s">
        <v>4</v>
      </c>
      <c r="V18" s="213" t="s">
        <v>2</v>
      </c>
      <c r="W18" s="119">
        <v>7</v>
      </c>
      <c r="X18" s="119" t="s">
        <v>10</v>
      </c>
      <c r="Y18" s="119">
        <f>COUNTIF(tblF22021[[#This Row],[CIV]:[BK]],"A")</f>
        <v>10</v>
      </c>
    </row>
    <row r="19" spans="1:25" x14ac:dyDescent="0.3">
      <c r="A19">
        <v>10</v>
      </c>
      <c r="B19" s="173"/>
      <c r="C19" s="171" t="s">
        <v>96</v>
      </c>
      <c r="D19" s="172" t="s">
        <v>8</v>
      </c>
      <c r="E19" s="172" t="s">
        <v>42</v>
      </c>
      <c r="F19" s="117"/>
      <c r="G19" s="173" t="s">
        <v>800</v>
      </c>
      <c r="H19" s="173">
        <v>2021</v>
      </c>
      <c r="I19" s="213" t="s">
        <v>2</v>
      </c>
      <c r="J19" s="213" t="s">
        <v>3</v>
      </c>
      <c r="K19" s="213" t="s">
        <v>3</v>
      </c>
      <c r="L19" s="213" t="s">
        <v>3</v>
      </c>
      <c r="M19" s="213" t="s">
        <v>2</v>
      </c>
      <c r="N19" s="213" t="s">
        <v>2</v>
      </c>
      <c r="O19" s="213" t="s">
        <v>4</v>
      </c>
      <c r="P19" s="213" t="s">
        <v>4</v>
      </c>
      <c r="Q19" s="213" t="s">
        <v>2</v>
      </c>
      <c r="R19" s="213"/>
      <c r="S19" s="213"/>
      <c r="T19" s="213" t="s">
        <v>4</v>
      </c>
      <c r="U19" s="213" t="s">
        <v>5</v>
      </c>
      <c r="V19" s="213" t="s">
        <v>4</v>
      </c>
      <c r="W19" s="119">
        <v>10</v>
      </c>
      <c r="X19" s="119" t="s">
        <v>10</v>
      </c>
      <c r="Y19" s="119">
        <f>COUNTIF(tblF22021[[#This Row],[CIV]:[BK]],"A")</f>
        <v>4</v>
      </c>
    </row>
    <row r="20" spans="1:25" x14ac:dyDescent="0.3">
      <c r="A20">
        <v>11</v>
      </c>
      <c r="B20" s="173"/>
      <c r="C20" s="171" t="s">
        <v>805</v>
      </c>
      <c r="D20" s="172" t="s">
        <v>8</v>
      </c>
      <c r="E20" s="172" t="s">
        <v>42</v>
      </c>
      <c r="F20" s="117"/>
      <c r="G20" s="173" t="s">
        <v>800</v>
      </c>
      <c r="H20" s="173">
        <v>2021</v>
      </c>
      <c r="I20" s="213" t="s">
        <v>2</v>
      </c>
      <c r="J20" s="213" t="s">
        <v>2</v>
      </c>
      <c r="K20" s="213" t="s">
        <v>2</v>
      </c>
      <c r="L20" s="213" t="s">
        <v>2</v>
      </c>
      <c r="M20" s="213" t="s">
        <v>2</v>
      </c>
      <c r="N20" s="213" t="s">
        <v>2</v>
      </c>
      <c r="O20" s="213" t="s">
        <v>2</v>
      </c>
      <c r="P20" s="213" t="s">
        <v>2</v>
      </c>
      <c r="Q20" s="213" t="s">
        <v>2</v>
      </c>
      <c r="R20" s="213"/>
      <c r="S20" s="213"/>
      <c r="T20" s="213" t="s">
        <v>2</v>
      </c>
      <c r="U20" s="213" t="s">
        <v>4</v>
      </c>
      <c r="V20" s="213" t="s">
        <v>2</v>
      </c>
      <c r="W20" s="119">
        <v>7</v>
      </c>
      <c r="X20" s="119" t="s">
        <v>10</v>
      </c>
      <c r="Y20" s="119">
        <f>COUNTIF(tblF22021[[#This Row],[CIV]:[BK]],"A")</f>
        <v>11</v>
      </c>
    </row>
    <row r="21" spans="1:25" x14ac:dyDescent="0.3">
      <c r="A21">
        <v>12</v>
      </c>
      <c r="B21" s="173"/>
      <c r="C21" s="171" t="s">
        <v>98</v>
      </c>
      <c r="D21" s="172" t="s">
        <v>8</v>
      </c>
      <c r="E21" s="172" t="s">
        <v>42</v>
      </c>
      <c r="F21" s="117"/>
      <c r="G21" s="173" t="s">
        <v>800</v>
      </c>
      <c r="H21" s="173">
        <v>2021</v>
      </c>
      <c r="I21" s="213" t="s">
        <v>2</v>
      </c>
      <c r="J21" s="213" t="s">
        <v>4</v>
      </c>
      <c r="K21" s="213" t="s">
        <v>4</v>
      </c>
      <c r="L21" s="213" t="s">
        <v>4</v>
      </c>
      <c r="M21" s="213" t="s">
        <v>2</v>
      </c>
      <c r="N21" s="213" t="s">
        <v>3</v>
      </c>
      <c r="O21" s="213" t="s">
        <v>4</v>
      </c>
      <c r="P21" s="213" t="s">
        <v>3</v>
      </c>
      <c r="Q21" s="213" t="s">
        <v>3</v>
      </c>
      <c r="R21" s="213"/>
      <c r="S21" s="213"/>
      <c r="T21" s="213" t="s">
        <v>4</v>
      </c>
      <c r="U21" s="213" t="s">
        <v>4</v>
      </c>
      <c r="V21" s="213" t="s">
        <v>2</v>
      </c>
      <c r="W21" s="119">
        <v>12</v>
      </c>
      <c r="X21" s="119" t="s">
        <v>10</v>
      </c>
      <c r="Y21" s="119">
        <f>COUNTIF(tblF22021[[#This Row],[CIV]:[BK]],"A")</f>
        <v>3</v>
      </c>
    </row>
    <row r="22" spans="1:25" x14ac:dyDescent="0.3">
      <c r="A22">
        <v>13</v>
      </c>
      <c r="B22" s="173"/>
      <c r="C22" s="171" t="s">
        <v>806</v>
      </c>
      <c r="D22" s="172" t="s">
        <v>8</v>
      </c>
      <c r="E22" s="172" t="s">
        <v>42</v>
      </c>
      <c r="F22" s="117"/>
      <c r="G22" s="173" t="s">
        <v>800</v>
      </c>
      <c r="H22" s="173">
        <v>2021</v>
      </c>
      <c r="I22" s="213" t="s">
        <v>2</v>
      </c>
      <c r="J22" s="213" t="s">
        <v>2</v>
      </c>
      <c r="K22" s="213" t="s">
        <v>2</v>
      </c>
      <c r="L22" s="213" t="s">
        <v>2</v>
      </c>
      <c r="M22" s="213" t="s">
        <v>2</v>
      </c>
      <c r="N22" s="213" t="s">
        <v>2</v>
      </c>
      <c r="O22" s="213" t="s">
        <v>3</v>
      </c>
      <c r="P22" s="213" t="s">
        <v>2</v>
      </c>
      <c r="Q22" s="213" t="s">
        <v>2</v>
      </c>
      <c r="R22" s="213"/>
      <c r="S22" s="213"/>
      <c r="T22" s="213" t="s">
        <v>2</v>
      </c>
      <c r="U22" s="213" t="s">
        <v>3</v>
      </c>
      <c r="V22" s="213" t="s">
        <v>3</v>
      </c>
      <c r="W22" s="119">
        <v>7</v>
      </c>
      <c r="X22" s="119" t="s">
        <v>10</v>
      </c>
      <c r="Y22" s="119">
        <f>COUNTIF(tblF22021[[#This Row],[CIV]:[BK]],"A")</f>
        <v>9</v>
      </c>
    </row>
    <row r="23" spans="1:25" x14ac:dyDescent="0.3">
      <c r="A23">
        <v>14</v>
      </c>
      <c r="B23" s="173"/>
      <c r="C23" s="171" t="s">
        <v>303</v>
      </c>
      <c r="D23" s="172" t="s">
        <v>8</v>
      </c>
      <c r="E23" s="172" t="s">
        <v>42</v>
      </c>
      <c r="F23" s="117"/>
      <c r="G23" s="173" t="s">
        <v>800</v>
      </c>
      <c r="H23" s="173">
        <v>2021</v>
      </c>
      <c r="I23" s="213" t="s">
        <v>2</v>
      </c>
      <c r="J23" s="213" t="s">
        <v>3</v>
      </c>
      <c r="K23" s="213" t="s">
        <v>2</v>
      </c>
      <c r="L23" s="213" t="s">
        <v>3</v>
      </c>
      <c r="M23" s="213" t="s">
        <v>2</v>
      </c>
      <c r="N23" s="213" t="s">
        <v>2</v>
      </c>
      <c r="O23" s="213" t="s">
        <v>2</v>
      </c>
      <c r="P23" s="213" t="s">
        <v>2</v>
      </c>
      <c r="Q23" s="213" t="s">
        <v>2</v>
      </c>
      <c r="R23" s="213"/>
      <c r="S23" s="213"/>
      <c r="T23" s="213" t="s">
        <v>2</v>
      </c>
      <c r="U23" s="213" t="s">
        <v>3</v>
      </c>
      <c r="V23" s="213" t="s">
        <v>2</v>
      </c>
      <c r="W23" s="119">
        <v>7</v>
      </c>
      <c r="X23" s="119" t="s">
        <v>10</v>
      </c>
      <c r="Y23" s="119">
        <f>COUNTIF(tblF22021[[#This Row],[CIV]:[BK]],"A")</f>
        <v>9</v>
      </c>
    </row>
    <row r="24" spans="1:25" x14ac:dyDescent="0.3">
      <c r="A24">
        <v>15</v>
      </c>
      <c r="B24" s="173"/>
      <c r="C24" s="171" t="s">
        <v>143</v>
      </c>
      <c r="D24" s="172" t="s">
        <v>8</v>
      </c>
      <c r="E24" s="172" t="s">
        <v>42</v>
      </c>
      <c r="F24" s="117"/>
      <c r="G24" s="173" t="s">
        <v>800</v>
      </c>
      <c r="H24" s="173">
        <v>2021</v>
      </c>
      <c r="I24" s="213" t="s">
        <v>2</v>
      </c>
      <c r="J24" s="213" t="s">
        <v>3</v>
      </c>
      <c r="K24" s="213" t="s">
        <v>2</v>
      </c>
      <c r="L24" s="213" t="s">
        <v>4</v>
      </c>
      <c r="M24" s="213" t="s">
        <v>2</v>
      </c>
      <c r="N24" s="213" t="s">
        <v>2</v>
      </c>
      <c r="O24" s="213" t="s">
        <v>4</v>
      </c>
      <c r="P24" s="213" t="s">
        <v>2</v>
      </c>
      <c r="Q24" s="213" t="s">
        <v>2</v>
      </c>
      <c r="R24" s="213"/>
      <c r="S24" s="213"/>
      <c r="T24" s="213" t="s">
        <v>2</v>
      </c>
      <c r="U24" s="213" t="s">
        <v>4</v>
      </c>
      <c r="V24" s="213" t="s">
        <v>2</v>
      </c>
      <c r="W24" s="119">
        <v>7</v>
      </c>
      <c r="X24" s="119" t="s">
        <v>10</v>
      </c>
      <c r="Y24" s="119">
        <f>COUNTIF(tblF22021[[#This Row],[CIV]:[BK]],"A")</f>
        <v>8</v>
      </c>
    </row>
    <row r="25" spans="1:25" x14ac:dyDescent="0.3">
      <c r="A25">
        <v>16</v>
      </c>
      <c r="B25" s="173"/>
      <c r="C25" s="171" t="s">
        <v>306</v>
      </c>
      <c r="D25" s="172" t="s">
        <v>8</v>
      </c>
      <c r="E25" s="172" t="s">
        <v>42</v>
      </c>
      <c r="F25" s="117"/>
      <c r="G25" s="173" t="s">
        <v>800</v>
      </c>
      <c r="H25" s="173">
        <v>2021</v>
      </c>
      <c r="I25" s="213" t="s">
        <v>2</v>
      </c>
      <c r="J25" s="213" t="s">
        <v>3</v>
      </c>
      <c r="K25" s="213" t="s">
        <v>2</v>
      </c>
      <c r="L25" s="213" t="s">
        <v>3</v>
      </c>
      <c r="M25" s="213" t="s">
        <v>2</v>
      </c>
      <c r="N25" s="213" t="s">
        <v>2</v>
      </c>
      <c r="O25" s="213" t="s">
        <v>3</v>
      </c>
      <c r="P25" s="213" t="s">
        <v>2</v>
      </c>
      <c r="Q25" s="213" t="s">
        <v>2</v>
      </c>
      <c r="R25" s="213"/>
      <c r="S25" s="213"/>
      <c r="T25" s="213" t="s">
        <v>2</v>
      </c>
      <c r="U25" s="213" t="s">
        <v>4</v>
      </c>
      <c r="V25" s="213" t="s">
        <v>2</v>
      </c>
      <c r="W25" s="119">
        <v>7</v>
      </c>
      <c r="X25" s="119" t="s">
        <v>10</v>
      </c>
      <c r="Y25" s="119">
        <f>COUNTIF(tblF22021[[#This Row],[CIV]:[BK]],"A")</f>
        <v>8</v>
      </c>
    </row>
    <row r="26" spans="1:25" x14ac:dyDescent="0.3">
      <c r="A26">
        <v>17</v>
      </c>
      <c r="B26" s="173"/>
      <c r="C26" s="171" t="s">
        <v>242</v>
      </c>
      <c r="D26" s="172" t="s">
        <v>8</v>
      </c>
      <c r="E26" s="172" t="s">
        <v>42</v>
      </c>
      <c r="F26" s="117"/>
      <c r="G26" s="173" t="s">
        <v>800</v>
      </c>
      <c r="H26" s="173">
        <v>2021</v>
      </c>
      <c r="I26" s="213" t="s">
        <v>2</v>
      </c>
      <c r="J26" s="213" t="s">
        <v>4</v>
      </c>
      <c r="K26" s="213" t="s">
        <v>3</v>
      </c>
      <c r="L26" s="213" t="s">
        <v>4</v>
      </c>
      <c r="M26" s="213" t="s">
        <v>2</v>
      </c>
      <c r="N26" s="213" t="s">
        <v>2</v>
      </c>
      <c r="O26" s="213" t="s">
        <v>3</v>
      </c>
      <c r="P26" s="213" t="s">
        <v>3</v>
      </c>
      <c r="Q26" s="213" t="s">
        <v>2</v>
      </c>
      <c r="R26" s="213"/>
      <c r="S26" s="213"/>
      <c r="T26" s="213" t="s">
        <v>2</v>
      </c>
      <c r="U26" s="213" t="s">
        <v>4</v>
      </c>
      <c r="V26" s="213" t="s">
        <v>4</v>
      </c>
      <c r="W26" s="119">
        <v>9</v>
      </c>
      <c r="X26" s="119" t="s">
        <v>10</v>
      </c>
      <c r="Y26" s="119">
        <f>COUNTIF(tblF22021[[#This Row],[CIV]:[BK]],"A")</f>
        <v>5</v>
      </c>
    </row>
    <row r="27" spans="1:25" x14ac:dyDescent="0.3">
      <c r="A27">
        <v>18</v>
      </c>
      <c r="B27" s="173"/>
      <c r="C27" s="171" t="s">
        <v>145</v>
      </c>
      <c r="D27" s="172" t="s">
        <v>8</v>
      </c>
      <c r="E27" s="172" t="s">
        <v>42</v>
      </c>
      <c r="F27" s="117"/>
      <c r="G27" s="173" t="s">
        <v>800</v>
      </c>
      <c r="H27" s="173">
        <v>2021</v>
      </c>
      <c r="I27" s="213" t="s">
        <v>2</v>
      </c>
      <c r="J27" s="213" t="s">
        <v>3</v>
      </c>
      <c r="K27" s="213" t="s">
        <v>2</v>
      </c>
      <c r="L27" s="213"/>
      <c r="M27" s="213" t="s">
        <v>2</v>
      </c>
      <c r="N27" s="213" t="s">
        <v>2</v>
      </c>
      <c r="O27" s="213" t="s">
        <v>3</v>
      </c>
      <c r="P27" s="213" t="s">
        <v>3</v>
      </c>
      <c r="Q27" s="213" t="s">
        <v>2</v>
      </c>
      <c r="R27" s="213"/>
      <c r="S27" s="213" t="s">
        <v>3</v>
      </c>
      <c r="T27" s="213" t="s">
        <v>3</v>
      </c>
      <c r="U27" s="213" t="s">
        <v>4</v>
      </c>
      <c r="V27" s="213" t="s">
        <v>3</v>
      </c>
      <c r="W27" s="119">
        <v>9</v>
      </c>
      <c r="X27" s="119" t="s">
        <v>10</v>
      </c>
      <c r="Y27" s="119">
        <f>COUNTIF(tblF22021[[#This Row],[CIV]:[BK]],"A")</f>
        <v>5</v>
      </c>
    </row>
    <row r="28" spans="1:25" x14ac:dyDescent="0.3">
      <c r="A28">
        <v>19</v>
      </c>
      <c r="B28" s="173"/>
      <c r="C28" s="171" t="s">
        <v>807</v>
      </c>
      <c r="D28" s="172" t="s">
        <v>8</v>
      </c>
      <c r="E28" s="172" t="s">
        <v>42</v>
      </c>
      <c r="F28" s="117"/>
      <c r="G28" s="173" t="s">
        <v>800</v>
      </c>
      <c r="H28" s="173">
        <v>2021</v>
      </c>
      <c r="I28" s="213" t="s">
        <v>2</v>
      </c>
      <c r="J28" s="213" t="s">
        <v>2</v>
      </c>
      <c r="K28" s="213" t="s">
        <v>2</v>
      </c>
      <c r="L28" s="213"/>
      <c r="M28" s="213" t="s">
        <v>2</v>
      </c>
      <c r="N28" s="213" t="s">
        <v>2</v>
      </c>
      <c r="O28" s="213" t="s">
        <v>2</v>
      </c>
      <c r="P28" s="213" t="s">
        <v>2</v>
      </c>
      <c r="Q28" s="213" t="s">
        <v>2</v>
      </c>
      <c r="R28" s="213"/>
      <c r="S28" s="213" t="s">
        <v>3</v>
      </c>
      <c r="T28" s="213" t="s">
        <v>2</v>
      </c>
      <c r="U28" s="213" t="s">
        <v>3</v>
      </c>
      <c r="V28" s="213" t="s">
        <v>2</v>
      </c>
      <c r="W28" s="119">
        <v>7</v>
      </c>
      <c r="X28" s="119" t="s">
        <v>10</v>
      </c>
      <c r="Y28" s="119">
        <f>COUNTIF(tblF22021[[#This Row],[CIV]:[BK]],"A")</f>
        <v>10</v>
      </c>
    </row>
    <row r="29" spans="1:25" x14ac:dyDescent="0.3">
      <c r="A29">
        <v>20</v>
      </c>
      <c r="B29" s="173"/>
      <c r="C29" s="171" t="s">
        <v>196</v>
      </c>
      <c r="D29" s="172" t="s">
        <v>8</v>
      </c>
      <c r="E29" s="172" t="s">
        <v>42</v>
      </c>
      <c r="F29" s="117"/>
      <c r="G29" s="173" t="s">
        <v>800</v>
      </c>
      <c r="H29" s="173">
        <v>2021</v>
      </c>
      <c r="I29" s="213" t="s">
        <v>2</v>
      </c>
      <c r="J29" s="213" t="s">
        <v>2</v>
      </c>
      <c r="K29" s="213" t="s">
        <v>2</v>
      </c>
      <c r="L29" s="213" t="s">
        <v>2</v>
      </c>
      <c r="M29" s="213" t="s">
        <v>2</v>
      </c>
      <c r="N29" s="213" t="s">
        <v>2</v>
      </c>
      <c r="O29" s="213" t="s">
        <v>2</v>
      </c>
      <c r="P29" s="213" t="s">
        <v>2</v>
      </c>
      <c r="Q29" s="213" t="s">
        <v>2</v>
      </c>
      <c r="R29" s="213"/>
      <c r="S29" s="213"/>
      <c r="T29" s="213" t="s">
        <v>2</v>
      </c>
      <c r="U29" s="213" t="s">
        <v>4</v>
      </c>
      <c r="V29" s="213" t="s">
        <v>2</v>
      </c>
      <c r="W29" s="119">
        <v>7</v>
      </c>
      <c r="X29" s="119" t="s">
        <v>10</v>
      </c>
      <c r="Y29" s="119">
        <f>COUNTIF(tblF22021[[#This Row],[CIV]:[BK]],"A")</f>
        <v>11</v>
      </c>
    </row>
    <row r="30" spans="1:25" x14ac:dyDescent="0.3">
      <c r="A30">
        <v>21</v>
      </c>
      <c r="B30" s="173"/>
      <c r="C30" s="171" t="s">
        <v>808</v>
      </c>
      <c r="D30" s="172" t="s">
        <v>8</v>
      </c>
      <c r="E30" s="172" t="s">
        <v>42</v>
      </c>
      <c r="F30" s="117"/>
      <c r="G30" s="173" t="s">
        <v>800</v>
      </c>
      <c r="H30" s="173">
        <v>2021</v>
      </c>
      <c r="I30" s="213" t="s">
        <v>2</v>
      </c>
      <c r="J30" s="213" t="s">
        <v>4</v>
      </c>
      <c r="K30" s="213" t="s">
        <v>3</v>
      </c>
      <c r="L30" s="213" t="s">
        <v>2</v>
      </c>
      <c r="M30" s="213" t="s">
        <v>2</v>
      </c>
      <c r="N30" s="213" t="s">
        <v>2</v>
      </c>
      <c r="O30" s="213" t="s">
        <v>3</v>
      </c>
      <c r="P30" s="213" t="s">
        <v>4</v>
      </c>
      <c r="Q30" s="213" t="s">
        <v>2</v>
      </c>
      <c r="R30" s="213"/>
      <c r="S30" s="213"/>
      <c r="T30" s="213" t="s">
        <v>2</v>
      </c>
      <c r="U30" s="213" t="s">
        <v>4</v>
      </c>
      <c r="V30" s="213" t="s">
        <v>4</v>
      </c>
      <c r="W30" s="119">
        <v>8</v>
      </c>
      <c r="X30" s="119" t="s">
        <v>10</v>
      </c>
      <c r="Y30" s="119">
        <f>COUNTIF(tblF22021[[#This Row],[CIV]:[BK]],"A")</f>
        <v>6</v>
      </c>
    </row>
    <row r="31" spans="1:25" x14ac:dyDescent="0.3">
      <c r="A31">
        <v>22</v>
      </c>
      <c r="B31" s="173"/>
      <c r="C31" s="171" t="s">
        <v>809</v>
      </c>
      <c r="D31" s="172" t="s">
        <v>8</v>
      </c>
      <c r="E31" s="172" t="s">
        <v>42</v>
      </c>
      <c r="F31" s="117"/>
      <c r="G31" s="173" t="s">
        <v>800</v>
      </c>
      <c r="H31" s="173">
        <v>2021</v>
      </c>
      <c r="I31" s="213" t="s">
        <v>2</v>
      </c>
      <c r="J31" s="213" t="s">
        <v>2</v>
      </c>
      <c r="K31" s="213" t="s">
        <v>2</v>
      </c>
      <c r="L31" s="213" t="s">
        <v>3</v>
      </c>
      <c r="M31" s="213" t="s">
        <v>2</v>
      </c>
      <c r="N31" s="213" t="s">
        <v>2</v>
      </c>
      <c r="O31" s="213" t="s">
        <v>3</v>
      </c>
      <c r="P31" s="213" t="s">
        <v>2</v>
      </c>
      <c r="Q31" s="213" t="s">
        <v>2</v>
      </c>
      <c r="R31" s="213"/>
      <c r="S31" s="213"/>
      <c r="T31" s="213" t="s">
        <v>2</v>
      </c>
      <c r="U31" s="213" t="s">
        <v>3</v>
      </c>
      <c r="V31" s="213" t="s">
        <v>2</v>
      </c>
      <c r="W31" s="119">
        <v>7</v>
      </c>
      <c r="X31" s="119" t="s">
        <v>10</v>
      </c>
      <c r="Y31" s="119">
        <f>COUNTIF(tblF22021[[#This Row],[CIV]:[BK]],"A")</f>
        <v>9</v>
      </c>
    </row>
    <row r="32" spans="1:25" x14ac:dyDescent="0.3">
      <c r="A32">
        <v>23</v>
      </c>
      <c r="B32" s="173"/>
      <c r="C32" s="171" t="s">
        <v>810</v>
      </c>
      <c r="D32" s="172" t="s">
        <v>8</v>
      </c>
      <c r="E32" s="172" t="s">
        <v>42</v>
      </c>
      <c r="F32" s="117"/>
      <c r="G32" s="173" t="s">
        <v>800</v>
      </c>
      <c r="H32" s="173">
        <v>2021</v>
      </c>
      <c r="I32" s="213" t="s">
        <v>2</v>
      </c>
      <c r="J32" s="213" t="s">
        <v>2</v>
      </c>
      <c r="K32" s="213" t="s">
        <v>2</v>
      </c>
      <c r="L32" s="213" t="s">
        <v>3</v>
      </c>
      <c r="M32" s="213" t="s">
        <v>2</v>
      </c>
      <c r="N32" s="213" t="s">
        <v>2</v>
      </c>
      <c r="O32" s="213" t="s">
        <v>2</v>
      </c>
      <c r="P32" s="213" t="s">
        <v>2</v>
      </c>
      <c r="Q32" s="213" t="s">
        <v>2</v>
      </c>
      <c r="R32" s="213"/>
      <c r="S32" s="213"/>
      <c r="T32" s="213" t="s">
        <v>2</v>
      </c>
      <c r="U32" s="213" t="s">
        <v>3</v>
      </c>
      <c r="V32" s="213" t="s">
        <v>2</v>
      </c>
      <c r="W32" s="119">
        <v>7</v>
      </c>
      <c r="X32" s="119" t="s">
        <v>10</v>
      </c>
      <c r="Y32" s="119">
        <f>COUNTIF(tblF22021[[#This Row],[CIV]:[BK]],"A")</f>
        <v>10</v>
      </c>
    </row>
    <row r="33" spans="1:25" x14ac:dyDescent="0.3">
      <c r="A33">
        <v>24</v>
      </c>
      <c r="B33" s="173"/>
      <c r="C33" s="171" t="s">
        <v>147</v>
      </c>
      <c r="D33" s="172" t="s">
        <v>8</v>
      </c>
      <c r="E33" s="172" t="s">
        <v>42</v>
      </c>
      <c r="F33" s="117"/>
      <c r="G33" s="173" t="s">
        <v>800</v>
      </c>
      <c r="H33" s="173">
        <v>2021</v>
      </c>
      <c r="I33" s="213" t="s">
        <v>2</v>
      </c>
      <c r="J33" s="213" t="s">
        <v>2</v>
      </c>
      <c r="K33" s="213" t="s">
        <v>3</v>
      </c>
      <c r="L33" s="213"/>
      <c r="M33" s="213" t="s">
        <v>2</v>
      </c>
      <c r="N33" s="213" t="s">
        <v>2</v>
      </c>
      <c r="O33" s="213" t="s">
        <v>2</v>
      </c>
      <c r="P33" s="213" t="s">
        <v>2</v>
      </c>
      <c r="Q33" s="213" t="s">
        <v>2</v>
      </c>
      <c r="R33" s="213"/>
      <c r="S33" s="213" t="s">
        <v>3</v>
      </c>
      <c r="T33" s="213" t="s">
        <v>2</v>
      </c>
      <c r="U33" s="213" t="s">
        <v>4</v>
      </c>
      <c r="V33" s="213" t="s">
        <v>2</v>
      </c>
      <c r="W33" s="119">
        <v>7</v>
      </c>
      <c r="X33" s="119" t="s">
        <v>10</v>
      </c>
      <c r="Y33" s="119">
        <f>COUNTIF(tblF22021[[#This Row],[CIV]:[BK]],"A")</f>
        <v>9</v>
      </c>
    </row>
    <row r="34" spans="1:25" x14ac:dyDescent="0.3">
      <c r="A34">
        <v>25</v>
      </c>
      <c r="B34" s="173"/>
      <c r="C34" s="171" t="s">
        <v>811</v>
      </c>
      <c r="D34" s="172" t="s">
        <v>8</v>
      </c>
      <c r="E34" s="172" t="s">
        <v>42</v>
      </c>
      <c r="F34" s="117"/>
      <c r="G34" s="173" t="s">
        <v>800</v>
      </c>
      <c r="H34" s="173">
        <v>2021</v>
      </c>
      <c r="I34" s="213" t="s">
        <v>2</v>
      </c>
      <c r="J34" s="213" t="s">
        <v>3</v>
      </c>
      <c r="K34" s="213" t="s">
        <v>3</v>
      </c>
      <c r="L34" s="213"/>
      <c r="M34" s="213" t="s">
        <v>2</v>
      </c>
      <c r="N34" s="213" t="s">
        <v>2</v>
      </c>
      <c r="O34" s="213" t="s">
        <v>3</v>
      </c>
      <c r="P34" s="213" t="s">
        <v>2</v>
      </c>
      <c r="Q34" s="213" t="s">
        <v>2</v>
      </c>
      <c r="R34" s="213"/>
      <c r="S34" s="213" t="s">
        <v>3</v>
      </c>
      <c r="T34" s="213" t="s">
        <v>3</v>
      </c>
      <c r="U34" s="213" t="s">
        <v>4</v>
      </c>
      <c r="V34" s="213" t="s">
        <v>3</v>
      </c>
      <c r="W34" s="119">
        <v>9</v>
      </c>
      <c r="X34" s="119" t="s">
        <v>10</v>
      </c>
      <c r="Y34" s="119">
        <f>COUNTIF(tblF22021[[#This Row],[CIV]:[BK]],"A")</f>
        <v>5</v>
      </c>
    </row>
    <row r="35" spans="1:25" x14ac:dyDescent="0.3">
      <c r="A35">
        <v>26</v>
      </c>
      <c r="B35" s="173"/>
      <c r="C35" s="171" t="s">
        <v>47</v>
      </c>
      <c r="D35" s="172" t="s">
        <v>8</v>
      </c>
      <c r="E35" s="172" t="s">
        <v>42</v>
      </c>
      <c r="F35" s="117"/>
      <c r="G35" s="173" t="s">
        <v>800</v>
      </c>
      <c r="H35" s="173">
        <v>2021</v>
      </c>
      <c r="I35" s="213" t="s">
        <v>2</v>
      </c>
      <c r="J35" s="213" t="s">
        <v>3</v>
      </c>
      <c r="K35" s="213" t="s">
        <v>4</v>
      </c>
      <c r="L35" s="213" t="s">
        <v>4</v>
      </c>
      <c r="M35" s="213" t="s">
        <v>2</v>
      </c>
      <c r="N35" s="213" t="s">
        <v>2</v>
      </c>
      <c r="O35" s="213" t="s">
        <v>4</v>
      </c>
      <c r="P35" s="213" t="s">
        <v>4</v>
      </c>
      <c r="Q35" s="213" t="s">
        <v>2</v>
      </c>
      <c r="R35" s="213"/>
      <c r="S35" s="213"/>
      <c r="T35" s="213" t="s">
        <v>4</v>
      </c>
      <c r="U35" s="213" t="s">
        <v>4</v>
      </c>
      <c r="V35" s="213" t="s">
        <v>3</v>
      </c>
      <c r="W35" s="119">
        <v>11</v>
      </c>
      <c r="X35" s="119" t="s">
        <v>10</v>
      </c>
      <c r="Y35" s="119">
        <f>COUNTIF(tblF22021[[#This Row],[CIV]:[BK]],"A")</f>
        <v>4</v>
      </c>
    </row>
    <row r="36" spans="1:25" x14ac:dyDescent="0.3">
      <c r="A36">
        <v>27</v>
      </c>
      <c r="B36" s="173"/>
      <c r="C36" s="171" t="s">
        <v>198</v>
      </c>
      <c r="D36" s="172" t="s">
        <v>8</v>
      </c>
      <c r="E36" s="172" t="s">
        <v>42</v>
      </c>
      <c r="F36" s="117"/>
      <c r="G36" s="173" t="s">
        <v>800</v>
      </c>
      <c r="H36" s="173">
        <v>2021</v>
      </c>
      <c r="I36" s="213" t="s">
        <v>2</v>
      </c>
      <c r="J36" s="213" t="s">
        <v>2</v>
      </c>
      <c r="K36" s="213" t="s">
        <v>3</v>
      </c>
      <c r="L36" s="213" t="s">
        <v>2</v>
      </c>
      <c r="M36" s="213" t="s">
        <v>2</v>
      </c>
      <c r="N36" s="213" t="s">
        <v>2</v>
      </c>
      <c r="O36" s="213" t="s">
        <v>3</v>
      </c>
      <c r="P36" s="213" t="s">
        <v>3</v>
      </c>
      <c r="Q36" s="213" t="s">
        <v>2</v>
      </c>
      <c r="R36" s="213"/>
      <c r="S36" s="213"/>
      <c r="T36" s="213" t="s">
        <v>3</v>
      </c>
      <c r="U36" s="213" t="s">
        <v>3</v>
      </c>
      <c r="V36" s="213" t="s">
        <v>2</v>
      </c>
      <c r="W36" s="119">
        <v>7</v>
      </c>
      <c r="X36" s="119" t="s">
        <v>10</v>
      </c>
      <c r="Y36" s="119">
        <f>COUNTIF(tblF22021[[#This Row],[CIV]:[BK]],"A")</f>
        <v>7</v>
      </c>
    </row>
    <row r="37" spans="1:25" x14ac:dyDescent="0.3">
      <c r="A37">
        <v>28</v>
      </c>
      <c r="B37" s="173"/>
      <c r="C37" s="171" t="s">
        <v>246</v>
      </c>
      <c r="D37" s="172" t="s">
        <v>8</v>
      </c>
      <c r="E37" s="172" t="s">
        <v>42</v>
      </c>
      <c r="F37" s="117"/>
      <c r="G37" s="173" t="s">
        <v>800</v>
      </c>
      <c r="H37" s="173">
        <v>2021</v>
      </c>
      <c r="I37" s="213" t="s">
        <v>2</v>
      </c>
      <c r="J37" s="213" t="s">
        <v>3</v>
      </c>
      <c r="K37" s="213" t="s">
        <v>2</v>
      </c>
      <c r="L37" s="213" t="s">
        <v>2</v>
      </c>
      <c r="M37" s="213" t="s">
        <v>2</v>
      </c>
      <c r="N37" s="213" t="s">
        <v>2</v>
      </c>
      <c r="O37" s="213" t="s">
        <v>2</v>
      </c>
      <c r="P37" s="213" t="s">
        <v>2</v>
      </c>
      <c r="Q37" s="213" t="s">
        <v>2</v>
      </c>
      <c r="R37" s="213"/>
      <c r="S37" s="213"/>
      <c r="T37" s="213" t="s">
        <v>2</v>
      </c>
      <c r="U37" s="213" t="s">
        <v>4</v>
      </c>
      <c r="V37" s="213" t="s">
        <v>2</v>
      </c>
      <c r="W37" s="119">
        <v>7</v>
      </c>
      <c r="X37" s="119" t="s">
        <v>10</v>
      </c>
      <c r="Y37" s="119">
        <f>COUNTIF(tblF22021[[#This Row],[CIV]:[BK]],"A")</f>
        <v>10</v>
      </c>
    </row>
    <row r="38" spans="1:25" x14ac:dyDescent="0.3">
      <c r="A38">
        <v>29</v>
      </c>
      <c r="B38" s="173"/>
      <c r="C38" s="171" t="s">
        <v>688</v>
      </c>
      <c r="D38" s="172" t="s">
        <v>8</v>
      </c>
      <c r="E38" s="172" t="s">
        <v>42</v>
      </c>
      <c r="F38" s="117"/>
      <c r="G38" s="173" t="s">
        <v>800</v>
      </c>
      <c r="H38" s="173">
        <v>2021</v>
      </c>
      <c r="I38" s="213" t="s">
        <v>2</v>
      </c>
      <c r="J38" s="213" t="s">
        <v>4</v>
      </c>
      <c r="K38" s="213" t="s">
        <v>3</v>
      </c>
      <c r="L38" s="213" t="s">
        <v>4</v>
      </c>
      <c r="M38" s="213" t="s">
        <v>2</v>
      </c>
      <c r="N38" s="213" t="s">
        <v>2</v>
      </c>
      <c r="O38" s="213" t="s">
        <v>4</v>
      </c>
      <c r="P38" s="213" t="s">
        <v>4</v>
      </c>
      <c r="Q38" s="213" t="s">
        <v>2</v>
      </c>
      <c r="R38" s="213"/>
      <c r="S38" s="213"/>
      <c r="T38" s="213" t="s">
        <v>4</v>
      </c>
      <c r="U38" s="213" t="s">
        <v>5</v>
      </c>
      <c r="V38" s="213" t="s">
        <v>4</v>
      </c>
      <c r="W38" s="119">
        <v>12</v>
      </c>
      <c r="X38" s="119" t="s">
        <v>10</v>
      </c>
      <c r="Y38" s="119">
        <f>COUNTIF(tblF22021[[#This Row],[CIV]:[BK]],"A")</f>
        <v>4</v>
      </c>
    </row>
    <row r="39" spans="1:25" x14ac:dyDescent="0.3">
      <c r="A39">
        <v>30</v>
      </c>
      <c r="B39" s="173"/>
      <c r="C39" s="171" t="s">
        <v>49</v>
      </c>
      <c r="D39" s="172" t="s">
        <v>8</v>
      </c>
      <c r="E39" s="172" t="s">
        <v>42</v>
      </c>
      <c r="F39" s="117"/>
      <c r="G39" s="173" t="s">
        <v>800</v>
      </c>
      <c r="H39" s="173">
        <v>2021</v>
      </c>
      <c r="I39" s="213" t="s">
        <v>2</v>
      </c>
      <c r="J39" s="213" t="s">
        <v>3</v>
      </c>
      <c r="K39" s="213" t="s">
        <v>2</v>
      </c>
      <c r="L39" s="213" t="s">
        <v>2</v>
      </c>
      <c r="M39" s="213" t="s">
        <v>2</v>
      </c>
      <c r="N39" s="213" t="s">
        <v>2</v>
      </c>
      <c r="O39" s="213" t="s">
        <v>4</v>
      </c>
      <c r="P39" s="213" t="s">
        <v>4</v>
      </c>
      <c r="Q39" s="213" t="s">
        <v>2</v>
      </c>
      <c r="R39" s="213"/>
      <c r="S39" s="213"/>
      <c r="T39" s="213" t="s">
        <v>4</v>
      </c>
      <c r="U39" s="213" t="s">
        <v>4</v>
      </c>
      <c r="V39" s="213" t="s">
        <v>4</v>
      </c>
      <c r="W39" s="119">
        <v>8</v>
      </c>
      <c r="X39" s="119" t="s">
        <v>10</v>
      </c>
      <c r="Y39" s="119">
        <f>COUNTIF(tblF22021[[#This Row],[CIV]:[BK]],"A")</f>
        <v>6</v>
      </c>
    </row>
    <row r="40" spans="1:25" x14ac:dyDescent="0.3">
      <c r="A40">
        <v>31</v>
      </c>
      <c r="B40" s="173"/>
      <c r="C40" s="171" t="s">
        <v>200</v>
      </c>
      <c r="D40" s="172" t="s">
        <v>8</v>
      </c>
      <c r="E40" s="172" t="s">
        <v>42</v>
      </c>
      <c r="F40" s="117"/>
      <c r="G40" s="173" t="s">
        <v>800</v>
      </c>
      <c r="H40" s="173">
        <v>2021</v>
      </c>
      <c r="I40" s="213" t="s">
        <v>2</v>
      </c>
      <c r="J40" s="213" t="s">
        <v>4</v>
      </c>
      <c r="K40" s="213" t="s">
        <v>3</v>
      </c>
      <c r="L40" s="213" t="s">
        <v>3</v>
      </c>
      <c r="M40" s="213" t="s">
        <v>2</v>
      </c>
      <c r="N40" s="213" t="s">
        <v>2</v>
      </c>
      <c r="O40" s="213" t="s">
        <v>2</v>
      </c>
      <c r="P40" s="213" t="s">
        <v>2</v>
      </c>
      <c r="Q40" s="213" t="s">
        <v>2</v>
      </c>
      <c r="R40" s="213"/>
      <c r="S40" s="213"/>
      <c r="T40" s="213" t="s">
        <v>2</v>
      </c>
      <c r="U40" s="213" t="s">
        <v>3</v>
      </c>
      <c r="V40" s="213" t="s">
        <v>2</v>
      </c>
      <c r="W40" s="119">
        <v>7</v>
      </c>
      <c r="X40" s="119" t="s">
        <v>10</v>
      </c>
      <c r="Y40" s="119">
        <f>COUNTIF(tblF22021[[#This Row],[CIV]:[BK]],"A")</f>
        <v>8</v>
      </c>
    </row>
    <row r="41" spans="1:25" x14ac:dyDescent="0.3">
      <c r="A41">
        <v>32</v>
      </c>
      <c r="B41" s="173"/>
      <c r="C41" s="171" t="s">
        <v>202</v>
      </c>
      <c r="D41" s="172" t="s">
        <v>8</v>
      </c>
      <c r="E41" s="172" t="s">
        <v>42</v>
      </c>
      <c r="F41" s="117"/>
      <c r="G41" s="173" t="s">
        <v>800</v>
      </c>
      <c r="H41" s="173">
        <v>2021</v>
      </c>
      <c r="I41" s="213" t="s">
        <v>2</v>
      </c>
      <c r="J41" s="213" t="s">
        <v>2</v>
      </c>
      <c r="K41" s="213" t="s">
        <v>2</v>
      </c>
      <c r="L41" s="213"/>
      <c r="M41" s="213" t="s">
        <v>2</v>
      </c>
      <c r="N41" s="213" t="s">
        <v>2</v>
      </c>
      <c r="O41" s="213" t="s">
        <v>2</v>
      </c>
      <c r="P41" s="213" t="s">
        <v>2</v>
      </c>
      <c r="Q41" s="213" t="s">
        <v>2</v>
      </c>
      <c r="R41" s="213"/>
      <c r="S41" s="213" t="s">
        <v>4</v>
      </c>
      <c r="T41" s="213" t="s">
        <v>2</v>
      </c>
      <c r="U41" s="213" t="s">
        <v>4</v>
      </c>
      <c r="V41" s="213" t="s">
        <v>2</v>
      </c>
      <c r="W41" s="119">
        <v>7</v>
      </c>
      <c r="X41" s="119" t="s">
        <v>10</v>
      </c>
      <c r="Y41" s="119">
        <f>COUNTIF(tblF22021[[#This Row],[CIV]:[BK]],"A")</f>
        <v>10</v>
      </c>
    </row>
    <row r="42" spans="1:25" x14ac:dyDescent="0.3">
      <c r="A42">
        <v>33</v>
      </c>
      <c r="B42" s="173"/>
      <c r="C42" s="171" t="s">
        <v>149</v>
      </c>
      <c r="D42" s="172" t="s">
        <v>8</v>
      </c>
      <c r="E42" s="172" t="s">
        <v>42</v>
      </c>
      <c r="F42" s="117"/>
      <c r="G42" s="173" t="s">
        <v>800</v>
      </c>
      <c r="H42" s="173">
        <v>2021</v>
      </c>
      <c r="I42" s="213" t="s">
        <v>2</v>
      </c>
      <c r="J42" s="213" t="s">
        <v>2</v>
      </c>
      <c r="K42" s="213" t="s">
        <v>3</v>
      </c>
      <c r="L42" s="213"/>
      <c r="M42" s="213" t="s">
        <v>2</v>
      </c>
      <c r="N42" s="213" t="s">
        <v>2</v>
      </c>
      <c r="O42" s="213" t="s">
        <v>4</v>
      </c>
      <c r="P42" s="213" t="s">
        <v>3</v>
      </c>
      <c r="Q42" s="213" t="s">
        <v>2</v>
      </c>
      <c r="R42" s="213"/>
      <c r="S42" s="213" t="s">
        <v>2</v>
      </c>
      <c r="T42" s="213" t="s">
        <v>3</v>
      </c>
      <c r="U42" s="213" t="s">
        <v>4</v>
      </c>
      <c r="V42" s="213" t="s">
        <v>4</v>
      </c>
      <c r="W42" s="119">
        <v>8</v>
      </c>
      <c r="X42" s="119" t="s">
        <v>10</v>
      </c>
      <c r="Y42" s="119">
        <f>COUNTIF(tblF22021[[#This Row],[CIV]:[BK]],"A")</f>
        <v>6</v>
      </c>
    </row>
    <row r="43" spans="1:25" x14ac:dyDescent="0.3">
      <c r="A43">
        <v>34</v>
      </c>
      <c r="B43" s="173"/>
      <c r="C43" s="171" t="s">
        <v>812</v>
      </c>
      <c r="D43" s="172" t="s">
        <v>8</v>
      </c>
      <c r="E43" s="172" t="s">
        <v>42</v>
      </c>
      <c r="F43" s="117"/>
      <c r="G43" s="173" t="s">
        <v>800</v>
      </c>
      <c r="H43" s="173">
        <v>2021</v>
      </c>
      <c r="I43" s="213" t="s">
        <v>2</v>
      </c>
      <c r="J43" s="213" t="s">
        <v>3</v>
      </c>
      <c r="K43" s="213" t="s">
        <v>3</v>
      </c>
      <c r="L43" s="213" t="s">
        <v>2</v>
      </c>
      <c r="M43" s="213" t="s">
        <v>2</v>
      </c>
      <c r="N43" s="213" t="s">
        <v>2</v>
      </c>
      <c r="O43" s="213" t="s">
        <v>4</v>
      </c>
      <c r="P43" s="213" t="s">
        <v>2</v>
      </c>
      <c r="Q43" s="213" t="s">
        <v>2</v>
      </c>
      <c r="R43" s="213"/>
      <c r="S43" s="213"/>
      <c r="T43" s="213" t="s">
        <v>4</v>
      </c>
      <c r="U43" s="213" t="s">
        <v>4</v>
      </c>
      <c r="V43" s="213" t="s">
        <v>4</v>
      </c>
      <c r="W43" s="119">
        <v>8</v>
      </c>
      <c r="X43" s="119" t="s">
        <v>10</v>
      </c>
      <c r="Y43" s="119">
        <f>COUNTIF(tblF22021[[#This Row],[CIV]:[BK]],"A")</f>
        <v>6</v>
      </c>
    </row>
    <row r="44" spans="1:25" x14ac:dyDescent="0.3">
      <c r="A44">
        <v>35</v>
      </c>
      <c r="B44" s="173"/>
      <c r="C44" s="171" t="s">
        <v>813</v>
      </c>
      <c r="D44" s="172" t="s">
        <v>8</v>
      </c>
      <c r="E44" s="172" t="s">
        <v>42</v>
      </c>
      <c r="F44" s="117"/>
      <c r="G44" s="173" t="s">
        <v>800</v>
      </c>
      <c r="H44" s="173">
        <v>2021</v>
      </c>
      <c r="I44" s="213" t="s">
        <v>2</v>
      </c>
      <c r="J44" s="213" t="s">
        <v>2</v>
      </c>
      <c r="K44" s="213" t="s">
        <v>2</v>
      </c>
      <c r="L44" s="213" t="s">
        <v>3</v>
      </c>
      <c r="M44" s="213" t="s">
        <v>2</v>
      </c>
      <c r="N44" s="213" t="s">
        <v>2</v>
      </c>
      <c r="O44" s="213" t="s">
        <v>2</v>
      </c>
      <c r="P44" s="213" t="s">
        <v>2</v>
      </c>
      <c r="Q44" s="213" t="s">
        <v>2</v>
      </c>
      <c r="R44" s="213"/>
      <c r="S44" s="213"/>
      <c r="T44" s="213" t="s">
        <v>2</v>
      </c>
      <c r="U44" s="213" t="s">
        <v>4</v>
      </c>
      <c r="V44" s="213" t="s">
        <v>2</v>
      </c>
      <c r="W44" s="119">
        <v>7</v>
      </c>
      <c r="X44" s="119" t="s">
        <v>10</v>
      </c>
      <c r="Y44" s="119">
        <f>COUNTIF(tblF22021[[#This Row],[CIV]:[BK]],"A")</f>
        <v>10</v>
      </c>
    </row>
    <row r="45" spans="1:25" x14ac:dyDescent="0.3">
      <c r="A45">
        <v>36</v>
      </c>
      <c r="B45" s="173"/>
      <c r="C45" s="171" t="s">
        <v>814</v>
      </c>
      <c r="D45" s="172" t="s">
        <v>8</v>
      </c>
      <c r="E45" s="172" t="s">
        <v>42</v>
      </c>
      <c r="F45" s="117"/>
      <c r="G45" s="173" t="s">
        <v>800</v>
      </c>
      <c r="H45" s="173">
        <v>2021</v>
      </c>
      <c r="I45" s="213" t="s">
        <v>2</v>
      </c>
      <c r="J45" s="213" t="s">
        <v>2</v>
      </c>
      <c r="K45" s="213" t="s">
        <v>2</v>
      </c>
      <c r="L45" s="213" t="s">
        <v>2</v>
      </c>
      <c r="M45" s="213" t="s">
        <v>2</v>
      </c>
      <c r="N45" s="213" t="s">
        <v>2</v>
      </c>
      <c r="O45" s="213" t="s">
        <v>2</v>
      </c>
      <c r="P45" s="213" t="s">
        <v>2</v>
      </c>
      <c r="Q45" s="213" t="s">
        <v>2</v>
      </c>
      <c r="R45" s="213"/>
      <c r="S45" s="213"/>
      <c r="T45" s="213" t="s">
        <v>2</v>
      </c>
      <c r="U45" s="213" t="s">
        <v>4</v>
      </c>
      <c r="V45" s="213" t="s">
        <v>2</v>
      </c>
      <c r="W45" s="119">
        <v>7</v>
      </c>
      <c r="X45" s="119" t="s">
        <v>10</v>
      </c>
      <c r="Y45" s="119">
        <f>COUNTIF(tblF22021[[#This Row],[CIV]:[BK]],"A")</f>
        <v>11</v>
      </c>
    </row>
    <row r="46" spans="1:25" x14ac:dyDescent="0.3">
      <c r="A46">
        <v>37</v>
      </c>
      <c r="B46" s="173"/>
      <c r="C46" s="171" t="s">
        <v>815</v>
      </c>
      <c r="D46" s="172" t="s">
        <v>8</v>
      </c>
      <c r="E46" s="172" t="s">
        <v>42</v>
      </c>
      <c r="F46" s="117"/>
      <c r="G46" s="173" t="s">
        <v>800</v>
      </c>
      <c r="H46" s="173">
        <v>2021</v>
      </c>
      <c r="I46" s="213" t="s">
        <v>2</v>
      </c>
      <c r="J46" s="213" t="s">
        <v>2</v>
      </c>
      <c r="K46" s="213" t="s">
        <v>2</v>
      </c>
      <c r="L46" s="213"/>
      <c r="M46" s="213" t="s">
        <v>2</v>
      </c>
      <c r="N46" s="213" t="s">
        <v>2</v>
      </c>
      <c r="O46" s="213" t="s">
        <v>2</v>
      </c>
      <c r="P46" s="213" t="s">
        <v>2</v>
      </c>
      <c r="Q46" s="213" t="s">
        <v>2</v>
      </c>
      <c r="R46" s="213"/>
      <c r="S46" s="213" t="s">
        <v>2</v>
      </c>
      <c r="T46" s="213" t="s">
        <v>2</v>
      </c>
      <c r="U46" s="213" t="s">
        <v>3</v>
      </c>
      <c r="V46" s="213" t="s">
        <v>2</v>
      </c>
      <c r="W46" s="119">
        <v>7</v>
      </c>
      <c r="X46" s="119" t="s">
        <v>10</v>
      </c>
      <c r="Y46" s="119">
        <f>COUNTIF(tblF22021[[#This Row],[CIV]:[BK]],"A")</f>
        <v>11</v>
      </c>
    </row>
    <row r="47" spans="1:25" x14ac:dyDescent="0.3">
      <c r="A47">
        <v>38</v>
      </c>
      <c r="B47" s="173"/>
      <c r="C47" s="171" t="s">
        <v>51</v>
      </c>
      <c r="D47" s="172" t="s">
        <v>8</v>
      </c>
      <c r="E47" s="172" t="s">
        <v>42</v>
      </c>
      <c r="F47" s="117"/>
      <c r="G47" s="173" t="s">
        <v>800</v>
      </c>
      <c r="H47" s="173">
        <v>2021</v>
      </c>
      <c r="I47" s="213" t="s">
        <v>2</v>
      </c>
      <c r="J47" s="213" t="s">
        <v>4</v>
      </c>
      <c r="K47" s="213" t="s">
        <v>3</v>
      </c>
      <c r="L47" s="213"/>
      <c r="M47" s="213" t="s">
        <v>2</v>
      </c>
      <c r="N47" s="213" t="s">
        <v>2</v>
      </c>
      <c r="O47" s="213" t="s">
        <v>4</v>
      </c>
      <c r="P47" s="213" t="s">
        <v>3</v>
      </c>
      <c r="Q47" s="213" t="s">
        <v>2</v>
      </c>
      <c r="R47" s="213"/>
      <c r="S47" s="213" t="s">
        <v>4</v>
      </c>
      <c r="T47" s="213" t="s">
        <v>2</v>
      </c>
      <c r="U47" s="213" t="s">
        <v>4</v>
      </c>
      <c r="V47" s="213" t="s">
        <v>4</v>
      </c>
      <c r="W47" s="119">
        <v>9</v>
      </c>
      <c r="X47" s="119" t="s">
        <v>10</v>
      </c>
      <c r="Y47" s="119">
        <f>COUNTIF(tblF22021[[#This Row],[CIV]:[BK]],"A")</f>
        <v>5</v>
      </c>
    </row>
    <row r="48" spans="1:25" x14ac:dyDescent="0.3">
      <c r="A48">
        <v>39</v>
      </c>
      <c r="B48" s="173"/>
      <c r="C48" s="171" t="s">
        <v>53</v>
      </c>
      <c r="D48" s="172" t="s">
        <v>8</v>
      </c>
      <c r="E48" s="172" t="s">
        <v>42</v>
      </c>
      <c r="F48" s="117"/>
      <c r="G48" s="173" t="s">
        <v>800</v>
      </c>
      <c r="H48" s="173">
        <v>2021</v>
      </c>
      <c r="I48" s="213" t="s">
        <v>2</v>
      </c>
      <c r="J48" s="213" t="s">
        <v>2</v>
      </c>
      <c r="K48" s="213" t="s">
        <v>2</v>
      </c>
      <c r="L48" s="213" t="s">
        <v>2</v>
      </c>
      <c r="M48" s="213" t="s">
        <v>2</v>
      </c>
      <c r="N48" s="213" t="s">
        <v>2</v>
      </c>
      <c r="O48" s="213" t="s">
        <v>3</v>
      </c>
      <c r="P48" s="213" t="s">
        <v>4</v>
      </c>
      <c r="Q48" s="213" t="s">
        <v>2</v>
      </c>
      <c r="R48" s="213"/>
      <c r="S48" s="213"/>
      <c r="T48" s="213" t="s">
        <v>3</v>
      </c>
      <c r="U48" s="213" t="s">
        <v>4</v>
      </c>
      <c r="V48" s="213" t="s">
        <v>4</v>
      </c>
      <c r="W48" s="119">
        <v>7</v>
      </c>
      <c r="X48" s="119" t="s">
        <v>10</v>
      </c>
      <c r="Y48" s="119">
        <f>COUNTIF(tblF22021[[#This Row],[CIV]:[BK]],"A")</f>
        <v>7</v>
      </c>
    </row>
    <row r="49" spans="1:25" x14ac:dyDescent="0.3">
      <c r="A49">
        <v>40</v>
      </c>
      <c r="B49" s="173"/>
      <c r="C49" s="171" t="s">
        <v>55</v>
      </c>
      <c r="D49" s="172" t="s">
        <v>8</v>
      </c>
      <c r="E49" s="172" t="s">
        <v>42</v>
      </c>
      <c r="F49" s="117"/>
      <c r="G49" s="173" t="s">
        <v>800</v>
      </c>
      <c r="H49" s="173">
        <v>2021</v>
      </c>
      <c r="I49" s="213" t="s">
        <v>2</v>
      </c>
      <c r="J49" s="213" t="s">
        <v>3</v>
      </c>
      <c r="K49" s="213" t="s">
        <v>3</v>
      </c>
      <c r="L49" s="213" t="s">
        <v>3</v>
      </c>
      <c r="M49" s="213" t="s">
        <v>2</v>
      </c>
      <c r="N49" s="213" t="s">
        <v>2</v>
      </c>
      <c r="O49" s="213" t="s">
        <v>4</v>
      </c>
      <c r="P49" s="213" t="s">
        <v>3</v>
      </c>
      <c r="Q49" s="213" t="s">
        <v>2</v>
      </c>
      <c r="R49" s="213"/>
      <c r="S49" s="213"/>
      <c r="T49" s="213" t="s">
        <v>4</v>
      </c>
      <c r="U49" s="213" t="s">
        <v>4</v>
      </c>
      <c r="V49" s="213" t="s">
        <v>4</v>
      </c>
      <c r="W49" s="119">
        <v>10</v>
      </c>
      <c r="X49" s="119" t="s">
        <v>10</v>
      </c>
      <c r="Y49" s="119">
        <f>COUNTIF(tblF22021[[#This Row],[CIV]:[BK]],"A")</f>
        <v>4</v>
      </c>
    </row>
    <row r="50" spans="1:25" x14ac:dyDescent="0.3">
      <c r="A50">
        <v>41</v>
      </c>
      <c r="B50" s="173"/>
      <c r="C50" s="171" t="s">
        <v>816</v>
      </c>
      <c r="D50" s="172" t="s">
        <v>8</v>
      </c>
      <c r="E50" s="172" t="s">
        <v>42</v>
      </c>
      <c r="F50" s="117"/>
      <c r="G50" s="173" t="s">
        <v>800</v>
      </c>
      <c r="H50" s="173">
        <v>2021</v>
      </c>
      <c r="I50" s="213" t="s">
        <v>3</v>
      </c>
      <c r="J50" s="213" t="s">
        <v>4</v>
      </c>
      <c r="K50" s="213" t="s">
        <v>4</v>
      </c>
      <c r="L50" s="213" t="s">
        <v>3</v>
      </c>
      <c r="M50" s="213" t="s">
        <v>2</v>
      </c>
      <c r="N50" s="213" t="s">
        <v>2</v>
      </c>
      <c r="O50" s="213" t="s">
        <v>4</v>
      </c>
      <c r="P50" s="213" t="s">
        <v>3</v>
      </c>
      <c r="Q50" s="213" t="s">
        <v>2</v>
      </c>
      <c r="R50" s="213"/>
      <c r="S50" s="213"/>
      <c r="T50" s="213" t="s">
        <v>4</v>
      </c>
      <c r="U50" s="213" t="s">
        <v>5</v>
      </c>
      <c r="V50" s="213" t="s">
        <v>4</v>
      </c>
      <c r="W50" s="119">
        <v>12</v>
      </c>
      <c r="X50" s="119" t="s">
        <v>10</v>
      </c>
      <c r="Y50" s="119">
        <f>COUNTIF(tblF22021[[#This Row],[CIV]:[BK]],"A")</f>
        <v>3</v>
      </c>
    </row>
    <row r="51" spans="1:25" x14ac:dyDescent="0.3">
      <c r="A51">
        <v>42</v>
      </c>
      <c r="B51" s="173"/>
      <c r="C51" s="171" t="s">
        <v>253</v>
      </c>
      <c r="D51" s="172" t="s">
        <v>8</v>
      </c>
      <c r="E51" s="172" t="s">
        <v>42</v>
      </c>
      <c r="F51" s="117"/>
      <c r="G51" s="173" t="s">
        <v>800</v>
      </c>
      <c r="H51" s="173">
        <v>2021</v>
      </c>
      <c r="I51" s="213" t="s">
        <v>2</v>
      </c>
      <c r="J51" s="213" t="s">
        <v>3</v>
      </c>
      <c r="K51" s="213" t="s">
        <v>2</v>
      </c>
      <c r="L51" s="213" t="s">
        <v>4</v>
      </c>
      <c r="M51" s="213" t="s">
        <v>2</v>
      </c>
      <c r="N51" s="213" t="s">
        <v>2</v>
      </c>
      <c r="O51" s="213" t="s">
        <v>4</v>
      </c>
      <c r="P51" s="213" t="s">
        <v>3</v>
      </c>
      <c r="Q51" s="213" t="s">
        <v>2</v>
      </c>
      <c r="R51" s="213"/>
      <c r="S51" s="213"/>
      <c r="T51" s="213" t="s">
        <v>3</v>
      </c>
      <c r="U51" s="213" t="s">
        <v>4</v>
      </c>
      <c r="V51" s="213" t="s">
        <v>3</v>
      </c>
      <c r="W51" s="119">
        <v>9</v>
      </c>
      <c r="X51" s="119" t="s">
        <v>10</v>
      </c>
      <c r="Y51" s="119">
        <f>COUNTIF(tblF22021[[#This Row],[CIV]:[BK]],"A")</f>
        <v>5</v>
      </c>
    </row>
    <row r="52" spans="1:25" x14ac:dyDescent="0.3">
      <c r="A52">
        <v>43</v>
      </c>
      <c r="B52" s="173"/>
      <c r="C52" s="171" t="s">
        <v>103</v>
      </c>
      <c r="D52" s="172" t="s">
        <v>8</v>
      </c>
      <c r="E52" s="172" t="s">
        <v>42</v>
      </c>
      <c r="F52" s="117"/>
      <c r="G52" s="173" t="s">
        <v>800</v>
      </c>
      <c r="H52" s="173">
        <v>2021</v>
      </c>
      <c r="I52" s="213" t="s">
        <v>2</v>
      </c>
      <c r="J52" s="213" t="s">
        <v>3</v>
      </c>
      <c r="K52" s="213" t="s">
        <v>3</v>
      </c>
      <c r="L52" s="213" t="s">
        <v>4</v>
      </c>
      <c r="M52" s="213" t="s">
        <v>2</v>
      </c>
      <c r="N52" s="213" t="s">
        <v>2</v>
      </c>
      <c r="O52" s="213" t="s">
        <v>4</v>
      </c>
      <c r="P52" s="213" t="s">
        <v>3</v>
      </c>
      <c r="Q52" s="213" t="s">
        <v>2</v>
      </c>
      <c r="R52" s="213"/>
      <c r="S52" s="213"/>
      <c r="T52" s="213" t="s">
        <v>3</v>
      </c>
      <c r="U52" s="213" t="s">
        <v>4</v>
      </c>
      <c r="V52" s="213" t="s">
        <v>4</v>
      </c>
      <c r="W52" s="119">
        <v>10</v>
      </c>
      <c r="X52" s="119" t="s">
        <v>10</v>
      </c>
      <c r="Y52" s="119">
        <f>COUNTIF(tblF22021[[#This Row],[CIV]:[BK]],"A")</f>
        <v>4</v>
      </c>
    </row>
    <row r="53" spans="1:25" x14ac:dyDescent="0.3">
      <c r="A53">
        <v>44</v>
      </c>
      <c r="B53" s="173"/>
      <c r="C53" s="171" t="s">
        <v>151</v>
      </c>
      <c r="D53" s="172" t="s">
        <v>8</v>
      </c>
      <c r="E53" s="172" t="s">
        <v>42</v>
      </c>
      <c r="F53" s="117"/>
      <c r="G53" s="173" t="s">
        <v>800</v>
      </c>
      <c r="H53" s="173">
        <v>2021</v>
      </c>
      <c r="I53" s="213" t="s">
        <v>2</v>
      </c>
      <c r="J53" s="213" t="s">
        <v>2</v>
      </c>
      <c r="K53" s="213" t="s">
        <v>3</v>
      </c>
      <c r="L53" s="213" t="s">
        <v>2</v>
      </c>
      <c r="M53" s="213" t="s">
        <v>2</v>
      </c>
      <c r="N53" s="213" t="s">
        <v>2</v>
      </c>
      <c r="O53" s="213" t="s">
        <v>3</v>
      </c>
      <c r="P53" s="213" t="s">
        <v>2</v>
      </c>
      <c r="Q53" s="213" t="s">
        <v>2</v>
      </c>
      <c r="R53" s="213"/>
      <c r="S53" s="213"/>
      <c r="T53" s="213" t="s">
        <v>4</v>
      </c>
      <c r="U53" s="213" t="s">
        <v>3</v>
      </c>
      <c r="V53" s="213" t="s">
        <v>2</v>
      </c>
      <c r="W53" s="119">
        <v>7</v>
      </c>
      <c r="X53" s="119" t="s">
        <v>10</v>
      </c>
      <c r="Y53" s="119">
        <f>COUNTIF(tblF22021[[#This Row],[CIV]:[BK]],"A")</f>
        <v>8</v>
      </c>
    </row>
    <row r="54" spans="1:25" x14ac:dyDescent="0.3">
      <c r="A54">
        <v>45</v>
      </c>
      <c r="B54" s="173"/>
      <c r="C54" s="171" t="s">
        <v>153</v>
      </c>
      <c r="D54" s="172" t="s">
        <v>8</v>
      </c>
      <c r="E54" s="172" t="s">
        <v>42</v>
      </c>
      <c r="F54" s="117"/>
      <c r="G54" s="173" t="s">
        <v>800</v>
      </c>
      <c r="H54" s="173">
        <v>2021</v>
      </c>
      <c r="I54" s="213" t="s">
        <v>2</v>
      </c>
      <c r="J54" s="213" t="s">
        <v>2</v>
      </c>
      <c r="K54" s="213" t="s">
        <v>2</v>
      </c>
      <c r="L54" s="213" t="s">
        <v>2</v>
      </c>
      <c r="M54" s="213" t="s">
        <v>2</v>
      </c>
      <c r="N54" s="213" t="s">
        <v>2</v>
      </c>
      <c r="O54" s="213" t="s">
        <v>2</v>
      </c>
      <c r="P54" s="213" t="s">
        <v>2</v>
      </c>
      <c r="Q54" s="213" t="s">
        <v>2</v>
      </c>
      <c r="R54" s="213"/>
      <c r="S54" s="213"/>
      <c r="T54" s="213" t="s">
        <v>2</v>
      </c>
      <c r="U54" s="213" t="s">
        <v>4</v>
      </c>
      <c r="V54" s="213" t="s">
        <v>2</v>
      </c>
      <c r="W54" s="119">
        <v>7</v>
      </c>
      <c r="X54" s="119" t="s">
        <v>10</v>
      </c>
      <c r="Y54" s="119">
        <f>COUNTIF(tblF22021[[#This Row],[CIV]:[BK]],"A")</f>
        <v>11</v>
      </c>
    </row>
    <row r="55" spans="1:25" x14ac:dyDescent="0.3">
      <c r="A55">
        <v>46</v>
      </c>
      <c r="B55" s="173"/>
      <c r="C55" s="171" t="s">
        <v>817</v>
      </c>
      <c r="D55" s="172" t="s">
        <v>8</v>
      </c>
      <c r="E55" s="172" t="s">
        <v>42</v>
      </c>
      <c r="F55" s="117"/>
      <c r="G55" s="173" t="s">
        <v>800</v>
      </c>
      <c r="H55" s="173">
        <v>2021</v>
      </c>
      <c r="I55" s="213" t="s">
        <v>2</v>
      </c>
      <c r="J55" s="213" t="s">
        <v>2</v>
      </c>
      <c r="K55" s="213" t="s">
        <v>2</v>
      </c>
      <c r="L55" s="213"/>
      <c r="M55" s="213" t="s">
        <v>2</v>
      </c>
      <c r="N55" s="213" t="s">
        <v>2</v>
      </c>
      <c r="O55" s="213" t="s">
        <v>2</v>
      </c>
      <c r="P55" s="213" t="s">
        <v>2</v>
      </c>
      <c r="Q55" s="213" t="s">
        <v>2</v>
      </c>
      <c r="R55" s="213"/>
      <c r="S55" s="213" t="s">
        <v>2</v>
      </c>
      <c r="T55" s="213" t="s">
        <v>2</v>
      </c>
      <c r="U55" s="213" t="s">
        <v>4</v>
      </c>
      <c r="V55" s="213" t="s">
        <v>2</v>
      </c>
      <c r="W55" s="119">
        <v>7</v>
      </c>
      <c r="X55" s="119" t="s">
        <v>10</v>
      </c>
      <c r="Y55" s="119">
        <f>COUNTIF(tblF22021[[#This Row],[CIV]:[BK]],"A")</f>
        <v>11</v>
      </c>
    </row>
    <row r="56" spans="1:25" x14ac:dyDescent="0.3">
      <c r="A56">
        <v>47</v>
      </c>
      <c r="B56" s="173"/>
      <c r="C56" s="171" t="s">
        <v>818</v>
      </c>
      <c r="D56" s="172" t="s">
        <v>8</v>
      </c>
      <c r="E56" s="172" t="s">
        <v>42</v>
      </c>
      <c r="F56" s="117"/>
      <c r="G56" s="173" t="s">
        <v>800</v>
      </c>
      <c r="H56" s="173">
        <v>2021</v>
      </c>
      <c r="I56" s="213" t="s">
        <v>2</v>
      </c>
      <c r="J56" s="213" t="s">
        <v>2</v>
      </c>
      <c r="K56" s="213" t="s">
        <v>2</v>
      </c>
      <c r="L56" s="213"/>
      <c r="M56" s="213" t="s">
        <v>2</v>
      </c>
      <c r="N56" s="213" t="s">
        <v>2</v>
      </c>
      <c r="O56" s="213" t="s">
        <v>2</v>
      </c>
      <c r="P56" s="213" t="s">
        <v>2</v>
      </c>
      <c r="Q56" s="213" t="s">
        <v>2</v>
      </c>
      <c r="R56" s="213"/>
      <c r="S56" s="213" t="s">
        <v>2</v>
      </c>
      <c r="T56" s="213" t="s">
        <v>2</v>
      </c>
      <c r="U56" s="213" t="s">
        <v>4</v>
      </c>
      <c r="V56" s="213" t="s">
        <v>2</v>
      </c>
      <c r="W56" s="119">
        <v>7</v>
      </c>
      <c r="X56" s="119" t="s">
        <v>10</v>
      </c>
      <c r="Y56" s="119">
        <f>COUNTIF(tblF22021[[#This Row],[CIV]:[BK]],"A")</f>
        <v>11</v>
      </c>
    </row>
    <row r="57" spans="1:25" x14ac:dyDescent="0.3">
      <c r="A57">
        <v>48</v>
      </c>
      <c r="B57" s="173"/>
      <c r="C57" s="171" t="s">
        <v>308</v>
      </c>
      <c r="D57" s="172" t="s">
        <v>8</v>
      </c>
      <c r="E57" s="172" t="s">
        <v>42</v>
      </c>
      <c r="F57" s="117"/>
      <c r="G57" s="173" t="s">
        <v>800</v>
      </c>
      <c r="H57" s="173">
        <v>2021</v>
      </c>
      <c r="I57" s="213" t="s">
        <v>2</v>
      </c>
      <c r="J57" s="213" t="s">
        <v>3</v>
      </c>
      <c r="K57" s="213" t="s">
        <v>4</v>
      </c>
      <c r="L57" s="213" t="s">
        <v>3</v>
      </c>
      <c r="M57" s="213" t="s">
        <v>2</v>
      </c>
      <c r="N57" s="213" t="s">
        <v>2</v>
      </c>
      <c r="O57" s="213" t="s">
        <v>4</v>
      </c>
      <c r="P57" s="213" t="s">
        <v>2</v>
      </c>
      <c r="Q57" s="213" t="s">
        <v>2</v>
      </c>
      <c r="R57" s="213"/>
      <c r="S57" s="213"/>
      <c r="T57" s="213" t="s">
        <v>2</v>
      </c>
      <c r="U57" s="213" t="s">
        <v>5</v>
      </c>
      <c r="V57" s="213" t="s">
        <v>2</v>
      </c>
      <c r="W57" s="119">
        <v>7</v>
      </c>
      <c r="X57" s="119" t="s">
        <v>10</v>
      </c>
      <c r="Y57" s="119">
        <f>COUNTIF(tblF22021[[#This Row],[CIV]:[BK]],"A")</f>
        <v>7</v>
      </c>
    </row>
    <row r="58" spans="1:25" x14ac:dyDescent="0.3">
      <c r="A58">
        <v>49</v>
      </c>
      <c r="B58" s="173"/>
      <c r="C58" s="171" t="s">
        <v>310</v>
      </c>
      <c r="D58" s="172" t="s">
        <v>8</v>
      </c>
      <c r="E58" s="172" t="s">
        <v>42</v>
      </c>
      <c r="F58" s="117"/>
      <c r="G58" s="173" t="s">
        <v>800</v>
      </c>
      <c r="H58" s="173">
        <v>2021</v>
      </c>
      <c r="I58" s="213" t="s">
        <v>2</v>
      </c>
      <c r="J58" s="213" t="s">
        <v>3</v>
      </c>
      <c r="K58" s="213" t="s">
        <v>3</v>
      </c>
      <c r="L58" s="213" t="s">
        <v>3</v>
      </c>
      <c r="M58" s="213" t="s">
        <v>2</v>
      </c>
      <c r="N58" s="213" t="s">
        <v>2</v>
      </c>
      <c r="O58" s="213" t="s">
        <v>4</v>
      </c>
      <c r="P58" s="213" t="s">
        <v>4</v>
      </c>
      <c r="Q58" s="213" t="s">
        <v>2</v>
      </c>
      <c r="R58" s="213"/>
      <c r="S58" s="213"/>
      <c r="T58" s="213" t="s">
        <v>4</v>
      </c>
      <c r="U58" s="213" t="s">
        <v>4</v>
      </c>
      <c r="V58" s="213" t="s">
        <v>3</v>
      </c>
      <c r="W58" s="119">
        <v>10</v>
      </c>
      <c r="X58" s="119" t="s">
        <v>10</v>
      </c>
      <c r="Y58" s="119">
        <f>COUNTIF(tblF22021[[#This Row],[CIV]:[BK]],"A")</f>
        <v>4</v>
      </c>
    </row>
    <row r="59" spans="1:25" x14ac:dyDescent="0.3">
      <c r="A59">
        <v>50</v>
      </c>
      <c r="B59" s="173"/>
      <c r="C59" s="171" t="s">
        <v>105</v>
      </c>
      <c r="D59" s="172" t="s">
        <v>8</v>
      </c>
      <c r="E59" s="172" t="s">
        <v>42</v>
      </c>
      <c r="F59" s="117"/>
      <c r="G59" s="173" t="s">
        <v>800</v>
      </c>
      <c r="H59" s="173">
        <v>2021</v>
      </c>
      <c r="I59" s="213" t="s">
        <v>3</v>
      </c>
      <c r="J59" s="213" t="s">
        <v>4</v>
      </c>
      <c r="K59" s="213" t="s">
        <v>4</v>
      </c>
      <c r="L59" s="213" t="s">
        <v>3</v>
      </c>
      <c r="M59" s="213" t="s">
        <v>2</v>
      </c>
      <c r="N59" s="213" t="s">
        <v>2</v>
      </c>
      <c r="O59" s="213" t="s">
        <v>4</v>
      </c>
      <c r="P59" s="213" t="s">
        <v>4</v>
      </c>
      <c r="Q59" s="213" t="s">
        <v>3</v>
      </c>
      <c r="R59" s="213"/>
      <c r="S59" s="213"/>
      <c r="T59" s="213" t="s">
        <v>3</v>
      </c>
      <c r="U59" s="213" t="s">
        <v>5</v>
      </c>
      <c r="V59" s="213" t="s">
        <v>3</v>
      </c>
      <c r="W59" s="119">
        <v>12</v>
      </c>
      <c r="X59" s="119" t="s">
        <v>10</v>
      </c>
      <c r="Y59" s="119">
        <f>COUNTIF(tblF22021[[#This Row],[CIV]:[BK]],"A")</f>
        <v>2</v>
      </c>
    </row>
    <row r="60" spans="1:25" x14ac:dyDescent="0.3">
      <c r="A60">
        <v>51</v>
      </c>
      <c r="B60" s="173"/>
      <c r="C60" s="171" t="s">
        <v>107</v>
      </c>
      <c r="D60" s="172" t="s">
        <v>8</v>
      </c>
      <c r="E60" s="172" t="s">
        <v>42</v>
      </c>
      <c r="F60" s="117"/>
      <c r="G60" s="173" t="s">
        <v>800</v>
      </c>
      <c r="H60" s="173">
        <v>2021</v>
      </c>
      <c r="I60" s="213" t="s">
        <v>4</v>
      </c>
      <c r="J60" s="213" t="s">
        <v>2</v>
      </c>
      <c r="K60" s="213" t="s">
        <v>2</v>
      </c>
      <c r="L60" s="213"/>
      <c r="M60" s="213" t="s">
        <v>2</v>
      </c>
      <c r="N60" s="213" t="s">
        <v>2</v>
      </c>
      <c r="O60" s="213" t="s">
        <v>4</v>
      </c>
      <c r="P60" s="213" t="s">
        <v>4</v>
      </c>
      <c r="Q60" s="213" t="s">
        <v>3</v>
      </c>
      <c r="R60" s="213"/>
      <c r="S60" s="213" t="s">
        <v>4</v>
      </c>
      <c r="T60" s="213" t="s">
        <v>2</v>
      </c>
      <c r="U60" s="213" t="s">
        <v>4</v>
      </c>
      <c r="V60" s="213" t="s">
        <v>3</v>
      </c>
      <c r="W60" s="119">
        <v>9</v>
      </c>
      <c r="X60" s="119" t="s">
        <v>10</v>
      </c>
      <c r="Y60" s="119">
        <f>COUNTIF(tblF22021[[#This Row],[CIV]:[BK]],"A")</f>
        <v>5</v>
      </c>
    </row>
    <row r="61" spans="1:25" x14ac:dyDescent="0.3">
      <c r="A61">
        <v>52</v>
      </c>
      <c r="B61" s="173"/>
      <c r="C61" s="171" t="s">
        <v>109</v>
      </c>
      <c r="D61" s="172" t="s">
        <v>8</v>
      </c>
      <c r="E61" s="172" t="s">
        <v>42</v>
      </c>
      <c r="F61" s="117"/>
      <c r="G61" s="173" t="s">
        <v>800</v>
      </c>
      <c r="H61" s="173">
        <v>2021</v>
      </c>
      <c r="I61" s="213" t="s">
        <v>3</v>
      </c>
      <c r="J61" s="213" t="s">
        <v>4</v>
      </c>
      <c r="K61" s="213" t="s">
        <v>4</v>
      </c>
      <c r="L61" s="213" t="s">
        <v>4</v>
      </c>
      <c r="M61" s="213" t="s">
        <v>2</v>
      </c>
      <c r="N61" s="213" t="s">
        <v>2</v>
      </c>
      <c r="O61" s="213" t="s">
        <v>4</v>
      </c>
      <c r="P61" s="213" t="s">
        <v>4</v>
      </c>
      <c r="Q61" s="213" t="s">
        <v>3</v>
      </c>
      <c r="R61" s="213"/>
      <c r="S61" s="213"/>
      <c r="T61" s="213" t="s">
        <v>3</v>
      </c>
      <c r="U61" s="213" t="s">
        <v>5</v>
      </c>
      <c r="V61" s="213" t="s">
        <v>3</v>
      </c>
      <c r="W61" s="119">
        <v>13</v>
      </c>
      <c r="X61" s="119" t="s">
        <v>10</v>
      </c>
      <c r="Y61" s="119">
        <f>COUNTIF(tblF22021[[#This Row],[CIV]:[BK]],"A")</f>
        <v>2</v>
      </c>
    </row>
    <row r="62" spans="1:25" x14ac:dyDescent="0.3">
      <c r="A62">
        <v>53</v>
      </c>
      <c r="B62" s="173"/>
      <c r="C62" s="171" t="s">
        <v>312</v>
      </c>
      <c r="D62" s="172" t="s">
        <v>8</v>
      </c>
      <c r="E62" s="172" t="s">
        <v>42</v>
      </c>
      <c r="F62" s="117"/>
      <c r="G62" s="173" t="s">
        <v>800</v>
      </c>
      <c r="H62" s="173">
        <v>2021</v>
      </c>
      <c r="I62" s="213" t="s">
        <v>2</v>
      </c>
      <c r="J62" s="213" t="s">
        <v>2</v>
      </c>
      <c r="K62" s="213" t="s">
        <v>2</v>
      </c>
      <c r="L62" s="213" t="s">
        <v>2</v>
      </c>
      <c r="M62" s="213" t="s">
        <v>2</v>
      </c>
      <c r="N62" s="213" t="s">
        <v>2</v>
      </c>
      <c r="O62" s="213" t="s">
        <v>2</v>
      </c>
      <c r="P62" s="213" t="s">
        <v>2</v>
      </c>
      <c r="Q62" s="213" t="s">
        <v>2</v>
      </c>
      <c r="R62" s="213"/>
      <c r="S62" s="213"/>
      <c r="T62" s="213" t="s">
        <v>2</v>
      </c>
      <c r="U62" s="213" t="s">
        <v>3</v>
      </c>
      <c r="V62" s="213" t="s">
        <v>2</v>
      </c>
      <c r="W62" s="119">
        <v>7</v>
      </c>
      <c r="X62" s="119" t="s">
        <v>10</v>
      </c>
      <c r="Y62" s="119">
        <f>COUNTIF(tblF22021[[#This Row],[CIV]:[BK]],"A")</f>
        <v>11</v>
      </c>
    </row>
    <row r="63" spans="1:25" x14ac:dyDescent="0.3">
      <c r="A63">
        <v>54</v>
      </c>
      <c r="B63" s="173"/>
      <c r="C63" s="171" t="s">
        <v>819</v>
      </c>
      <c r="D63" s="172" t="s">
        <v>8</v>
      </c>
      <c r="E63" s="172" t="s">
        <v>42</v>
      </c>
      <c r="F63" s="117"/>
      <c r="G63" s="173" t="s">
        <v>800</v>
      </c>
      <c r="H63" s="173">
        <v>2021</v>
      </c>
      <c r="I63" s="213" t="s">
        <v>2</v>
      </c>
      <c r="J63" s="213" t="s">
        <v>3</v>
      </c>
      <c r="K63" s="213" t="s">
        <v>3</v>
      </c>
      <c r="L63" s="213" t="s">
        <v>3</v>
      </c>
      <c r="M63" s="213" t="s">
        <v>2</v>
      </c>
      <c r="N63" s="213" t="s">
        <v>2</v>
      </c>
      <c r="O63" s="213" t="s">
        <v>4</v>
      </c>
      <c r="P63" s="213" t="s">
        <v>2</v>
      </c>
      <c r="Q63" s="213" t="s">
        <v>2</v>
      </c>
      <c r="R63" s="213"/>
      <c r="S63" s="213"/>
      <c r="T63" s="213" t="s">
        <v>4</v>
      </c>
      <c r="U63" s="213" t="s">
        <v>3</v>
      </c>
      <c r="V63" s="213" t="s">
        <v>3</v>
      </c>
      <c r="W63" s="119">
        <v>9</v>
      </c>
      <c r="X63" s="119" t="s">
        <v>10</v>
      </c>
      <c r="Y63" s="119">
        <f>COUNTIF(tblF22021[[#This Row],[CIV]:[BK]],"A")</f>
        <v>5</v>
      </c>
    </row>
    <row r="64" spans="1:25" x14ac:dyDescent="0.3">
      <c r="A64">
        <v>55</v>
      </c>
      <c r="B64" s="173"/>
      <c r="C64" s="171" t="s">
        <v>57</v>
      </c>
      <c r="D64" s="172" t="s">
        <v>8</v>
      </c>
      <c r="E64" s="172" t="s">
        <v>42</v>
      </c>
      <c r="F64" s="117"/>
      <c r="G64" s="173" t="s">
        <v>800</v>
      </c>
      <c r="H64" s="173">
        <v>2021</v>
      </c>
      <c r="I64" s="213" t="s">
        <v>2</v>
      </c>
      <c r="J64" s="213" t="s">
        <v>2</v>
      </c>
      <c r="K64" s="213" t="s">
        <v>4</v>
      </c>
      <c r="L64" s="213"/>
      <c r="M64" s="213" t="s">
        <v>2</v>
      </c>
      <c r="N64" s="213" t="s">
        <v>2</v>
      </c>
      <c r="O64" s="213" t="s">
        <v>4</v>
      </c>
      <c r="P64" s="213" t="s">
        <v>4</v>
      </c>
      <c r="Q64" s="213" t="s">
        <v>2</v>
      </c>
      <c r="R64" s="213"/>
      <c r="S64" s="213" t="s">
        <v>4</v>
      </c>
      <c r="T64" s="213" t="s">
        <v>4</v>
      </c>
      <c r="U64" s="213" t="s">
        <v>4</v>
      </c>
      <c r="V64" s="213" t="s">
        <v>4</v>
      </c>
      <c r="W64" s="119">
        <v>11</v>
      </c>
      <c r="X64" s="119" t="s">
        <v>10</v>
      </c>
      <c r="Y64" s="119">
        <f>COUNTIF(tblF22021[[#This Row],[CIV]:[BK]],"A")</f>
        <v>5</v>
      </c>
    </row>
    <row r="65" spans="1:25" x14ac:dyDescent="0.3">
      <c r="A65">
        <v>56</v>
      </c>
      <c r="B65" s="173"/>
      <c r="C65" s="171" t="s">
        <v>820</v>
      </c>
      <c r="D65" s="172" t="s">
        <v>8</v>
      </c>
      <c r="E65" s="172" t="s">
        <v>42</v>
      </c>
      <c r="F65" s="117"/>
      <c r="G65" s="173" t="s">
        <v>800</v>
      </c>
      <c r="H65" s="173">
        <v>2021</v>
      </c>
      <c r="I65" s="213" t="s">
        <v>2</v>
      </c>
      <c r="J65" s="213" t="s">
        <v>4</v>
      </c>
      <c r="K65" s="213" t="s">
        <v>3</v>
      </c>
      <c r="L65" s="213" t="s">
        <v>4</v>
      </c>
      <c r="M65" s="213" t="s">
        <v>2</v>
      </c>
      <c r="N65" s="213" t="s">
        <v>2</v>
      </c>
      <c r="O65" s="213" t="s">
        <v>4</v>
      </c>
      <c r="P65" s="213" t="s">
        <v>3</v>
      </c>
      <c r="Q65" s="213" t="s">
        <v>3</v>
      </c>
      <c r="R65" s="213"/>
      <c r="S65" s="213"/>
      <c r="T65" s="213" t="s">
        <v>3</v>
      </c>
      <c r="U65" s="213" t="s">
        <v>4</v>
      </c>
      <c r="V65" s="213" t="s">
        <v>2</v>
      </c>
      <c r="W65" s="119">
        <v>10</v>
      </c>
      <c r="X65" s="119" t="s">
        <v>10</v>
      </c>
      <c r="Y65" s="119">
        <f>COUNTIF(tblF22021[[#This Row],[CIV]:[BK]],"A")</f>
        <v>4</v>
      </c>
    </row>
    <row r="66" spans="1:25" x14ac:dyDescent="0.3">
      <c r="A66">
        <v>57</v>
      </c>
      <c r="B66" s="173"/>
      <c r="C66" s="171" t="s">
        <v>314</v>
      </c>
      <c r="D66" s="172" t="s">
        <v>8</v>
      </c>
      <c r="E66" s="172" t="s">
        <v>42</v>
      </c>
      <c r="F66" s="117"/>
      <c r="G66" s="173" t="s">
        <v>800</v>
      </c>
      <c r="H66" s="173">
        <v>2021</v>
      </c>
      <c r="I66" s="213" t="s">
        <v>2</v>
      </c>
      <c r="J66" s="213" t="s">
        <v>2</v>
      </c>
      <c r="K66" s="213" t="s">
        <v>3</v>
      </c>
      <c r="L66" s="213" t="s">
        <v>2</v>
      </c>
      <c r="M66" s="213" t="s">
        <v>2</v>
      </c>
      <c r="N66" s="213" t="s">
        <v>2</v>
      </c>
      <c r="O66" s="213" t="s">
        <v>4</v>
      </c>
      <c r="P66" s="213" t="s">
        <v>2</v>
      </c>
      <c r="Q66" s="213" t="s">
        <v>2</v>
      </c>
      <c r="R66" s="213"/>
      <c r="S66" s="213"/>
      <c r="T66" s="213" t="s">
        <v>3</v>
      </c>
      <c r="U66" s="213" t="s">
        <v>4</v>
      </c>
      <c r="V66" s="213" t="s">
        <v>3</v>
      </c>
      <c r="W66" s="119">
        <v>7</v>
      </c>
      <c r="X66" s="119" t="s">
        <v>10</v>
      </c>
      <c r="Y66" s="119">
        <f>COUNTIF(tblF22021[[#This Row],[CIV]:[BK]],"A")</f>
        <v>7</v>
      </c>
    </row>
    <row r="67" spans="1:25" x14ac:dyDescent="0.3">
      <c r="A67">
        <v>58</v>
      </c>
      <c r="B67" s="173"/>
      <c r="C67" s="171" t="s">
        <v>821</v>
      </c>
      <c r="D67" s="172" t="s">
        <v>8</v>
      </c>
      <c r="E67" s="172" t="s">
        <v>42</v>
      </c>
      <c r="F67" s="117"/>
      <c r="G67" s="173" t="s">
        <v>800</v>
      </c>
      <c r="H67" s="173">
        <v>2021</v>
      </c>
      <c r="I67" s="213" t="s">
        <v>2</v>
      </c>
      <c r="J67" s="213" t="s">
        <v>2</v>
      </c>
      <c r="K67" s="213" t="s">
        <v>4</v>
      </c>
      <c r="L67" s="213" t="s">
        <v>4</v>
      </c>
      <c r="M67" s="213" t="s">
        <v>2</v>
      </c>
      <c r="N67" s="213" t="s">
        <v>2</v>
      </c>
      <c r="O67" s="213" t="s">
        <v>4</v>
      </c>
      <c r="P67" s="213" t="s">
        <v>3</v>
      </c>
      <c r="Q67" s="213" t="s">
        <v>2</v>
      </c>
      <c r="R67" s="213"/>
      <c r="S67" s="213"/>
      <c r="T67" s="213" t="s">
        <v>4</v>
      </c>
      <c r="U67" s="213" t="s">
        <v>4</v>
      </c>
      <c r="V67" s="213" t="s">
        <v>4</v>
      </c>
      <c r="W67" s="119">
        <v>10</v>
      </c>
      <c r="X67" s="119" t="s">
        <v>10</v>
      </c>
      <c r="Y67" s="119">
        <f>COUNTIF(tblF22021[[#This Row],[CIV]:[BK]],"A")</f>
        <v>5</v>
      </c>
    </row>
    <row r="68" spans="1:25" x14ac:dyDescent="0.3">
      <c r="A68">
        <v>59</v>
      </c>
      <c r="B68" s="173"/>
      <c r="C68" s="171" t="s">
        <v>822</v>
      </c>
      <c r="D68" s="172" t="s">
        <v>8</v>
      </c>
      <c r="E68" s="172" t="s">
        <v>42</v>
      </c>
      <c r="F68" s="117"/>
      <c r="G68" s="173" t="s">
        <v>800</v>
      </c>
      <c r="H68" s="173">
        <v>2021</v>
      </c>
      <c r="I68" s="213" t="s">
        <v>2</v>
      </c>
      <c r="J68" s="213" t="s">
        <v>2</v>
      </c>
      <c r="K68" s="213" t="s">
        <v>3</v>
      </c>
      <c r="L68" s="213" t="s">
        <v>3</v>
      </c>
      <c r="M68" s="213" t="s">
        <v>2</v>
      </c>
      <c r="N68" s="213" t="s">
        <v>2</v>
      </c>
      <c r="O68" s="213" t="s">
        <v>3</v>
      </c>
      <c r="P68" s="213" t="s">
        <v>2</v>
      </c>
      <c r="Q68" s="213" t="s">
        <v>2</v>
      </c>
      <c r="R68" s="213"/>
      <c r="S68" s="213"/>
      <c r="T68" s="213" t="s">
        <v>2</v>
      </c>
      <c r="U68" s="213" t="s">
        <v>4</v>
      </c>
      <c r="V68" s="213" t="s">
        <v>2</v>
      </c>
      <c r="W68" s="119">
        <v>7</v>
      </c>
      <c r="X68" s="119" t="s">
        <v>10</v>
      </c>
      <c r="Y68" s="119">
        <f>COUNTIF(tblF22021[[#This Row],[CIV]:[BK]],"A")</f>
        <v>8</v>
      </c>
    </row>
    <row r="69" spans="1:25" x14ac:dyDescent="0.3">
      <c r="A69">
        <v>61</v>
      </c>
      <c r="B69" s="173"/>
      <c r="C69" s="171" t="s">
        <v>823</v>
      </c>
      <c r="D69" s="172" t="s">
        <v>8</v>
      </c>
      <c r="E69" s="172" t="s">
        <v>42</v>
      </c>
      <c r="F69" s="117"/>
      <c r="G69" s="173" t="s">
        <v>800</v>
      </c>
      <c r="H69" s="173">
        <v>2021</v>
      </c>
      <c r="I69" s="213" t="s">
        <v>3</v>
      </c>
      <c r="J69" s="213" t="s">
        <v>4</v>
      </c>
      <c r="K69" s="213" t="s">
        <v>4</v>
      </c>
      <c r="L69" s="213" t="s">
        <v>4</v>
      </c>
      <c r="M69" s="213" t="s">
        <v>2</v>
      </c>
      <c r="N69" s="213" t="s">
        <v>2</v>
      </c>
      <c r="O69" s="213" t="s">
        <v>5</v>
      </c>
      <c r="P69" s="213" t="s">
        <v>4</v>
      </c>
      <c r="Q69" s="213" t="s">
        <v>4</v>
      </c>
      <c r="R69" s="213"/>
      <c r="S69" s="213"/>
      <c r="T69" s="213" t="s">
        <v>5</v>
      </c>
      <c r="U69" s="213" t="s">
        <v>4</v>
      </c>
      <c r="V69" s="213" t="s">
        <v>4</v>
      </c>
      <c r="W69" s="119">
        <v>16</v>
      </c>
      <c r="X69" s="119" t="s">
        <v>10</v>
      </c>
      <c r="Y69" s="119">
        <f>COUNTIF(tblF22021[[#This Row],[CIV]:[BK]],"A")</f>
        <v>2</v>
      </c>
    </row>
    <row r="70" spans="1:25" x14ac:dyDescent="0.3">
      <c r="A70">
        <v>62</v>
      </c>
      <c r="B70" s="173"/>
      <c r="C70" s="171" t="s">
        <v>824</v>
      </c>
      <c r="D70" s="172" t="s">
        <v>8</v>
      </c>
      <c r="E70" s="172" t="s">
        <v>42</v>
      </c>
      <c r="F70" s="117"/>
      <c r="G70" s="173" t="s">
        <v>800</v>
      </c>
      <c r="H70" s="173">
        <v>2021</v>
      </c>
      <c r="I70" s="213" t="s">
        <v>2</v>
      </c>
      <c r="J70" s="213" t="s">
        <v>2</v>
      </c>
      <c r="K70" s="213" t="s">
        <v>3</v>
      </c>
      <c r="L70" s="213"/>
      <c r="M70" s="213" t="s">
        <v>2</v>
      </c>
      <c r="N70" s="213" t="s">
        <v>2</v>
      </c>
      <c r="O70" s="213" t="s">
        <v>3</v>
      </c>
      <c r="P70" s="213" t="s">
        <v>2</v>
      </c>
      <c r="Q70" s="213" t="s">
        <v>2</v>
      </c>
      <c r="R70" s="213"/>
      <c r="S70" s="213" t="s">
        <v>2</v>
      </c>
      <c r="T70" s="213" t="s">
        <v>3</v>
      </c>
      <c r="U70" s="213" t="s">
        <v>4</v>
      </c>
      <c r="V70" s="213" t="s">
        <v>2</v>
      </c>
      <c r="W70" s="119">
        <v>7</v>
      </c>
      <c r="X70" s="119" t="s">
        <v>10</v>
      </c>
      <c r="Y70" s="119">
        <f>COUNTIF(tblF22021[[#This Row],[CIV]:[BK]],"A")</f>
        <v>8</v>
      </c>
    </row>
    <row r="71" spans="1:25" x14ac:dyDescent="0.3">
      <c r="A71">
        <v>63</v>
      </c>
      <c r="B71" s="173"/>
      <c r="C71" s="171" t="s">
        <v>336</v>
      </c>
      <c r="D71" s="172" t="s">
        <v>8</v>
      </c>
      <c r="E71" s="172" t="s">
        <v>42</v>
      </c>
      <c r="F71" s="117"/>
      <c r="G71" s="173" t="s">
        <v>800</v>
      </c>
      <c r="H71" s="173">
        <v>2021</v>
      </c>
      <c r="I71" s="213" t="s">
        <v>2</v>
      </c>
      <c r="J71" s="213" t="s">
        <v>2</v>
      </c>
      <c r="K71" s="213" t="s">
        <v>2</v>
      </c>
      <c r="L71" s="213"/>
      <c r="M71" s="213" t="s">
        <v>2</v>
      </c>
      <c r="N71" s="213" t="s">
        <v>2</v>
      </c>
      <c r="O71" s="213" t="s">
        <v>2</v>
      </c>
      <c r="P71" s="213" t="s">
        <v>2</v>
      </c>
      <c r="Q71" s="213" t="s">
        <v>2</v>
      </c>
      <c r="R71" s="213"/>
      <c r="S71" s="213" t="s">
        <v>2</v>
      </c>
      <c r="T71" s="213" t="s">
        <v>2</v>
      </c>
      <c r="U71" s="213" t="s">
        <v>4</v>
      </c>
      <c r="V71" s="213" t="s">
        <v>3</v>
      </c>
      <c r="W71" s="119">
        <v>7</v>
      </c>
      <c r="X71" s="119" t="s">
        <v>10</v>
      </c>
      <c r="Y71" s="119">
        <f>COUNTIF(tblF22021[[#This Row],[CIV]:[BK]],"A")</f>
        <v>10</v>
      </c>
    </row>
    <row r="72" spans="1:25" x14ac:dyDescent="0.3">
      <c r="A72">
        <v>64</v>
      </c>
      <c r="B72" s="173"/>
      <c r="C72" s="171" t="s">
        <v>111</v>
      </c>
      <c r="D72" s="172" t="s">
        <v>8</v>
      </c>
      <c r="E72" s="172" t="s">
        <v>42</v>
      </c>
      <c r="F72" s="117"/>
      <c r="G72" s="173" t="s">
        <v>800</v>
      </c>
      <c r="H72" s="173">
        <v>2021</v>
      </c>
      <c r="I72" s="213" t="s">
        <v>3</v>
      </c>
      <c r="J72" s="213" t="s">
        <v>3</v>
      </c>
      <c r="K72" s="213" t="s">
        <v>4</v>
      </c>
      <c r="L72" s="213" t="s">
        <v>3</v>
      </c>
      <c r="M72" s="213" t="s">
        <v>2</v>
      </c>
      <c r="N72" s="213" t="s">
        <v>2</v>
      </c>
      <c r="O72" s="213" t="s">
        <v>4</v>
      </c>
      <c r="P72" s="213" t="s">
        <v>3</v>
      </c>
      <c r="Q72" s="213" t="s">
        <v>2</v>
      </c>
      <c r="R72" s="213"/>
      <c r="S72" s="213"/>
      <c r="T72" s="213" t="s">
        <v>3</v>
      </c>
      <c r="U72" s="213" t="s">
        <v>4</v>
      </c>
      <c r="V72" s="213" t="s">
        <v>2</v>
      </c>
      <c r="W72" s="119">
        <v>10</v>
      </c>
      <c r="X72" s="119" t="s">
        <v>10</v>
      </c>
      <c r="Y72" s="119">
        <f>COUNTIF(tblF22021[[#This Row],[CIV]:[BK]],"A")</f>
        <v>4</v>
      </c>
    </row>
    <row r="73" spans="1:25" x14ac:dyDescent="0.3">
      <c r="A73">
        <v>65</v>
      </c>
      <c r="B73" s="173"/>
      <c r="C73" s="171" t="s">
        <v>59</v>
      </c>
      <c r="D73" s="172" t="s">
        <v>8</v>
      </c>
      <c r="E73" s="172" t="s">
        <v>42</v>
      </c>
      <c r="F73" s="117"/>
      <c r="G73" s="173" t="s">
        <v>800</v>
      </c>
      <c r="H73" s="173">
        <v>2021</v>
      </c>
      <c r="I73" s="213" t="s">
        <v>2</v>
      </c>
      <c r="J73" s="213" t="s">
        <v>2</v>
      </c>
      <c r="K73" s="213" t="s">
        <v>3</v>
      </c>
      <c r="L73" s="213" t="s">
        <v>3</v>
      </c>
      <c r="M73" s="213" t="s">
        <v>2</v>
      </c>
      <c r="N73" s="213" t="s">
        <v>2</v>
      </c>
      <c r="O73" s="213" t="s">
        <v>4</v>
      </c>
      <c r="P73" s="213" t="s">
        <v>4</v>
      </c>
      <c r="Q73" s="213" t="s">
        <v>2</v>
      </c>
      <c r="R73" s="213"/>
      <c r="S73" s="213"/>
      <c r="T73" s="213" t="s">
        <v>4</v>
      </c>
      <c r="U73" s="213" t="s">
        <v>4</v>
      </c>
      <c r="V73" s="213" t="s">
        <v>3</v>
      </c>
      <c r="W73" s="119">
        <v>9</v>
      </c>
      <c r="X73" s="119" t="s">
        <v>10</v>
      </c>
      <c r="Y73" s="119">
        <f>COUNTIF(tblF22021[[#This Row],[CIV]:[BK]],"A")</f>
        <v>5</v>
      </c>
    </row>
    <row r="74" spans="1:25" x14ac:dyDescent="0.3">
      <c r="A74">
        <v>66</v>
      </c>
      <c r="B74" s="173"/>
      <c r="C74" s="171" t="s">
        <v>113</v>
      </c>
      <c r="D74" s="172" t="s">
        <v>8</v>
      </c>
      <c r="E74" s="172" t="s">
        <v>42</v>
      </c>
      <c r="F74" s="117"/>
      <c r="G74" s="173" t="s">
        <v>800</v>
      </c>
      <c r="H74" s="173">
        <v>2021</v>
      </c>
      <c r="I74" s="213" t="s">
        <v>2</v>
      </c>
      <c r="J74" s="213" t="s">
        <v>3</v>
      </c>
      <c r="K74" s="213" t="s">
        <v>3</v>
      </c>
      <c r="L74" s="213" t="s">
        <v>3</v>
      </c>
      <c r="M74" s="213" t="s">
        <v>2</v>
      </c>
      <c r="N74" s="213" t="s">
        <v>2</v>
      </c>
      <c r="O74" s="213" t="s">
        <v>3</v>
      </c>
      <c r="P74" s="213" t="s">
        <v>2</v>
      </c>
      <c r="Q74" s="213" t="s">
        <v>2</v>
      </c>
      <c r="R74" s="213"/>
      <c r="S74" s="213"/>
      <c r="T74" s="213" t="s">
        <v>3</v>
      </c>
      <c r="U74" s="213" t="s">
        <v>4</v>
      </c>
      <c r="V74" s="213" t="s">
        <v>2</v>
      </c>
      <c r="W74" s="119">
        <v>8</v>
      </c>
      <c r="X74" s="119" t="s">
        <v>10</v>
      </c>
      <c r="Y74" s="119">
        <f>COUNTIF(tblF22021[[#This Row],[CIV]:[BK]],"A")</f>
        <v>6</v>
      </c>
    </row>
    <row r="75" spans="1:25" x14ac:dyDescent="0.3">
      <c r="A75">
        <v>67</v>
      </c>
      <c r="B75" s="173"/>
      <c r="C75" s="171" t="s">
        <v>61</v>
      </c>
      <c r="D75" s="172" t="s">
        <v>8</v>
      </c>
      <c r="E75" s="172" t="s">
        <v>42</v>
      </c>
      <c r="F75" s="117"/>
      <c r="G75" s="173" t="s">
        <v>800</v>
      </c>
      <c r="H75" s="173">
        <v>2021</v>
      </c>
      <c r="I75" s="213" t="s">
        <v>2</v>
      </c>
      <c r="J75" s="213" t="s">
        <v>3</v>
      </c>
      <c r="K75" s="213" t="s">
        <v>2</v>
      </c>
      <c r="L75" s="213" t="s">
        <v>3</v>
      </c>
      <c r="M75" s="213" t="s">
        <v>2</v>
      </c>
      <c r="N75" s="213" t="s">
        <v>2</v>
      </c>
      <c r="O75" s="213" t="s">
        <v>2</v>
      </c>
      <c r="P75" s="213" t="s">
        <v>3</v>
      </c>
      <c r="Q75" s="213" t="s">
        <v>2</v>
      </c>
      <c r="R75" s="213"/>
      <c r="S75" s="213"/>
      <c r="T75" s="213" t="s">
        <v>2</v>
      </c>
      <c r="U75" s="213" t="s">
        <v>3</v>
      </c>
      <c r="V75" s="213" t="s">
        <v>2</v>
      </c>
      <c r="W75" s="119">
        <v>7</v>
      </c>
      <c r="X75" s="119" t="s">
        <v>10</v>
      </c>
      <c r="Y75" s="119">
        <f>COUNTIF(tblF22021[[#This Row],[CIV]:[BK]],"A")</f>
        <v>8</v>
      </c>
    </row>
    <row r="76" spans="1:25" x14ac:dyDescent="0.3">
      <c r="A76">
        <v>68</v>
      </c>
      <c r="B76" s="173"/>
      <c r="C76" s="171" t="s">
        <v>256</v>
      </c>
      <c r="D76" s="172" t="s">
        <v>8</v>
      </c>
      <c r="E76" s="172" t="s">
        <v>42</v>
      </c>
      <c r="F76" s="117"/>
      <c r="G76" s="173" t="s">
        <v>800</v>
      </c>
      <c r="H76" s="173">
        <v>2021</v>
      </c>
      <c r="I76" s="213" t="s">
        <v>2</v>
      </c>
      <c r="J76" s="213" t="s">
        <v>2</v>
      </c>
      <c r="K76" s="213" t="s">
        <v>2</v>
      </c>
      <c r="L76" s="213"/>
      <c r="M76" s="213" t="s">
        <v>2</v>
      </c>
      <c r="N76" s="213" t="s">
        <v>2</v>
      </c>
      <c r="O76" s="213" t="s">
        <v>3</v>
      </c>
      <c r="P76" s="213" t="s">
        <v>2</v>
      </c>
      <c r="Q76" s="213" t="s">
        <v>2</v>
      </c>
      <c r="R76" s="213"/>
      <c r="S76" s="213" t="s">
        <v>2</v>
      </c>
      <c r="T76" s="213" t="s">
        <v>2</v>
      </c>
      <c r="U76" s="213" t="s">
        <v>3</v>
      </c>
      <c r="V76" s="213" t="s">
        <v>2</v>
      </c>
      <c r="W76" s="119">
        <v>7</v>
      </c>
      <c r="X76" s="119" t="s">
        <v>10</v>
      </c>
      <c r="Y76" s="119">
        <f>COUNTIF(tblF22021[[#This Row],[CIV]:[BK]],"A")</f>
        <v>10</v>
      </c>
    </row>
    <row r="77" spans="1:25" x14ac:dyDescent="0.3">
      <c r="A77">
        <v>69</v>
      </c>
      <c r="B77" s="173"/>
      <c r="C77" s="171" t="s">
        <v>825</v>
      </c>
      <c r="D77" s="172" t="s">
        <v>8</v>
      </c>
      <c r="E77" s="172" t="s">
        <v>42</v>
      </c>
      <c r="F77" s="117"/>
      <c r="G77" s="173" t="s">
        <v>800</v>
      </c>
      <c r="H77" s="173">
        <v>2021</v>
      </c>
      <c r="I77" s="213" t="s">
        <v>2</v>
      </c>
      <c r="J77" s="213" t="s">
        <v>2</v>
      </c>
      <c r="K77" s="213" t="s">
        <v>2</v>
      </c>
      <c r="L77" s="213"/>
      <c r="M77" s="213" t="s">
        <v>2</v>
      </c>
      <c r="N77" s="213" t="s">
        <v>2</v>
      </c>
      <c r="O77" s="213" t="s">
        <v>2</v>
      </c>
      <c r="P77" s="213" t="s">
        <v>2</v>
      </c>
      <c r="Q77" s="213" t="s">
        <v>2</v>
      </c>
      <c r="R77" s="213"/>
      <c r="S77" s="213" t="s">
        <v>2</v>
      </c>
      <c r="T77" s="213" t="s">
        <v>2</v>
      </c>
      <c r="U77" s="213" t="s">
        <v>3</v>
      </c>
      <c r="V77" s="213" t="s">
        <v>2</v>
      </c>
      <c r="W77" s="119">
        <v>7</v>
      </c>
      <c r="X77" s="119" t="s">
        <v>10</v>
      </c>
      <c r="Y77" s="119">
        <f>COUNTIF(tblF22021[[#This Row],[CIV]:[BK]],"A")</f>
        <v>11</v>
      </c>
    </row>
    <row r="78" spans="1:25" x14ac:dyDescent="0.3">
      <c r="A78">
        <v>70</v>
      </c>
      <c r="B78" s="173"/>
      <c r="C78" s="171" t="s">
        <v>826</v>
      </c>
      <c r="D78" s="172" t="s">
        <v>8</v>
      </c>
      <c r="E78" s="172" t="s">
        <v>42</v>
      </c>
      <c r="F78" s="117"/>
      <c r="G78" s="173" t="s">
        <v>800</v>
      </c>
      <c r="H78" s="173">
        <v>2021</v>
      </c>
      <c r="I78" s="213" t="s">
        <v>2</v>
      </c>
      <c r="J78" s="213" t="s">
        <v>4</v>
      </c>
      <c r="K78" s="213" t="s">
        <v>4</v>
      </c>
      <c r="L78" s="213"/>
      <c r="M78" s="213" t="s">
        <v>2</v>
      </c>
      <c r="N78" s="213" t="s">
        <v>2</v>
      </c>
      <c r="O78" s="213" t="s">
        <v>4</v>
      </c>
      <c r="P78" s="213" t="s">
        <v>4</v>
      </c>
      <c r="Q78" s="213" t="s">
        <v>3</v>
      </c>
      <c r="R78" s="213"/>
      <c r="S78" s="213" t="s">
        <v>3</v>
      </c>
      <c r="T78" s="213" t="s">
        <v>3</v>
      </c>
      <c r="U78" s="213" t="s">
        <v>4</v>
      </c>
      <c r="V78" s="213" t="s">
        <v>2</v>
      </c>
      <c r="W78" s="119">
        <v>10</v>
      </c>
      <c r="X78" s="119" t="s">
        <v>10</v>
      </c>
      <c r="Y78" s="119">
        <f>COUNTIF(tblF22021[[#This Row],[CIV]:[BK]],"A")</f>
        <v>4</v>
      </c>
    </row>
    <row r="79" spans="1:25" x14ac:dyDescent="0.3">
      <c r="A79">
        <v>71</v>
      </c>
      <c r="B79" s="173"/>
      <c r="C79" s="171" t="s">
        <v>259</v>
      </c>
      <c r="D79" s="172" t="s">
        <v>8</v>
      </c>
      <c r="E79" s="172" t="s">
        <v>42</v>
      </c>
      <c r="F79" s="117"/>
      <c r="G79" s="173" t="s">
        <v>800</v>
      </c>
      <c r="H79" s="173">
        <v>2021</v>
      </c>
      <c r="I79" s="213" t="s">
        <v>2</v>
      </c>
      <c r="J79" s="213" t="s">
        <v>2</v>
      </c>
      <c r="K79" s="213" t="s">
        <v>2</v>
      </c>
      <c r="L79" s="213" t="s">
        <v>2</v>
      </c>
      <c r="M79" s="213" t="s">
        <v>2</v>
      </c>
      <c r="N79" s="213" t="s">
        <v>2</v>
      </c>
      <c r="O79" s="213" t="s">
        <v>2</v>
      </c>
      <c r="P79" s="213" t="s">
        <v>2</v>
      </c>
      <c r="Q79" s="213" t="s">
        <v>2</v>
      </c>
      <c r="R79" s="213"/>
      <c r="S79" s="213"/>
      <c r="T79" s="213" t="s">
        <v>2</v>
      </c>
      <c r="U79" s="213" t="s">
        <v>4</v>
      </c>
      <c r="V79" s="213" t="s">
        <v>2</v>
      </c>
      <c r="W79" s="119">
        <v>7</v>
      </c>
      <c r="X79" s="119" t="s">
        <v>10</v>
      </c>
      <c r="Y79" s="119">
        <f>COUNTIF(tblF22021[[#This Row],[CIV]:[BK]],"A")</f>
        <v>11</v>
      </c>
    </row>
    <row r="80" spans="1:25" x14ac:dyDescent="0.3">
      <c r="A80">
        <v>72</v>
      </c>
      <c r="B80" s="173"/>
      <c r="C80" s="171" t="s">
        <v>204</v>
      </c>
      <c r="D80" s="172" t="s">
        <v>8</v>
      </c>
      <c r="E80" s="172" t="s">
        <v>42</v>
      </c>
      <c r="F80" s="117"/>
      <c r="G80" s="173" t="s">
        <v>800</v>
      </c>
      <c r="H80" s="173">
        <v>2021</v>
      </c>
      <c r="I80" s="213" t="s">
        <v>2</v>
      </c>
      <c r="J80" s="213" t="s">
        <v>2</v>
      </c>
      <c r="K80" s="213" t="s">
        <v>2</v>
      </c>
      <c r="L80" s="213" t="s">
        <v>2</v>
      </c>
      <c r="M80" s="213" t="s">
        <v>2</v>
      </c>
      <c r="N80" s="213" t="s">
        <v>2</v>
      </c>
      <c r="O80" s="213" t="s">
        <v>2</v>
      </c>
      <c r="P80" s="213" t="s">
        <v>2</v>
      </c>
      <c r="Q80" s="213" t="s">
        <v>2</v>
      </c>
      <c r="R80" s="213"/>
      <c r="S80" s="213"/>
      <c r="T80" s="213" t="s">
        <v>2</v>
      </c>
      <c r="U80" s="213" t="s">
        <v>4</v>
      </c>
      <c r="V80" s="213" t="s">
        <v>2</v>
      </c>
      <c r="W80" s="119">
        <v>7</v>
      </c>
      <c r="X80" s="119" t="s">
        <v>10</v>
      </c>
      <c r="Y80" s="119">
        <f>COUNTIF(tblF22021[[#This Row],[CIV]:[BK]],"A")</f>
        <v>11</v>
      </c>
    </row>
    <row r="81" spans="1:25" x14ac:dyDescent="0.3">
      <c r="A81">
        <v>73</v>
      </c>
      <c r="B81" s="173"/>
      <c r="C81" s="171" t="s">
        <v>206</v>
      </c>
      <c r="D81" s="172" t="s">
        <v>8</v>
      </c>
      <c r="E81" s="172" t="s">
        <v>42</v>
      </c>
      <c r="F81" s="117"/>
      <c r="G81" s="173" t="s">
        <v>800</v>
      </c>
      <c r="H81" s="173">
        <v>2021</v>
      </c>
      <c r="I81" s="213" t="s">
        <v>2</v>
      </c>
      <c r="J81" s="213" t="s">
        <v>2</v>
      </c>
      <c r="K81" s="213" t="s">
        <v>2</v>
      </c>
      <c r="L81" s="213" t="s">
        <v>2</v>
      </c>
      <c r="M81" s="213" t="s">
        <v>2</v>
      </c>
      <c r="N81" s="213" t="s">
        <v>2</v>
      </c>
      <c r="O81" s="213" t="s">
        <v>3</v>
      </c>
      <c r="P81" s="213" t="s">
        <v>2</v>
      </c>
      <c r="Q81" s="213" t="s">
        <v>2</v>
      </c>
      <c r="R81" s="213"/>
      <c r="S81" s="213"/>
      <c r="T81" s="213" t="s">
        <v>2</v>
      </c>
      <c r="U81" s="213" t="s">
        <v>4</v>
      </c>
      <c r="V81" s="213" t="s">
        <v>2</v>
      </c>
      <c r="W81" s="119">
        <v>7</v>
      </c>
      <c r="X81" s="119" t="s">
        <v>10</v>
      </c>
      <c r="Y81" s="119">
        <f>COUNTIF(tblF22021[[#This Row],[CIV]:[BK]],"A")</f>
        <v>10</v>
      </c>
    </row>
    <row r="82" spans="1:25" x14ac:dyDescent="0.3">
      <c r="A82">
        <v>74</v>
      </c>
      <c r="B82" s="173"/>
      <c r="C82" s="171" t="s">
        <v>116</v>
      </c>
      <c r="D82" s="172" t="s">
        <v>8</v>
      </c>
      <c r="E82" s="172" t="s">
        <v>42</v>
      </c>
      <c r="F82" s="117"/>
      <c r="G82" s="173" t="s">
        <v>800</v>
      </c>
      <c r="H82" s="173">
        <v>2021</v>
      </c>
      <c r="I82" s="213" t="s">
        <v>3</v>
      </c>
      <c r="J82" s="213" t="s">
        <v>4</v>
      </c>
      <c r="K82" s="213" t="s">
        <v>4</v>
      </c>
      <c r="L82" s="213" t="s">
        <v>4</v>
      </c>
      <c r="M82" s="213" t="s">
        <v>2</v>
      </c>
      <c r="N82" s="213" t="s">
        <v>2</v>
      </c>
      <c r="O82" s="213" t="s">
        <v>5</v>
      </c>
      <c r="P82" s="213" t="s">
        <v>4</v>
      </c>
      <c r="Q82" s="213" t="s">
        <v>3</v>
      </c>
      <c r="R82" s="213"/>
      <c r="S82" s="213"/>
      <c r="T82" s="213" t="s">
        <v>4</v>
      </c>
      <c r="U82" s="213" t="s">
        <v>4</v>
      </c>
      <c r="V82" s="213" t="s">
        <v>3</v>
      </c>
      <c r="W82" s="119">
        <v>14</v>
      </c>
      <c r="X82" s="119" t="s">
        <v>10</v>
      </c>
      <c r="Y82" s="119">
        <f>COUNTIF(tblF22021[[#This Row],[CIV]:[BK]],"A")</f>
        <v>2</v>
      </c>
    </row>
    <row r="83" spans="1:25" x14ac:dyDescent="0.3">
      <c r="A83">
        <v>75</v>
      </c>
      <c r="B83" s="173"/>
      <c r="C83" s="171" t="s">
        <v>65</v>
      </c>
      <c r="D83" s="172" t="s">
        <v>8</v>
      </c>
      <c r="E83" s="172" t="s">
        <v>42</v>
      </c>
      <c r="F83" s="117"/>
      <c r="G83" s="173" t="s">
        <v>800</v>
      </c>
      <c r="H83" s="173">
        <v>2021</v>
      </c>
      <c r="I83" s="213" t="s">
        <v>2</v>
      </c>
      <c r="J83" s="213" t="s">
        <v>4</v>
      </c>
      <c r="K83" s="213" t="s">
        <v>4</v>
      </c>
      <c r="L83" s="213" t="s">
        <v>4</v>
      </c>
      <c r="M83" s="213" t="s">
        <v>2</v>
      </c>
      <c r="N83" s="213" t="s">
        <v>2</v>
      </c>
      <c r="O83" s="213" t="s">
        <v>5</v>
      </c>
      <c r="P83" s="213" t="s">
        <v>4</v>
      </c>
      <c r="Q83" s="213" t="s">
        <v>3</v>
      </c>
      <c r="R83" s="213"/>
      <c r="S83" s="213"/>
      <c r="T83" s="213" t="s">
        <v>4</v>
      </c>
      <c r="U83" s="213" t="s">
        <v>5</v>
      </c>
      <c r="V83" s="213" t="s">
        <v>3</v>
      </c>
      <c r="W83" s="119">
        <v>13</v>
      </c>
      <c r="X83" s="119" t="s">
        <v>10</v>
      </c>
      <c r="Y83" s="119">
        <f>COUNTIF(tblF22021[[#This Row],[CIV]:[BK]],"A")</f>
        <v>3</v>
      </c>
    </row>
    <row r="84" spans="1:25" x14ac:dyDescent="0.3">
      <c r="A84">
        <v>76</v>
      </c>
      <c r="B84" s="173"/>
      <c r="C84" s="171" t="s">
        <v>261</v>
      </c>
      <c r="D84" s="172" t="s">
        <v>8</v>
      </c>
      <c r="E84" s="172" t="s">
        <v>42</v>
      </c>
      <c r="F84" s="117"/>
      <c r="G84" s="173" t="s">
        <v>800</v>
      </c>
      <c r="H84" s="173">
        <v>2021</v>
      </c>
      <c r="I84" s="213" t="s">
        <v>2</v>
      </c>
      <c r="J84" s="213" t="s">
        <v>3</v>
      </c>
      <c r="K84" s="213" t="s">
        <v>2</v>
      </c>
      <c r="L84" s="213" t="s">
        <v>2</v>
      </c>
      <c r="M84" s="213" t="s">
        <v>2</v>
      </c>
      <c r="N84" s="213" t="s">
        <v>2</v>
      </c>
      <c r="O84" s="213" t="s">
        <v>2</v>
      </c>
      <c r="P84" s="213" t="s">
        <v>2</v>
      </c>
      <c r="Q84" s="213" t="s">
        <v>2</v>
      </c>
      <c r="R84" s="213"/>
      <c r="S84" s="213"/>
      <c r="T84" s="213" t="s">
        <v>2</v>
      </c>
      <c r="U84" s="213" t="s">
        <v>4</v>
      </c>
      <c r="V84" s="213" t="s">
        <v>2</v>
      </c>
      <c r="W84" s="119">
        <v>7</v>
      </c>
      <c r="X84" s="119" t="s">
        <v>10</v>
      </c>
      <c r="Y84" s="119">
        <f>COUNTIF(tblF22021[[#This Row],[CIV]:[BK]],"A")</f>
        <v>10</v>
      </c>
    </row>
    <row r="85" spans="1:25" x14ac:dyDescent="0.3">
      <c r="A85">
        <v>77</v>
      </c>
      <c r="B85" s="173"/>
      <c r="C85" s="171" t="s">
        <v>208</v>
      </c>
      <c r="D85" s="172" t="s">
        <v>8</v>
      </c>
      <c r="E85" s="172" t="s">
        <v>42</v>
      </c>
      <c r="F85" s="117"/>
      <c r="G85" s="173" t="s">
        <v>800</v>
      </c>
      <c r="H85" s="173">
        <v>2021</v>
      </c>
      <c r="I85" s="213" t="s">
        <v>2</v>
      </c>
      <c r="J85" s="213" t="s">
        <v>2</v>
      </c>
      <c r="K85" s="213" t="s">
        <v>3</v>
      </c>
      <c r="L85" s="213" t="s">
        <v>2</v>
      </c>
      <c r="M85" s="213" t="s">
        <v>2</v>
      </c>
      <c r="N85" s="213" t="s">
        <v>2</v>
      </c>
      <c r="O85" s="213" t="s">
        <v>3</v>
      </c>
      <c r="P85" s="213" t="s">
        <v>2</v>
      </c>
      <c r="Q85" s="213" t="s">
        <v>2</v>
      </c>
      <c r="R85" s="213"/>
      <c r="S85" s="213"/>
      <c r="T85" s="213" t="s">
        <v>2</v>
      </c>
      <c r="U85" s="213" t="s">
        <v>3</v>
      </c>
      <c r="V85" s="213" t="s">
        <v>2</v>
      </c>
      <c r="W85" s="119">
        <v>7</v>
      </c>
      <c r="X85" s="119" t="s">
        <v>10</v>
      </c>
      <c r="Y85" s="119">
        <f>COUNTIF(tblF22021[[#This Row],[CIV]:[BK]],"A")</f>
        <v>9</v>
      </c>
    </row>
    <row r="86" spans="1:25" x14ac:dyDescent="0.3">
      <c r="A86">
        <v>78</v>
      </c>
      <c r="B86" s="173"/>
      <c r="C86" s="171" t="s">
        <v>210</v>
      </c>
      <c r="D86" s="172" t="s">
        <v>8</v>
      </c>
      <c r="E86" s="172" t="s">
        <v>42</v>
      </c>
      <c r="F86" s="117"/>
      <c r="G86" s="173" t="s">
        <v>800</v>
      </c>
      <c r="H86" s="173">
        <v>2021</v>
      </c>
      <c r="I86" s="213" t="s">
        <v>2</v>
      </c>
      <c r="J86" s="213" t="s">
        <v>2</v>
      </c>
      <c r="K86" s="213" t="s">
        <v>2</v>
      </c>
      <c r="L86" s="213" t="s">
        <v>3</v>
      </c>
      <c r="M86" s="213" t="s">
        <v>2</v>
      </c>
      <c r="N86" s="213" t="s">
        <v>2</v>
      </c>
      <c r="O86" s="213" t="s">
        <v>3</v>
      </c>
      <c r="P86" s="213" t="s">
        <v>2</v>
      </c>
      <c r="Q86" s="213" t="s">
        <v>2</v>
      </c>
      <c r="R86" s="213"/>
      <c r="S86" s="213"/>
      <c r="T86" s="213" t="s">
        <v>2</v>
      </c>
      <c r="U86" s="213" t="s">
        <v>4</v>
      </c>
      <c r="V86" s="213" t="s">
        <v>2</v>
      </c>
      <c r="W86" s="119">
        <v>7</v>
      </c>
      <c r="X86" s="119" t="s">
        <v>10</v>
      </c>
      <c r="Y86" s="119">
        <f>COUNTIF(tblF22021[[#This Row],[CIV]:[BK]],"A")</f>
        <v>9</v>
      </c>
    </row>
    <row r="87" spans="1:25" x14ac:dyDescent="0.3">
      <c r="A87">
        <v>79</v>
      </c>
      <c r="B87" s="173"/>
      <c r="C87" s="171" t="s">
        <v>827</v>
      </c>
      <c r="D87" s="172" t="s">
        <v>8</v>
      </c>
      <c r="E87" s="172" t="s">
        <v>42</v>
      </c>
      <c r="F87" s="117"/>
      <c r="G87" s="173" t="s">
        <v>800</v>
      </c>
      <c r="H87" s="173">
        <v>2021</v>
      </c>
      <c r="I87" s="213" t="s">
        <v>2</v>
      </c>
      <c r="J87" s="213" t="s">
        <v>2</v>
      </c>
      <c r="K87" s="213" t="s">
        <v>3</v>
      </c>
      <c r="L87" s="213"/>
      <c r="M87" s="213" t="s">
        <v>2</v>
      </c>
      <c r="N87" s="213" t="s">
        <v>2</v>
      </c>
      <c r="O87" s="213" t="s">
        <v>4</v>
      </c>
      <c r="P87" s="213" t="s">
        <v>3</v>
      </c>
      <c r="Q87" s="213" t="s">
        <v>2</v>
      </c>
      <c r="R87" s="213"/>
      <c r="S87" s="213" t="s">
        <v>4</v>
      </c>
      <c r="T87" s="213" t="s">
        <v>4</v>
      </c>
      <c r="U87" s="213" t="s">
        <v>4</v>
      </c>
      <c r="V87" s="213" t="s">
        <v>3</v>
      </c>
      <c r="W87" s="119">
        <v>9</v>
      </c>
      <c r="X87" s="119" t="s">
        <v>10</v>
      </c>
      <c r="Y87" s="119">
        <f>COUNTIF(tblF22021[[#This Row],[CIV]:[BK]],"A")</f>
        <v>5</v>
      </c>
    </row>
    <row r="88" spans="1:25" x14ac:dyDescent="0.3">
      <c r="A88">
        <v>80</v>
      </c>
      <c r="B88" s="173"/>
      <c r="C88" s="171" t="s">
        <v>118</v>
      </c>
      <c r="D88" s="172" t="s">
        <v>8</v>
      </c>
      <c r="E88" s="172" t="s">
        <v>42</v>
      </c>
      <c r="F88" s="117"/>
      <c r="G88" s="173" t="s">
        <v>800</v>
      </c>
      <c r="H88" s="173">
        <v>2021</v>
      </c>
      <c r="I88" s="213" t="s">
        <v>2</v>
      </c>
      <c r="J88" s="213" t="s">
        <v>3</v>
      </c>
      <c r="K88" s="213" t="s">
        <v>3</v>
      </c>
      <c r="L88" s="213" t="s">
        <v>4</v>
      </c>
      <c r="M88" s="213" t="s">
        <v>2</v>
      </c>
      <c r="N88" s="213" t="s">
        <v>2</v>
      </c>
      <c r="O88" s="213" t="s">
        <v>4</v>
      </c>
      <c r="P88" s="213" t="s">
        <v>4</v>
      </c>
      <c r="Q88" s="213" t="s">
        <v>3</v>
      </c>
      <c r="R88" s="213"/>
      <c r="S88" s="213"/>
      <c r="T88" s="213" t="s">
        <v>4</v>
      </c>
      <c r="U88" s="213" t="s">
        <v>4</v>
      </c>
      <c r="V88" s="213" t="s">
        <v>2</v>
      </c>
      <c r="W88" s="119">
        <v>10</v>
      </c>
      <c r="X88" s="119" t="s">
        <v>10</v>
      </c>
      <c r="Y88" s="119">
        <f>COUNTIF(tblF22021[[#This Row],[CIV]:[BK]],"A")</f>
        <v>4</v>
      </c>
    </row>
    <row r="89" spans="1:25" x14ac:dyDescent="0.3">
      <c r="A89">
        <v>81</v>
      </c>
      <c r="B89" s="173"/>
      <c r="C89" s="171" t="s">
        <v>828</v>
      </c>
      <c r="D89" s="172" t="s">
        <v>8</v>
      </c>
      <c r="E89" s="172" t="s">
        <v>42</v>
      </c>
      <c r="F89" s="117"/>
      <c r="G89" s="173" t="s">
        <v>800</v>
      </c>
      <c r="H89" s="173">
        <v>2021</v>
      </c>
      <c r="I89" s="213" t="s">
        <v>2</v>
      </c>
      <c r="J89" s="213" t="s">
        <v>2</v>
      </c>
      <c r="K89" s="213" t="s">
        <v>2</v>
      </c>
      <c r="L89" s="213"/>
      <c r="M89" s="213" t="s">
        <v>2</v>
      </c>
      <c r="N89" s="213" t="s">
        <v>2</v>
      </c>
      <c r="O89" s="213" t="s">
        <v>4</v>
      </c>
      <c r="P89" s="213" t="s">
        <v>3</v>
      </c>
      <c r="Q89" s="213" t="s">
        <v>2</v>
      </c>
      <c r="R89" s="213"/>
      <c r="S89" s="213" t="s">
        <v>3</v>
      </c>
      <c r="T89" s="213" t="s">
        <v>3</v>
      </c>
      <c r="U89" s="213" t="s">
        <v>3</v>
      </c>
      <c r="V89" s="213" t="s">
        <v>2</v>
      </c>
      <c r="W89" s="119">
        <v>7</v>
      </c>
      <c r="X89" s="119" t="s">
        <v>10</v>
      </c>
      <c r="Y89" s="119">
        <f>COUNTIF(tblF22021[[#This Row],[CIV]:[BK]],"A")</f>
        <v>7</v>
      </c>
    </row>
    <row r="90" spans="1:25" x14ac:dyDescent="0.3">
      <c r="A90">
        <v>82</v>
      </c>
      <c r="B90" s="173"/>
      <c r="C90" s="171" t="s">
        <v>829</v>
      </c>
      <c r="D90" s="172" t="s">
        <v>8</v>
      </c>
      <c r="E90" s="172" t="s">
        <v>42</v>
      </c>
      <c r="F90" s="117"/>
      <c r="G90" s="173" t="s">
        <v>800</v>
      </c>
      <c r="H90" s="173">
        <v>2021</v>
      </c>
      <c r="I90" s="213" t="s">
        <v>2</v>
      </c>
      <c r="J90" s="213" t="s">
        <v>2</v>
      </c>
      <c r="K90" s="213" t="s">
        <v>3</v>
      </c>
      <c r="L90" s="213" t="s">
        <v>2</v>
      </c>
      <c r="M90" s="213" t="s">
        <v>2</v>
      </c>
      <c r="N90" s="213" t="s">
        <v>2</v>
      </c>
      <c r="O90" s="213" t="s">
        <v>3</v>
      </c>
      <c r="P90" s="213" t="s">
        <v>2</v>
      </c>
      <c r="Q90" s="213" t="s">
        <v>2</v>
      </c>
      <c r="R90" s="213"/>
      <c r="S90" s="213"/>
      <c r="T90" s="213" t="s">
        <v>4</v>
      </c>
      <c r="U90" s="213" t="s">
        <v>4</v>
      </c>
      <c r="V90" s="213" t="s">
        <v>2</v>
      </c>
      <c r="W90" s="119">
        <v>7</v>
      </c>
      <c r="X90" s="119" t="s">
        <v>10</v>
      </c>
      <c r="Y90" s="119">
        <f>COUNTIF(tblF22021[[#This Row],[CIV]:[BK]],"A")</f>
        <v>8</v>
      </c>
    </row>
    <row r="91" spans="1:25" x14ac:dyDescent="0.3">
      <c r="A91">
        <v>83</v>
      </c>
      <c r="B91" s="173"/>
      <c r="C91" s="171" t="s">
        <v>155</v>
      </c>
      <c r="D91" s="172" t="s">
        <v>8</v>
      </c>
      <c r="E91" s="172" t="s">
        <v>42</v>
      </c>
      <c r="F91" s="117"/>
      <c r="G91" s="173" t="s">
        <v>800</v>
      </c>
      <c r="H91" s="173">
        <v>2021</v>
      </c>
      <c r="I91" s="213" t="s">
        <v>2</v>
      </c>
      <c r="J91" s="213" t="s">
        <v>2</v>
      </c>
      <c r="K91" s="213" t="s">
        <v>2</v>
      </c>
      <c r="L91" s="213" t="s">
        <v>3</v>
      </c>
      <c r="M91" s="213" t="s">
        <v>2</v>
      </c>
      <c r="N91" s="213" t="s">
        <v>2</v>
      </c>
      <c r="O91" s="213" t="s">
        <v>3</v>
      </c>
      <c r="P91" s="213" t="s">
        <v>2</v>
      </c>
      <c r="Q91" s="213" t="s">
        <v>2</v>
      </c>
      <c r="R91" s="213"/>
      <c r="S91" s="213"/>
      <c r="T91" s="213" t="s">
        <v>2</v>
      </c>
      <c r="U91" s="213" t="s">
        <v>3</v>
      </c>
      <c r="V91" s="213" t="s">
        <v>2</v>
      </c>
      <c r="W91" s="119">
        <v>7</v>
      </c>
      <c r="X91" s="119" t="s">
        <v>10</v>
      </c>
      <c r="Y91" s="119">
        <f>COUNTIF(tblF22021[[#This Row],[CIV]:[BK]],"A")</f>
        <v>9</v>
      </c>
    </row>
    <row r="92" spans="1:25" x14ac:dyDescent="0.3">
      <c r="A92">
        <v>84</v>
      </c>
      <c r="B92" s="173"/>
      <c r="C92" s="171" t="s">
        <v>263</v>
      </c>
      <c r="D92" s="172" t="s">
        <v>8</v>
      </c>
      <c r="E92" s="172" t="s">
        <v>42</v>
      </c>
      <c r="F92" s="117"/>
      <c r="G92" s="173" t="s">
        <v>800</v>
      </c>
      <c r="H92" s="173">
        <v>2021</v>
      </c>
      <c r="I92" s="213" t="s">
        <v>2</v>
      </c>
      <c r="J92" s="213" t="s">
        <v>3</v>
      </c>
      <c r="K92" s="213" t="s">
        <v>2</v>
      </c>
      <c r="L92" s="213"/>
      <c r="M92" s="213" t="s">
        <v>2</v>
      </c>
      <c r="N92" s="213" t="s">
        <v>2</v>
      </c>
      <c r="O92" s="213" t="s">
        <v>2</v>
      </c>
      <c r="P92" s="213" t="s">
        <v>2</v>
      </c>
      <c r="Q92" s="213" t="s">
        <v>2</v>
      </c>
      <c r="R92" s="213"/>
      <c r="S92" s="213" t="s">
        <v>2</v>
      </c>
      <c r="T92" s="213" t="s">
        <v>2</v>
      </c>
      <c r="U92" s="213" t="s">
        <v>4</v>
      </c>
      <c r="V92" s="213" t="s">
        <v>3</v>
      </c>
      <c r="W92" s="119">
        <v>7</v>
      </c>
      <c r="X92" s="119" t="s">
        <v>10</v>
      </c>
      <c r="Y92" s="119">
        <f>COUNTIF(tblF22021[[#This Row],[CIV]:[BK]],"A")</f>
        <v>9</v>
      </c>
    </row>
    <row r="93" spans="1:25" x14ac:dyDescent="0.3">
      <c r="A93">
        <v>85</v>
      </c>
      <c r="B93" s="173"/>
      <c r="C93" s="171" t="s">
        <v>67</v>
      </c>
      <c r="D93" s="172" t="s">
        <v>8</v>
      </c>
      <c r="E93" s="172" t="s">
        <v>42</v>
      </c>
      <c r="F93" s="117"/>
      <c r="G93" s="173" t="s">
        <v>800</v>
      </c>
      <c r="H93" s="173">
        <v>2021</v>
      </c>
      <c r="I93" s="213" t="s">
        <v>2</v>
      </c>
      <c r="J93" s="213" t="s">
        <v>2</v>
      </c>
      <c r="K93" s="213" t="s">
        <v>3</v>
      </c>
      <c r="L93" s="213" t="s">
        <v>3</v>
      </c>
      <c r="M93" s="213" t="s">
        <v>2</v>
      </c>
      <c r="N93" s="213" t="s">
        <v>2</v>
      </c>
      <c r="O93" s="213" t="s">
        <v>3</v>
      </c>
      <c r="P93" s="213" t="s">
        <v>2</v>
      </c>
      <c r="Q93" s="213" t="s">
        <v>2</v>
      </c>
      <c r="R93" s="213"/>
      <c r="S93" s="213"/>
      <c r="T93" s="213" t="s">
        <v>2</v>
      </c>
      <c r="U93" s="213" t="s">
        <v>4</v>
      </c>
      <c r="V93" s="213" t="s">
        <v>2</v>
      </c>
      <c r="W93" s="119">
        <v>7</v>
      </c>
      <c r="X93" s="119" t="s">
        <v>10</v>
      </c>
      <c r="Y93" s="119">
        <f>COUNTIF(tblF22021[[#This Row],[CIV]:[BK]],"A")</f>
        <v>8</v>
      </c>
    </row>
    <row r="94" spans="1:25" x14ac:dyDescent="0.3">
      <c r="A94">
        <v>86</v>
      </c>
      <c r="B94" s="173"/>
      <c r="C94" s="171" t="s">
        <v>265</v>
      </c>
      <c r="D94" s="172" t="s">
        <v>8</v>
      </c>
      <c r="E94" s="172" t="s">
        <v>42</v>
      </c>
      <c r="F94" s="117"/>
      <c r="G94" s="173" t="s">
        <v>800</v>
      </c>
      <c r="H94" s="173">
        <v>2021</v>
      </c>
      <c r="I94" s="213" t="s">
        <v>2</v>
      </c>
      <c r="J94" s="213" t="s">
        <v>2</v>
      </c>
      <c r="K94" s="213" t="s">
        <v>3</v>
      </c>
      <c r="L94" s="213" t="s">
        <v>2</v>
      </c>
      <c r="M94" s="213" t="s">
        <v>2</v>
      </c>
      <c r="N94" s="213" t="s">
        <v>2</v>
      </c>
      <c r="O94" s="213" t="s">
        <v>2</v>
      </c>
      <c r="P94" s="213" t="s">
        <v>2</v>
      </c>
      <c r="Q94" s="213" t="s">
        <v>2</v>
      </c>
      <c r="R94" s="213"/>
      <c r="S94" s="213"/>
      <c r="T94" s="213" t="s">
        <v>3</v>
      </c>
      <c r="U94" s="213" t="s">
        <v>4</v>
      </c>
      <c r="V94" s="213" t="s">
        <v>2</v>
      </c>
      <c r="W94" s="119">
        <v>7</v>
      </c>
      <c r="X94" s="119" t="s">
        <v>10</v>
      </c>
      <c r="Y94" s="119">
        <f>COUNTIF(tblF22021[[#This Row],[CIV]:[BK]],"A")</f>
        <v>9</v>
      </c>
    </row>
    <row r="95" spans="1:25" x14ac:dyDescent="0.3">
      <c r="A95">
        <v>87</v>
      </c>
      <c r="B95" s="173"/>
      <c r="C95" s="171" t="s">
        <v>157</v>
      </c>
      <c r="D95" s="172" t="s">
        <v>8</v>
      </c>
      <c r="E95" s="172" t="s">
        <v>42</v>
      </c>
      <c r="F95" s="117"/>
      <c r="G95" s="173" t="s">
        <v>800</v>
      </c>
      <c r="H95" s="173">
        <v>2021</v>
      </c>
      <c r="I95" s="213" t="s">
        <v>2</v>
      </c>
      <c r="J95" s="213" t="s">
        <v>2</v>
      </c>
      <c r="K95" s="213" t="s">
        <v>3</v>
      </c>
      <c r="L95" s="213" t="s">
        <v>2</v>
      </c>
      <c r="M95" s="213" t="s">
        <v>2</v>
      </c>
      <c r="N95" s="213" t="s">
        <v>2</v>
      </c>
      <c r="O95" s="213" t="s">
        <v>2</v>
      </c>
      <c r="P95" s="213" t="s">
        <v>2</v>
      </c>
      <c r="Q95" s="213" t="s">
        <v>2</v>
      </c>
      <c r="R95" s="213"/>
      <c r="S95" s="213"/>
      <c r="T95" s="213" t="s">
        <v>2</v>
      </c>
      <c r="U95" s="213" t="s">
        <v>3</v>
      </c>
      <c r="V95" s="213" t="s">
        <v>2</v>
      </c>
      <c r="W95" s="119">
        <v>7</v>
      </c>
      <c r="X95" s="119" t="s">
        <v>10</v>
      </c>
      <c r="Y95" s="119">
        <f>COUNTIF(tblF22021[[#This Row],[CIV]:[BK]],"A")</f>
        <v>10</v>
      </c>
    </row>
    <row r="96" spans="1:25" x14ac:dyDescent="0.3">
      <c r="A96">
        <v>88</v>
      </c>
      <c r="B96" s="173"/>
      <c r="C96" s="171" t="s">
        <v>830</v>
      </c>
      <c r="D96" s="172" t="s">
        <v>8</v>
      </c>
      <c r="E96" s="172" t="s">
        <v>42</v>
      </c>
      <c r="F96" s="117"/>
      <c r="G96" s="173" t="s">
        <v>800</v>
      </c>
      <c r="H96" s="173">
        <v>2021</v>
      </c>
      <c r="I96" s="213" t="s">
        <v>2</v>
      </c>
      <c r="J96" s="213" t="s">
        <v>2</v>
      </c>
      <c r="K96" s="213" t="s">
        <v>2</v>
      </c>
      <c r="L96" s="213" t="s">
        <v>2</v>
      </c>
      <c r="M96" s="213" t="s">
        <v>2</v>
      </c>
      <c r="N96" s="213" t="s">
        <v>2</v>
      </c>
      <c r="O96" s="213" t="s">
        <v>4</v>
      </c>
      <c r="P96" s="213" t="s">
        <v>3</v>
      </c>
      <c r="Q96" s="213" t="s">
        <v>2</v>
      </c>
      <c r="R96" s="213"/>
      <c r="S96" s="213"/>
      <c r="T96" s="213" t="s">
        <v>4</v>
      </c>
      <c r="U96" s="213" t="s">
        <v>4</v>
      </c>
      <c r="V96" s="213" t="s">
        <v>2</v>
      </c>
      <c r="W96" s="119">
        <v>7</v>
      </c>
      <c r="X96" s="119" t="s">
        <v>10</v>
      </c>
      <c r="Y96" s="119">
        <f>COUNTIF(tblF22021[[#This Row],[CIV]:[BK]],"A")</f>
        <v>8</v>
      </c>
    </row>
    <row r="97" spans="1:25" x14ac:dyDescent="0.3">
      <c r="A97">
        <v>89</v>
      </c>
      <c r="B97" s="173"/>
      <c r="C97" s="171" t="s">
        <v>213</v>
      </c>
      <c r="D97" s="172" t="s">
        <v>8</v>
      </c>
      <c r="E97" s="172" t="s">
        <v>42</v>
      </c>
      <c r="F97" s="117"/>
      <c r="G97" s="173" t="s">
        <v>800</v>
      </c>
      <c r="H97" s="173">
        <v>2021</v>
      </c>
      <c r="I97" s="213" t="s">
        <v>2</v>
      </c>
      <c r="J97" s="213" t="s">
        <v>3</v>
      </c>
      <c r="K97" s="213" t="s">
        <v>2</v>
      </c>
      <c r="L97" s="213" t="s">
        <v>2</v>
      </c>
      <c r="M97" s="213" t="s">
        <v>2</v>
      </c>
      <c r="N97" s="213" t="s">
        <v>2</v>
      </c>
      <c r="O97" s="213" t="s">
        <v>3</v>
      </c>
      <c r="P97" s="213" t="s">
        <v>2</v>
      </c>
      <c r="Q97" s="213" t="s">
        <v>2</v>
      </c>
      <c r="R97" s="213"/>
      <c r="S97" s="213"/>
      <c r="T97" s="213" t="s">
        <v>2</v>
      </c>
      <c r="U97" s="213" t="s">
        <v>3</v>
      </c>
      <c r="V97" s="213" t="s">
        <v>2</v>
      </c>
      <c r="W97" s="119">
        <v>7</v>
      </c>
      <c r="X97" s="119" t="s">
        <v>10</v>
      </c>
      <c r="Y97" s="119">
        <f>COUNTIF(tblF22021[[#This Row],[CIV]:[BK]],"A")</f>
        <v>9</v>
      </c>
    </row>
    <row r="98" spans="1:25" x14ac:dyDescent="0.3">
      <c r="A98">
        <v>90</v>
      </c>
      <c r="B98" s="173"/>
      <c r="C98" s="171" t="s">
        <v>69</v>
      </c>
      <c r="D98" s="172" t="s">
        <v>8</v>
      </c>
      <c r="E98" s="172" t="s">
        <v>42</v>
      </c>
      <c r="F98" s="117"/>
      <c r="G98" s="173" t="s">
        <v>800</v>
      </c>
      <c r="H98" s="173">
        <v>2021</v>
      </c>
      <c r="I98" s="213" t="s">
        <v>2</v>
      </c>
      <c r="J98" s="213" t="s">
        <v>3</v>
      </c>
      <c r="K98" s="213" t="s">
        <v>2</v>
      </c>
      <c r="L98" s="213" t="s">
        <v>2</v>
      </c>
      <c r="M98" s="213" t="s">
        <v>2</v>
      </c>
      <c r="N98" s="213" t="s">
        <v>2</v>
      </c>
      <c r="O98" s="213" t="s">
        <v>3</v>
      </c>
      <c r="P98" s="213" t="s">
        <v>3</v>
      </c>
      <c r="Q98" s="213" t="s">
        <v>2</v>
      </c>
      <c r="R98" s="213"/>
      <c r="S98" s="213"/>
      <c r="T98" s="213" t="s">
        <v>3</v>
      </c>
      <c r="U98" s="213" t="s">
        <v>4</v>
      </c>
      <c r="V98" s="213" t="s">
        <v>3</v>
      </c>
      <c r="W98" s="119">
        <v>8</v>
      </c>
      <c r="X98" s="119" t="s">
        <v>10</v>
      </c>
      <c r="Y98" s="119">
        <f>COUNTIF(tblF22021[[#This Row],[CIV]:[BK]],"A")</f>
        <v>6</v>
      </c>
    </row>
    <row r="99" spans="1:25" x14ac:dyDescent="0.3">
      <c r="A99">
        <v>91</v>
      </c>
      <c r="B99" s="173"/>
      <c r="C99" s="171" t="s">
        <v>71</v>
      </c>
      <c r="D99" s="172" t="s">
        <v>8</v>
      </c>
      <c r="E99" s="172" t="s">
        <v>42</v>
      </c>
      <c r="F99" s="117"/>
      <c r="G99" s="173" t="s">
        <v>800</v>
      </c>
      <c r="H99" s="173">
        <v>2021</v>
      </c>
      <c r="I99" s="213" t="s">
        <v>2</v>
      </c>
      <c r="J99" s="213" t="s">
        <v>2</v>
      </c>
      <c r="K99" s="213" t="s">
        <v>3</v>
      </c>
      <c r="L99" s="213" t="s">
        <v>2</v>
      </c>
      <c r="M99" s="213" t="s">
        <v>2</v>
      </c>
      <c r="N99" s="213" t="s">
        <v>2</v>
      </c>
      <c r="O99" s="213" t="s">
        <v>4</v>
      </c>
      <c r="P99" s="213" t="s">
        <v>2</v>
      </c>
      <c r="Q99" s="213" t="s">
        <v>2</v>
      </c>
      <c r="R99" s="213"/>
      <c r="S99" s="213"/>
      <c r="T99" s="213" t="s">
        <v>3</v>
      </c>
      <c r="U99" s="213" t="s">
        <v>3</v>
      </c>
      <c r="V99" s="213" t="s">
        <v>2</v>
      </c>
      <c r="W99" s="119">
        <v>7</v>
      </c>
      <c r="X99" s="119" t="s">
        <v>10</v>
      </c>
      <c r="Y99" s="119">
        <f>COUNTIF(tblF22021[[#This Row],[CIV]:[BK]],"A")</f>
        <v>8</v>
      </c>
    </row>
    <row r="100" spans="1:25" x14ac:dyDescent="0.3">
      <c r="A100">
        <v>92</v>
      </c>
      <c r="B100" s="173"/>
      <c r="C100" s="171" t="s">
        <v>120</v>
      </c>
      <c r="D100" s="172" t="s">
        <v>8</v>
      </c>
      <c r="E100" s="172" t="s">
        <v>42</v>
      </c>
      <c r="F100" s="117"/>
      <c r="G100" s="173" t="s">
        <v>800</v>
      </c>
      <c r="H100" s="173">
        <v>2021</v>
      </c>
      <c r="I100" s="213" t="s">
        <v>3</v>
      </c>
      <c r="J100" s="213" t="s">
        <v>4</v>
      </c>
      <c r="K100" s="213" t="s">
        <v>4</v>
      </c>
      <c r="L100" s="213" t="s">
        <v>4</v>
      </c>
      <c r="M100" s="213" t="s">
        <v>2</v>
      </c>
      <c r="N100" s="213" t="s">
        <v>2</v>
      </c>
      <c r="O100" s="213" t="s">
        <v>4</v>
      </c>
      <c r="P100" s="213" t="s">
        <v>3</v>
      </c>
      <c r="Q100" s="213" t="s">
        <v>3</v>
      </c>
      <c r="R100" s="213"/>
      <c r="S100" s="213"/>
      <c r="T100" s="213" t="s">
        <v>4</v>
      </c>
      <c r="U100" s="213" t="s">
        <v>4</v>
      </c>
      <c r="V100" s="213" t="s">
        <v>3</v>
      </c>
      <c r="W100" s="119">
        <v>13</v>
      </c>
      <c r="X100" s="119" t="s">
        <v>10</v>
      </c>
      <c r="Y100" s="119">
        <f>COUNTIF(tblF22021[[#This Row],[CIV]:[BK]],"A")</f>
        <v>2</v>
      </c>
    </row>
    <row r="101" spans="1:25" x14ac:dyDescent="0.3">
      <c r="A101">
        <v>93</v>
      </c>
      <c r="B101" s="173"/>
      <c r="C101" s="171" t="s">
        <v>831</v>
      </c>
      <c r="D101" s="172" t="s">
        <v>8</v>
      </c>
      <c r="E101" s="172" t="s">
        <v>42</v>
      </c>
      <c r="F101" s="117"/>
      <c r="G101" s="173" t="s">
        <v>800</v>
      </c>
      <c r="H101" s="173">
        <v>2021</v>
      </c>
      <c r="I101" s="213" t="s">
        <v>2</v>
      </c>
      <c r="J101" s="213" t="s">
        <v>3</v>
      </c>
      <c r="K101" s="213" t="s">
        <v>2</v>
      </c>
      <c r="L101" s="213" t="s">
        <v>3</v>
      </c>
      <c r="M101" s="213" t="s">
        <v>2</v>
      </c>
      <c r="N101" s="213" t="s">
        <v>2</v>
      </c>
      <c r="O101" s="213" t="s">
        <v>2</v>
      </c>
      <c r="P101" s="213" t="s">
        <v>2</v>
      </c>
      <c r="Q101" s="213" t="s">
        <v>2</v>
      </c>
      <c r="R101" s="213"/>
      <c r="S101" s="213"/>
      <c r="T101" s="213" t="s">
        <v>3</v>
      </c>
      <c r="U101" s="213" t="s">
        <v>4</v>
      </c>
      <c r="V101" s="213" t="s">
        <v>2</v>
      </c>
      <c r="W101" s="119">
        <v>7</v>
      </c>
      <c r="X101" s="119" t="s">
        <v>10</v>
      </c>
      <c r="Y101" s="119">
        <f>COUNTIF(tblF22021[[#This Row],[CIV]:[BK]],"A")</f>
        <v>8</v>
      </c>
    </row>
    <row r="102" spans="1:25" x14ac:dyDescent="0.3">
      <c r="A102">
        <v>94</v>
      </c>
      <c r="B102" s="173"/>
      <c r="C102" s="171" t="s">
        <v>122</v>
      </c>
      <c r="D102" s="172" t="s">
        <v>8</v>
      </c>
      <c r="E102" s="172" t="s">
        <v>42</v>
      </c>
      <c r="F102" s="117"/>
      <c r="G102" s="173" t="s">
        <v>800</v>
      </c>
      <c r="H102" s="173">
        <v>2021</v>
      </c>
      <c r="I102" s="213" t="s">
        <v>2</v>
      </c>
      <c r="J102" s="213" t="s">
        <v>3</v>
      </c>
      <c r="K102" s="213" t="s">
        <v>2</v>
      </c>
      <c r="L102" s="213" t="s">
        <v>4</v>
      </c>
      <c r="M102" s="213" t="s">
        <v>2</v>
      </c>
      <c r="N102" s="213" t="s">
        <v>2</v>
      </c>
      <c r="O102" s="213" t="s">
        <v>4</v>
      </c>
      <c r="P102" s="213" t="s">
        <v>4</v>
      </c>
      <c r="Q102" s="213" t="s">
        <v>2</v>
      </c>
      <c r="R102" s="213"/>
      <c r="S102" s="213"/>
      <c r="T102" s="213" t="s">
        <v>4</v>
      </c>
      <c r="U102" s="213" t="s">
        <v>4</v>
      </c>
      <c r="V102" s="213" t="s">
        <v>4</v>
      </c>
      <c r="W102" s="119">
        <v>10</v>
      </c>
      <c r="X102" s="119" t="s">
        <v>10</v>
      </c>
      <c r="Y102" s="119">
        <f>COUNTIF(tblF22021[[#This Row],[CIV]:[BK]],"A")</f>
        <v>5</v>
      </c>
    </row>
    <row r="103" spans="1:25" x14ac:dyDescent="0.3">
      <c r="A103">
        <v>95</v>
      </c>
      <c r="B103" s="173"/>
      <c r="C103" s="171" t="s">
        <v>73</v>
      </c>
      <c r="D103" s="172" t="s">
        <v>8</v>
      </c>
      <c r="E103" s="172" t="s">
        <v>42</v>
      </c>
      <c r="F103" s="117"/>
      <c r="G103" s="173" t="s">
        <v>800</v>
      </c>
      <c r="H103" s="173">
        <v>2021</v>
      </c>
      <c r="I103" s="213" t="s">
        <v>2</v>
      </c>
      <c r="J103" s="213" t="s">
        <v>3</v>
      </c>
      <c r="K103" s="213" t="s">
        <v>2</v>
      </c>
      <c r="L103" s="213" t="s">
        <v>2</v>
      </c>
      <c r="M103" s="213" t="s">
        <v>2</v>
      </c>
      <c r="N103" s="213" t="s">
        <v>2</v>
      </c>
      <c r="O103" s="213" t="s">
        <v>3</v>
      </c>
      <c r="P103" s="213" t="s">
        <v>3</v>
      </c>
      <c r="Q103" s="213" t="s">
        <v>2</v>
      </c>
      <c r="R103" s="213"/>
      <c r="S103" s="213"/>
      <c r="T103" s="213" t="s">
        <v>4</v>
      </c>
      <c r="U103" s="213" t="s">
        <v>4</v>
      </c>
      <c r="V103" s="213" t="s">
        <v>2</v>
      </c>
      <c r="W103" s="119">
        <v>7</v>
      </c>
      <c r="X103" s="119" t="s">
        <v>10</v>
      </c>
      <c r="Y103" s="119">
        <f>COUNTIF(tblF22021[[#This Row],[CIV]:[BK]],"A")</f>
        <v>7</v>
      </c>
    </row>
    <row r="104" spans="1:25" x14ac:dyDescent="0.3">
      <c r="A104">
        <v>96</v>
      </c>
      <c r="B104" s="173"/>
      <c r="C104" s="171" t="s">
        <v>75</v>
      </c>
      <c r="D104" s="172" t="s">
        <v>8</v>
      </c>
      <c r="E104" s="172" t="s">
        <v>42</v>
      </c>
      <c r="F104" s="117"/>
      <c r="G104" s="173" t="s">
        <v>800</v>
      </c>
      <c r="H104" s="173">
        <v>2021</v>
      </c>
      <c r="I104" s="213" t="s">
        <v>2</v>
      </c>
      <c r="J104" s="213" t="s">
        <v>4</v>
      </c>
      <c r="K104" s="213" t="s">
        <v>3</v>
      </c>
      <c r="L104" s="213" t="s">
        <v>3</v>
      </c>
      <c r="M104" s="213" t="s">
        <v>2</v>
      </c>
      <c r="N104" s="213" t="s">
        <v>2</v>
      </c>
      <c r="O104" s="213" t="s">
        <v>4</v>
      </c>
      <c r="P104" s="213" t="s">
        <v>4</v>
      </c>
      <c r="Q104" s="213" t="s">
        <v>2</v>
      </c>
      <c r="R104" s="213"/>
      <c r="S104" s="213"/>
      <c r="T104" s="213" t="s">
        <v>3</v>
      </c>
      <c r="U104" s="213" t="s">
        <v>4</v>
      </c>
      <c r="V104" s="213" t="s">
        <v>2</v>
      </c>
      <c r="W104" s="119">
        <v>9</v>
      </c>
      <c r="X104" s="119" t="s">
        <v>10</v>
      </c>
      <c r="Y104" s="119">
        <f>COUNTIF(tblF22021[[#This Row],[CIV]:[BK]],"A")</f>
        <v>5</v>
      </c>
    </row>
    <row r="105" spans="1:25" x14ac:dyDescent="0.3">
      <c r="A105">
        <v>97</v>
      </c>
      <c r="B105" s="173"/>
      <c r="C105" s="171" t="s">
        <v>269</v>
      </c>
      <c r="D105" s="172" t="s">
        <v>8</v>
      </c>
      <c r="E105" s="172" t="s">
        <v>42</v>
      </c>
      <c r="F105" s="117"/>
      <c r="G105" s="173" t="s">
        <v>800</v>
      </c>
      <c r="H105" s="173">
        <v>2021</v>
      </c>
      <c r="I105" s="213" t="s">
        <v>2</v>
      </c>
      <c r="J105" s="213" t="s">
        <v>2</v>
      </c>
      <c r="K105" s="213" t="s">
        <v>2</v>
      </c>
      <c r="L105" s="213" t="s">
        <v>2</v>
      </c>
      <c r="M105" s="213" t="s">
        <v>2</v>
      </c>
      <c r="N105" s="213" t="s">
        <v>2</v>
      </c>
      <c r="O105" s="213" t="s">
        <v>2</v>
      </c>
      <c r="P105" s="213" t="s">
        <v>2</v>
      </c>
      <c r="Q105" s="213" t="s">
        <v>2</v>
      </c>
      <c r="R105" s="213"/>
      <c r="S105" s="213"/>
      <c r="T105" s="213" t="s">
        <v>2</v>
      </c>
      <c r="U105" s="213" t="s">
        <v>4</v>
      </c>
      <c r="V105" s="213" t="s">
        <v>2</v>
      </c>
      <c r="W105" s="119">
        <v>7</v>
      </c>
      <c r="X105" s="119" t="s">
        <v>10</v>
      </c>
      <c r="Y105" s="119">
        <f>COUNTIF(tblF22021[[#This Row],[CIV]:[BK]],"A")</f>
        <v>11</v>
      </c>
    </row>
    <row r="106" spans="1:25" x14ac:dyDescent="0.3">
      <c r="A106">
        <v>98</v>
      </c>
      <c r="B106" s="173"/>
      <c r="C106" s="171" t="s">
        <v>832</v>
      </c>
      <c r="D106" s="172" t="s">
        <v>8</v>
      </c>
      <c r="E106" s="172" t="s">
        <v>42</v>
      </c>
      <c r="F106" s="117"/>
      <c r="G106" s="173" t="s">
        <v>800</v>
      </c>
      <c r="H106" s="173">
        <v>2021</v>
      </c>
      <c r="I106" s="213" t="s">
        <v>3</v>
      </c>
      <c r="J106" s="213" t="s">
        <v>5</v>
      </c>
      <c r="K106" s="213" t="s">
        <v>4</v>
      </c>
      <c r="L106" s="213" t="s">
        <v>4</v>
      </c>
      <c r="M106" s="213" t="s">
        <v>2</v>
      </c>
      <c r="N106" s="213" t="s">
        <v>3</v>
      </c>
      <c r="O106" s="213" t="s">
        <v>5</v>
      </c>
      <c r="P106" s="213" t="s">
        <v>4</v>
      </c>
      <c r="Q106" s="213" t="s">
        <v>4</v>
      </c>
      <c r="R106" s="213"/>
      <c r="S106" s="213"/>
      <c r="T106" s="213" t="s">
        <v>4</v>
      </c>
      <c r="U106" s="213" t="s">
        <v>4</v>
      </c>
      <c r="V106" s="213" t="s">
        <v>4</v>
      </c>
      <c r="W106" s="119">
        <v>17</v>
      </c>
      <c r="X106" s="119" t="s">
        <v>10</v>
      </c>
      <c r="Y106" s="119">
        <f>COUNTIF(tblF22021[[#This Row],[CIV]:[BK]],"A")</f>
        <v>1</v>
      </c>
    </row>
    <row r="107" spans="1:25" x14ac:dyDescent="0.3">
      <c r="A107">
        <v>99</v>
      </c>
      <c r="B107" s="173"/>
      <c r="C107" s="171" t="s">
        <v>124</v>
      </c>
      <c r="D107" s="172" t="s">
        <v>8</v>
      </c>
      <c r="E107" s="172" t="s">
        <v>42</v>
      </c>
      <c r="F107" s="117"/>
      <c r="G107" s="173" t="s">
        <v>800</v>
      </c>
      <c r="H107" s="173">
        <v>2021</v>
      </c>
      <c r="I107" s="213" t="s">
        <v>3</v>
      </c>
      <c r="J107" s="213" t="s">
        <v>3</v>
      </c>
      <c r="K107" s="213" t="s">
        <v>4</v>
      </c>
      <c r="L107" s="213" t="s">
        <v>4</v>
      </c>
      <c r="M107" s="213" t="s">
        <v>2</v>
      </c>
      <c r="N107" s="213" t="s">
        <v>2</v>
      </c>
      <c r="O107" s="213" t="s">
        <v>4</v>
      </c>
      <c r="P107" s="213" t="s">
        <v>4</v>
      </c>
      <c r="Q107" s="213" t="s">
        <v>2</v>
      </c>
      <c r="R107" s="213"/>
      <c r="S107" s="213"/>
      <c r="T107" s="213" t="s">
        <v>3</v>
      </c>
      <c r="U107" s="213" t="s">
        <v>4</v>
      </c>
      <c r="V107" s="213" t="s">
        <v>3</v>
      </c>
      <c r="W107" s="119">
        <v>11</v>
      </c>
      <c r="X107" s="119" t="s">
        <v>10</v>
      </c>
      <c r="Y107" s="119">
        <f>COUNTIF(tblF22021[[#This Row],[CIV]:[BK]],"A")</f>
        <v>3</v>
      </c>
    </row>
    <row r="108" spans="1:25" x14ac:dyDescent="0.3">
      <c r="A108">
        <v>100</v>
      </c>
      <c r="B108" s="173"/>
      <c r="C108" s="171" t="s">
        <v>833</v>
      </c>
      <c r="D108" s="172" t="s">
        <v>8</v>
      </c>
      <c r="E108" s="172" t="s">
        <v>42</v>
      </c>
      <c r="F108" s="117"/>
      <c r="G108" s="173" t="s">
        <v>800</v>
      </c>
      <c r="H108" s="173">
        <v>2021</v>
      </c>
      <c r="I108" s="213" t="s">
        <v>2</v>
      </c>
      <c r="J108" s="213" t="s">
        <v>3</v>
      </c>
      <c r="K108" s="213" t="s">
        <v>2</v>
      </c>
      <c r="L108" s="213"/>
      <c r="M108" s="213" t="s">
        <v>2</v>
      </c>
      <c r="N108" s="213" t="s">
        <v>2</v>
      </c>
      <c r="O108" s="213" t="s">
        <v>2</v>
      </c>
      <c r="P108" s="213" t="s">
        <v>2</v>
      </c>
      <c r="Q108" s="213" t="s">
        <v>2</v>
      </c>
      <c r="R108" s="213"/>
      <c r="S108" s="213" t="s">
        <v>2</v>
      </c>
      <c r="T108" s="213" t="s">
        <v>3</v>
      </c>
      <c r="U108" s="213" t="s">
        <v>4</v>
      </c>
      <c r="V108" s="213" t="s">
        <v>2</v>
      </c>
      <c r="W108" s="119">
        <v>7</v>
      </c>
      <c r="X108" s="119" t="s">
        <v>10</v>
      </c>
      <c r="Y108" s="119">
        <f>COUNTIF(tblF22021[[#This Row],[CIV]:[BK]],"A")</f>
        <v>9</v>
      </c>
    </row>
    <row r="109" spans="1:25" x14ac:dyDescent="0.3">
      <c r="A109">
        <v>101</v>
      </c>
      <c r="B109" s="173"/>
      <c r="C109" s="171" t="s">
        <v>271</v>
      </c>
      <c r="D109" s="172" t="s">
        <v>8</v>
      </c>
      <c r="E109" s="172" t="s">
        <v>42</v>
      </c>
      <c r="F109" s="117"/>
      <c r="G109" s="173" t="s">
        <v>800</v>
      </c>
      <c r="H109" s="173">
        <v>2021</v>
      </c>
      <c r="I109" s="169" t="s">
        <v>2</v>
      </c>
      <c r="J109" s="169" t="s">
        <v>2</v>
      </c>
      <c r="K109" s="169" t="s">
        <v>2</v>
      </c>
      <c r="L109" s="169" t="s">
        <v>2</v>
      </c>
      <c r="M109" s="169" t="s">
        <v>2</v>
      </c>
      <c r="N109" s="169" t="s">
        <v>2</v>
      </c>
      <c r="O109" s="169" t="s">
        <v>2</v>
      </c>
      <c r="P109" s="169" t="s">
        <v>2</v>
      </c>
      <c r="Q109" s="169" t="s">
        <v>2</v>
      </c>
      <c r="R109" s="169"/>
      <c r="S109" s="169"/>
      <c r="T109" s="169" t="s">
        <v>2</v>
      </c>
      <c r="U109" s="169" t="s">
        <v>2</v>
      </c>
      <c r="V109" s="169" t="s">
        <v>2</v>
      </c>
      <c r="W109" s="119">
        <v>7</v>
      </c>
      <c r="X109" s="119" t="s">
        <v>10</v>
      </c>
      <c r="Y109" s="119">
        <f>COUNTIF(tblF22021[[#This Row],[CIV]:[BK]],"A")</f>
        <v>12</v>
      </c>
    </row>
    <row r="110" spans="1:25" x14ac:dyDescent="0.3">
      <c r="A110">
        <v>102</v>
      </c>
      <c r="B110" s="173"/>
      <c r="C110" s="171" t="s">
        <v>77</v>
      </c>
      <c r="D110" s="172" t="s">
        <v>8</v>
      </c>
      <c r="E110" s="172" t="s">
        <v>42</v>
      </c>
      <c r="F110" s="117"/>
      <c r="G110" s="173" t="s">
        <v>800</v>
      </c>
      <c r="H110" s="173">
        <v>2021</v>
      </c>
      <c r="I110" s="213" t="s">
        <v>2</v>
      </c>
      <c r="J110" s="213" t="s">
        <v>3</v>
      </c>
      <c r="K110" s="213" t="s">
        <v>2</v>
      </c>
      <c r="L110" s="213" t="s">
        <v>4</v>
      </c>
      <c r="M110" s="213" t="s">
        <v>2</v>
      </c>
      <c r="N110" s="213" t="s">
        <v>2</v>
      </c>
      <c r="O110" s="213" t="s">
        <v>4</v>
      </c>
      <c r="P110" s="213" t="s">
        <v>4</v>
      </c>
      <c r="Q110" s="213" t="s">
        <v>2</v>
      </c>
      <c r="R110" s="213"/>
      <c r="S110" s="213"/>
      <c r="T110" s="213" t="s">
        <v>3</v>
      </c>
      <c r="U110" s="213" t="s">
        <v>4</v>
      </c>
      <c r="V110" s="213" t="s">
        <v>3</v>
      </c>
      <c r="W110" s="119">
        <v>9</v>
      </c>
      <c r="X110" s="119" t="s">
        <v>10</v>
      </c>
      <c r="Y110" s="119">
        <f>COUNTIF(tblF22021[[#This Row],[CIV]:[BK]],"A")</f>
        <v>5</v>
      </c>
    </row>
    <row r="111" spans="1:25" x14ac:dyDescent="0.3">
      <c r="A111">
        <v>103</v>
      </c>
      <c r="B111" s="173"/>
      <c r="C111" s="171" t="s">
        <v>834</v>
      </c>
      <c r="D111" s="172" t="s">
        <v>8</v>
      </c>
      <c r="E111" s="172" t="s">
        <v>42</v>
      </c>
      <c r="F111" s="117"/>
      <c r="G111" s="173" t="s">
        <v>800</v>
      </c>
      <c r="H111" s="173">
        <v>2021</v>
      </c>
      <c r="I111" s="213" t="s">
        <v>840</v>
      </c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119" t="s">
        <v>776</v>
      </c>
      <c r="X111" s="119" t="s">
        <v>776</v>
      </c>
      <c r="Y111" s="119">
        <f>COUNTIF(tblF22021[[#This Row],[CIV]:[BK]],"A")</f>
        <v>0</v>
      </c>
    </row>
    <row r="112" spans="1:25" x14ac:dyDescent="0.3">
      <c r="A112">
        <v>104</v>
      </c>
      <c r="B112" s="173"/>
      <c r="C112" s="171" t="s">
        <v>159</v>
      </c>
      <c r="D112" s="172" t="s">
        <v>8</v>
      </c>
      <c r="E112" s="172" t="s">
        <v>42</v>
      </c>
      <c r="F112" s="117"/>
      <c r="G112" s="173" t="s">
        <v>800</v>
      </c>
      <c r="H112" s="173">
        <v>2021</v>
      </c>
      <c r="I112" s="213" t="s">
        <v>2</v>
      </c>
      <c r="J112" s="213" t="s">
        <v>2</v>
      </c>
      <c r="K112" s="213" t="s">
        <v>2</v>
      </c>
      <c r="L112" s="213" t="s">
        <v>2</v>
      </c>
      <c r="M112" s="213" t="s">
        <v>2</v>
      </c>
      <c r="N112" s="213" t="s">
        <v>2</v>
      </c>
      <c r="O112" s="213" t="s">
        <v>2</v>
      </c>
      <c r="P112" s="213" t="s">
        <v>2</v>
      </c>
      <c r="Q112" s="213" t="s">
        <v>2</v>
      </c>
      <c r="R112" s="213"/>
      <c r="S112" s="213"/>
      <c r="T112" s="213" t="s">
        <v>2</v>
      </c>
      <c r="U112" s="213" t="s">
        <v>4</v>
      </c>
      <c r="V112" s="213" t="s">
        <v>2</v>
      </c>
      <c r="W112" s="119">
        <v>7</v>
      </c>
      <c r="X112" s="119" t="s">
        <v>10</v>
      </c>
      <c r="Y112" s="119">
        <f>COUNTIF(tblF22021[[#This Row],[CIV]:[BK]],"A")</f>
        <v>11</v>
      </c>
    </row>
    <row r="113" spans="1:25" x14ac:dyDescent="0.3">
      <c r="A113">
        <v>105</v>
      </c>
      <c r="B113" s="173"/>
      <c r="C113" s="171" t="s">
        <v>126</v>
      </c>
      <c r="D113" s="172" t="s">
        <v>8</v>
      </c>
      <c r="E113" s="172" t="s">
        <v>42</v>
      </c>
      <c r="F113" s="117"/>
      <c r="G113" s="173" t="s">
        <v>800</v>
      </c>
      <c r="H113" s="173">
        <v>2021</v>
      </c>
      <c r="I113" s="213" t="s">
        <v>2</v>
      </c>
      <c r="J113" s="213" t="s">
        <v>2</v>
      </c>
      <c r="K113" s="213" t="s">
        <v>3</v>
      </c>
      <c r="L113" s="213" t="s">
        <v>3</v>
      </c>
      <c r="M113" s="213" t="s">
        <v>2</v>
      </c>
      <c r="N113" s="213" t="s">
        <v>2</v>
      </c>
      <c r="O113" s="213" t="s">
        <v>3</v>
      </c>
      <c r="P113" s="213" t="s">
        <v>2</v>
      </c>
      <c r="Q113" s="213" t="s">
        <v>2</v>
      </c>
      <c r="R113" s="213"/>
      <c r="S113" s="213"/>
      <c r="T113" s="213" t="s">
        <v>3</v>
      </c>
      <c r="U113" s="213" t="s">
        <v>4</v>
      </c>
      <c r="V113" s="213" t="s">
        <v>2</v>
      </c>
      <c r="W113" s="119">
        <v>7</v>
      </c>
      <c r="X113" s="119" t="s">
        <v>10</v>
      </c>
      <c r="Y113" s="119">
        <f>COUNTIF(tblF22021[[#This Row],[CIV]:[BK]],"A")</f>
        <v>7</v>
      </c>
    </row>
    <row r="114" spans="1:25" x14ac:dyDescent="0.3">
      <c r="A114">
        <v>106</v>
      </c>
      <c r="B114" s="173"/>
      <c r="C114" s="171" t="s">
        <v>835</v>
      </c>
      <c r="D114" s="172" t="s">
        <v>8</v>
      </c>
      <c r="E114" s="172" t="s">
        <v>42</v>
      </c>
      <c r="F114" s="117"/>
      <c r="G114" s="173" t="s">
        <v>800</v>
      </c>
      <c r="H114" s="173">
        <v>2021</v>
      </c>
      <c r="I114" s="213" t="s">
        <v>2</v>
      </c>
      <c r="J114" s="213" t="s">
        <v>5</v>
      </c>
      <c r="K114" s="213" t="s">
        <v>3</v>
      </c>
      <c r="L114" s="213"/>
      <c r="M114" s="213" t="s">
        <v>2</v>
      </c>
      <c r="N114" s="213" t="s">
        <v>2</v>
      </c>
      <c r="O114" s="213" t="s">
        <v>4</v>
      </c>
      <c r="P114" s="213" t="s">
        <v>5</v>
      </c>
      <c r="Q114" s="213" t="s">
        <v>2</v>
      </c>
      <c r="R114" s="213"/>
      <c r="S114" s="213" t="s">
        <v>5</v>
      </c>
      <c r="T114" s="213" t="s">
        <v>4</v>
      </c>
      <c r="U114" s="213" t="s">
        <v>5</v>
      </c>
      <c r="V114" s="213" t="s">
        <v>3</v>
      </c>
      <c r="W114" s="119">
        <v>11</v>
      </c>
      <c r="X114" s="119" t="s">
        <v>10</v>
      </c>
      <c r="Y114" s="119">
        <f>COUNTIF(tblF22021[[#This Row],[CIV]:[BK]],"A")</f>
        <v>4</v>
      </c>
    </row>
    <row r="115" spans="1:25" x14ac:dyDescent="0.3">
      <c r="A115">
        <v>107</v>
      </c>
      <c r="B115" s="173"/>
      <c r="C115" s="171" t="s">
        <v>161</v>
      </c>
      <c r="D115" s="172" t="s">
        <v>8</v>
      </c>
      <c r="E115" s="172" t="s">
        <v>42</v>
      </c>
      <c r="F115" s="117"/>
      <c r="G115" s="173" t="s">
        <v>800</v>
      </c>
      <c r="H115" s="173">
        <v>2021</v>
      </c>
      <c r="I115" s="169" t="s">
        <v>2</v>
      </c>
      <c r="J115" s="169" t="s">
        <v>2</v>
      </c>
      <c r="K115" s="169" t="s">
        <v>2</v>
      </c>
      <c r="L115" s="169" t="s">
        <v>2</v>
      </c>
      <c r="M115" s="169" t="s">
        <v>2</v>
      </c>
      <c r="N115" s="169" t="s">
        <v>2</v>
      </c>
      <c r="O115" s="169" t="s">
        <v>2</v>
      </c>
      <c r="P115" s="169" t="s">
        <v>2</v>
      </c>
      <c r="Q115" s="169" t="s">
        <v>2</v>
      </c>
      <c r="R115" s="169"/>
      <c r="S115" s="169"/>
      <c r="T115" s="169" t="s">
        <v>2</v>
      </c>
      <c r="U115" s="169" t="s">
        <v>2</v>
      </c>
      <c r="V115" s="169" t="s">
        <v>2</v>
      </c>
      <c r="W115" s="119">
        <v>7</v>
      </c>
      <c r="X115" s="119" t="s">
        <v>10</v>
      </c>
      <c r="Y115" s="119">
        <f>COUNTIF(tblF22021[[#This Row],[CIV]:[BK]],"A")</f>
        <v>12</v>
      </c>
    </row>
    <row r="116" spans="1:25" x14ac:dyDescent="0.3">
      <c r="A116">
        <v>108</v>
      </c>
      <c r="B116" s="173"/>
      <c r="C116" s="171" t="s">
        <v>836</v>
      </c>
      <c r="D116" s="172" t="s">
        <v>8</v>
      </c>
      <c r="E116" s="172" t="s">
        <v>42</v>
      </c>
      <c r="F116" s="117"/>
      <c r="G116" s="173" t="s">
        <v>800</v>
      </c>
      <c r="H116" s="173">
        <v>2021</v>
      </c>
      <c r="I116" s="213" t="s">
        <v>2</v>
      </c>
      <c r="J116" s="213" t="s">
        <v>2</v>
      </c>
      <c r="K116" s="213" t="s">
        <v>2</v>
      </c>
      <c r="L116" s="213"/>
      <c r="M116" s="213" t="s">
        <v>2</v>
      </c>
      <c r="N116" s="213" t="s">
        <v>2</v>
      </c>
      <c r="O116" s="213" t="s">
        <v>2</v>
      </c>
      <c r="P116" s="213" t="s">
        <v>2</v>
      </c>
      <c r="Q116" s="213" t="s">
        <v>2</v>
      </c>
      <c r="R116" s="213"/>
      <c r="S116" s="213" t="s">
        <v>2</v>
      </c>
      <c r="T116" s="213" t="s">
        <v>2</v>
      </c>
      <c r="U116" s="213" t="s">
        <v>3</v>
      </c>
      <c r="V116" s="213" t="s">
        <v>2</v>
      </c>
      <c r="W116" s="119">
        <v>7</v>
      </c>
      <c r="X116" s="119" t="s">
        <v>10</v>
      </c>
      <c r="Y116" s="119">
        <f>COUNTIF(tblF22021[[#This Row],[CIV]:[BK]],"A")</f>
        <v>11</v>
      </c>
    </row>
    <row r="117" spans="1:25" x14ac:dyDescent="0.3">
      <c r="A117">
        <v>109</v>
      </c>
      <c r="B117" s="173"/>
      <c r="C117" s="171" t="s">
        <v>837</v>
      </c>
      <c r="D117" s="172" t="s">
        <v>8</v>
      </c>
      <c r="E117" s="172" t="s">
        <v>42</v>
      </c>
      <c r="F117" s="117"/>
      <c r="G117" s="173" t="s">
        <v>800</v>
      </c>
      <c r="H117" s="173">
        <v>2021</v>
      </c>
      <c r="I117" s="213" t="s">
        <v>2</v>
      </c>
      <c r="J117" s="213" t="s">
        <v>4</v>
      </c>
      <c r="K117" s="213" t="s">
        <v>3</v>
      </c>
      <c r="L117" s="213" t="s">
        <v>3</v>
      </c>
      <c r="M117" s="213" t="s">
        <v>3</v>
      </c>
      <c r="N117" s="213" t="s">
        <v>2</v>
      </c>
      <c r="O117" s="213" t="s">
        <v>5</v>
      </c>
      <c r="P117" s="213" t="s">
        <v>4</v>
      </c>
      <c r="Q117" s="213" t="s">
        <v>3</v>
      </c>
      <c r="R117" s="213"/>
      <c r="S117" s="213"/>
      <c r="T117" s="213" t="s">
        <v>5</v>
      </c>
      <c r="U117" s="213" t="s">
        <v>5</v>
      </c>
      <c r="V117" s="213" t="s">
        <v>4</v>
      </c>
      <c r="W117" s="119">
        <v>13</v>
      </c>
      <c r="X117" s="119" t="s">
        <v>10</v>
      </c>
      <c r="Y117" s="119">
        <f>COUNTIF(tblF22021[[#This Row],[CIV]:[BK]],"A")</f>
        <v>2</v>
      </c>
    </row>
    <row r="118" spans="1:25" x14ac:dyDescent="0.3">
      <c r="A118">
        <v>110</v>
      </c>
      <c r="B118" s="173"/>
      <c r="C118" s="171" t="s">
        <v>79</v>
      </c>
      <c r="D118" s="172" t="s">
        <v>8</v>
      </c>
      <c r="E118" s="172" t="s">
        <v>42</v>
      </c>
      <c r="F118" s="117"/>
      <c r="G118" s="173" t="s">
        <v>800</v>
      </c>
      <c r="H118" s="173">
        <v>2021</v>
      </c>
      <c r="I118" s="213" t="s">
        <v>2</v>
      </c>
      <c r="J118" s="213" t="s">
        <v>3</v>
      </c>
      <c r="K118" s="213" t="s">
        <v>3</v>
      </c>
      <c r="L118" s="213"/>
      <c r="M118" s="213" t="s">
        <v>2</v>
      </c>
      <c r="N118" s="213" t="s">
        <v>2</v>
      </c>
      <c r="O118" s="213" t="s">
        <v>3</v>
      </c>
      <c r="P118" s="213" t="s">
        <v>3</v>
      </c>
      <c r="Q118" s="213" t="s">
        <v>2</v>
      </c>
      <c r="R118" s="213"/>
      <c r="S118" s="213" t="s">
        <v>2</v>
      </c>
      <c r="T118" s="213" t="s">
        <v>3</v>
      </c>
      <c r="U118" s="213" t="s">
        <v>4</v>
      </c>
      <c r="V118" s="213" t="s">
        <v>2</v>
      </c>
      <c r="W118" s="119">
        <v>8</v>
      </c>
      <c r="X118" s="119" t="s">
        <v>10</v>
      </c>
      <c r="Y118" s="119">
        <f>COUNTIF(tblF22021[[#This Row],[CIV]:[BK]],"A")</f>
        <v>6</v>
      </c>
    </row>
    <row r="119" spans="1:25" x14ac:dyDescent="0.3">
      <c r="A119">
        <v>111</v>
      </c>
      <c r="B119" s="173"/>
      <c r="C119" s="171" t="s">
        <v>838</v>
      </c>
      <c r="D119" s="172" t="s">
        <v>8</v>
      </c>
      <c r="E119" s="172" t="s">
        <v>42</v>
      </c>
      <c r="F119" s="117"/>
      <c r="G119" s="173" t="s">
        <v>800</v>
      </c>
      <c r="H119" s="173">
        <v>2021</v>
      </c>
      <c r="I119" s="213" t="s">
        <v>2</v>
      </c>
      <c r="J119" s="213" t="s">
        <v>2</v>
      </c>
      <c r="K119" s="213" t="s">
        <v>3</v>
      </c>
      <c r="L119" s="213" t="s">
        <v>3</v>
      </c>
      <c r="M119" s="213" t="s">
        <v>2</v>
      </c>
      <c r="N119" s="213" t="s">
        <v>2</v>
      </c>
      <c r="O119" s="213" t="s">
        <v>4</v>
      </c>
      <c r="P119" s="213" t="s">
        <v>3</v>
      </c>
      <c r="Q119" s="213" t="s">
        <v>2</v>
      </c>
      <c r="R119" s="213"/>
      <c r="S119" s="213"/>
      <c r="T119" s="213" t="s">
        <v>4</v>
      </c>
      <c r="U119" s="213" t="s">
        <v>4</v>
      </c>
      <c r="V119" s="213" t="s">
        <v>4</v>
      </c>
      <c r="W119" s="119">
        <v>9</v>
      </c>
      <c r="X119" s="119" t="s">
        <v>10</v>
      </c>
      <c r="Y119" s="119">
        <f>COUNTIF(tblF22021[[#This Row],[CIV]:[BK]],"A")</f>
        <v>5</v>
      </c>
    </row>
    <row r="120" spans="1:25" x14ac:dyDescent="0.3">
      <c r="A120">
        <v>112</v>
      </c>
      <c r="B120" s="173"/>
      <c r="C120" s="171" t="s">
        <v>337</v>
      </c>
      <c r="D120" s="172" t="s">
        <v>8</v>
      </c>
      <c r="E120" s="172" t="s">
        <v>42</v>
      </c>
      <c r="F120" s="117"/>
      <c r="G120" s="173" t="s">
        <v>800</v>
      </c>
      <c r="H120" s="173">
        <v>2021</v>
      </c>
      <c r="I120" s="213" t="s">
        <v>2</v>
      </c>
      <c r="J120" s="213" t="s">
        <v>3</v>
      </c>
      <c r="K120" s="213" t="s">
        <v>2</v>
      </c>
      <c r="L120" s="213"/>
      <c r="M120" s="213" t="s">
        <v>2</v>
      </c>
      <c r="N120" s="213" t="s">
        <v>2</v>
      </c>
      <c r="O120" s="213" t="s">
        <v>3</v>
      </c>
      <c r="P120" s="213" t="s">
        <v>2</v>
      </c>
      <c r="Q120" s="213" t="s">
        <v>2</v>
      </c>
      <c r="R120" s="213"/>
      <c r="S120" s="213" t="s">
        <v>4</v>
      </c>
      <c r="T120" s="213" t="s">
        <v>2</v>
      </c>
      <c r="U120" s="213" t="s">
        <v>4</v>
      </c>
      <c r="V120" s="213" t="s">
        <v>2</v>
      </c>
      <c r="W120" s="119">
        <v>7</v>
      </c>
      <c r="X120" s="119" t="s">
        <v>10</v>
      </c>
      <c r="Y120" s="119">
        <f>COUNTIF(tblF22021[[#This Row],[CIV]:[BK]],"A")</f>
        <v>8</v>
      </c>
    </row>
    <row r="121" spans="1:25" x14ac:dyDescent="0.3">
      <c r="A121">
        <v>113</v>
      </c>
      <c r="B121" s="173"/>
      <c r="C121" s="171" t="s">
        <v>81</v>
      </c>
      <c r="D121" s="172" t="s">
        <v>8</v>
      </c>
      <c r="E121" s="172" t="s">
        <v>42</v>
      </c>
      <c r="F121" s="117"/>
      <c r="G121" s="173" t="s">
        <v>800</v>
      </c>
      <c r="H121" s="173">
        <v>2021</v>
      </c>
      <c r="I121" s="213" t="s">
        <v>2</v>
      </c>
      <c r="J121" s="213" t="s">
        <v>2</v>
      </c>
      <c r="K121" s="213" t="s">
        <v>2</v>
      </c>
      <c r="L121" s="213" t="s">
        <v>2</v>
      </c>
      <c r="M121" s="213" t="s">
        <v>2</v>
      </c>
      <c r="N121" s="213" t="s">
        <v>2</v>
      </c>
      <c r="O121" s="213" t="s">
        <v>2</v>
      </c>
      <c r="P121" s="213" t="s">
        <v>2</v>
      </c>
      <c r="Q121" s="213" t="s">
        <v>2</v>
      </c>
      <c r="R121" s="213"/>
      <c r="S121" s="213"/>
      <c r="T121" s="213" t="s">
        <v>2</v>
      </c>
      <c r="U121" s="213" t="s">
        <v>4</v>
      </c>
      <c r="V121" s="213" t="s">
        <v>2</v>
      </c>
      <c r="W121" s="119">
        <v>7</v>
      </c>
      <c r="X121" s="119" t="s">
        <v>10</v>
      </c>
      <c r="Y121" s="119">
        <f>COUNTIF(tblF22021[[#This Row],[CIV]:[BK]],"A")</f>
        <v>11</v>
      </c>
    </row>
    <row r="122" spans="1:25" x14ac:dyDescent="0.3">
      <c r="A122">
        <v>114</v>
      </c>
      <c r="B122" s="173"/>
      <c r="C122" s="171" t="s">
        <v>273</v>
      </c>
      <c r="D122" s="172" t="s">
        <v>8</v>
      </c>
      <c r="E122" s="172" t="s">
        <v>42</v>
      </c>
      <c r="F122" s="117"/>
      <c r="G122" s="173" t="s">
        <v>800</v>
      </c>
      <c r="H122" s="173">
        <v>2021</v>
      </c>
      <c r="I122" s="213" t="s">
        <v>2</v>
      </c>
      <c r="J122" s="213" t="s">
        <v>2</v>
      </c>
      <c r="K122" s="213" t="s">
        <v>2</v>
      </c>
      <c r="L122" s="213" t="s">
        <v>2</v>
      </c>
      <c r="M122" s="213" t="s">
        <v>2</v>
      </c>
      <c r="N122" s="213" t="s">
        <v>2</v>
      </c>
      <c r="O122" s="213" t="s">
        <v>2</v>
      </c>
      <c r="P122" s="213" t="s">
        <v>2</v>
      </c>
      <c r="Q122" s="213" t="s">
        <v>2</v>
      </c>
      <c r="R122" s="213"/>
      <c r="S122" s="213"/>
      <c r="T122" s="213" t="s">
        <v>2</v>
      </c>
      <c r="U122" s="213" t="s">
        <v>4</v>
      </c>
      <c r="V122" s="213" t="s">
        <v>2</v>
      </c>
      <c r="W122" s="119">
        <v>7</v>
      </c>
      <c r="X122" s="119" t="s">
        <v>10</v>
      </c>
      <c r="Y122" s="119">
        <f>COUNTIF(tblF22021[[#This Row],[CIV]:[BK]],"A")</f>
        <v>11</v>
      </c>
    </row>
    <row r="123" spans="1:25" x14ac:dyDescent="0.3">
      <c r="A123">
        <v>115</v>
      </c>
      <c r="B123" s="173"/>
      <c r="C123" s="123" t="s">
        <v>316</v>
      </c>
      <c r="D123" s="172" t="s">
        <v>8</v>
      </c>
      <c r="E123" s="172" t="s">
        <v>42</v>
      </c>
      <c r="F123" s="117"/>
      <c r="G123" s="173" t="s">
        <v>800</v>
      </c>
      <c r="H123" s="173">
        <v>2021</v>
      </c>
      <c r="I123" s="213" t="s">
        <v>2</v>
      </c>
      <c r="J123" s="213" t="s">
        <v>2</v>
      </c>
      <c r="K123" s="213" t="s">
        <v>2</v>
      </c>
      <c r="L123" s="213" t="s">
        <v>3</v>
      </c>
      <c r="M123" s="213" t="s">
        <v>2</v>
      </c>
      <c r="N123" s="213" t="s">
        <v>2</v>
      </c>
      <c r="O123" s="213" t="s">
        <v>3</v>
      </c>
      <c r="P123" s="213" t="s">
        <v>2</v>
      </c>
      <c r="Q123" s="213" t="s">
        <v>2</v>
      </c>
      <c r="R123" s="213"/>
      <c r="S123" s="213"/>
      <c r="T123" s="213" t="s">
        <v>2</v>
      </c>
      <c r="U123" s="213" t="s">
        <v>4</v>
      </c>
      <c r="V123" s="213" t="s">
        <v>2</v>
      </c>
      <c r="W123" s="119">
        <v>7</v>
      </c>
      <c r="X123" s="119" t="s">
        <v>10</v>
      </c>
      <c r="Y123" s="119">
        <f>COUNTIF(tblF22021[[#This Row],[CIV]:[BK]],"A")</f>
        <v>9</v>
      </c>
    </row>
    <row r="124" spans="1:25" x14ac:dyDescent="0.3">
      <c r="A124">
        <v>116</v>
      </c>
      <c r="B124" s="173"/>
      <c r="C124" s="171" t="s">
        <v>839</v>
      </c>
      <c r="D124" s="172" t="s">
        <v>8</v>
      </c>
      <c r="E124" s="172" t="s">
        <v>42</v>
      </c>
      <c r="F124" s="117"/>
      <c r="G124" s="173" t="s">
        <v>800</v>
      </c>
      <c r="H124" s="173">
        <v>2021</v>
      </c>
      <c r="I124" s="213" t="s">
        <v>2</v>
      </c>
      <c r="J124" s="213" t="s">
        <v>4</v>
      </c>
      <c r="K124" s="213" t="s">
        <v>4</v>
      </c>
      <c r="L124" s="213" t="s">
        <v>4</v>
      </c>
      <c r="M124" s="213" t="s">
        <v>2</v>
      </c>
      <c r="N124" s="213" t="s">
        <v>2</v>
      </c>
      <c r="O124" s="213" t="s">
        <v>4</v>
      </c>
      <c r="P124" s="213" t="s">
        <v>5</v>
      </c>
      <c r="Q124" s="213" t="s">
        <v>2</v>
      </c>
      <c r="R124" s="213"/>
      <c r="S124" s="213"/>
      <c r="T124" s="213" t="s">
        <v>4</v>
      </c>
      <c r="U124" s="213" t="s">
        <v>5</v>
      </c>
      <c r="V124" s="213" t="s">
        <v>4</v>
      </c>
      <c r="W124" s="119">
        <v>13</v>
      </c>
      <c r="X124" s="119" t="s">
        <v>10</v>
      </c>
      <c r="Y124" s="119">
        <f>COUNTIF(tblF22021[[#This Row],[CIV]:[BK]],"A")</f>
        <v>4</v>
      </c>
    </row>
    <row r="125" spans="1:25" x14ac:dyDescent="0.3">
      <c r="A125">
        <v>117</v>
      </c>
      <c r="B125" s="173"/>
      <c r="C125" s="171" t="s">
        <v>163</v>
      </c>
      <c r="D125" s="172" t="s">
        <v>8</v>
      </c>
      <c r="E125" s="172" t="s">
        <v>42</v>
      </c>
      <c r="F125" s="117"/>
      <c r="G125" s="173" t="s">
        <v>800</v>
      </c>
      <c r="H125" s="173">
        <v>2021</v>
      </c>
      <c r="I125" s="213" t="s">
        <v>2</v>
      </c>
      <c r="J125" s="213" t="s">
        <v>2</v>
      </c>
      <c r="K125" s="213" t="s">
        <v>2</v>
      </c>
      <c r="L125" s="213" t="s">
        <v>3</v>
      </c>
      <c r="M125" s="213" t="s">
        <v>2</v>
      </c>
      <c r="N125" s="213" t="s">
        <v>2</v>
      </c>
      <c r="O125" s="213" t="s">
        <v>4</v>
      </c>
      <c r="P125" s="213" t="s">
        <v>2</v>
      </c>
      <c r="Q125" s="213" t="s">
        <v>2</v>
      </c>
      <c r="R125" s="213"/>
      <c r="S125" s="213"/>
      <c r="T125" s="213" t="s">
        <v>3</v>
      </c>
      <c r="U125" s="213" t="s">
        <v>4</v>
      </c>
      <c r="V125" s="213" t="s">
        <v>2</v>
      </c>
      <c r="W125" s="119">
        <v>7</v>
      </c>
      <c r="X125" s="119" t="s">
        <v>10</v>
      </c>
      <c r="Y125" s="119">
        <f>COUNTIF(tblF22021[[#This Row],[CIV]:[BK]],"A")</f>
        <v>8</v>
      </c>
    </row>
    <row r="126" spans="1:25" x14ac:dyDescent="0.3">
      <c r="A126">
        <v>118</v>
      </c>
      <c r="B126" s="173"/>
      <c r="C126" s="171" t="s">
        <v>130</v>
      </c>
      <c r="D126" s="172" t="s">
        <v>8</v>
      </c>
      <c r="E126" s="172" t="s">
        <v>42</v>
      </c>
      <c r="F126" s="117"/>
      <c r="G126" s="173" t="s">
        <v>800</v>
      </c>
      <c r="H126" s="173">
        <v>2021</v>
      </c>
      <c r="I126" s="213" t="s">
        <v>2</v>
      </c>
      <c r="J126" s="213" t="s">
        <v>3</v>
      </c>
      <c r="K126" s="213" t="s">
        <v>3</v>
      </c>
      <c r="L126" s="213" t="s">
        <v>4</v>
      </c>
      <c r="M126" s="213" t="s">
        <v>2</v>
      </c>
      <c r="N126" s="213" t="s">
        <v>2</v>
      </c>
      <c r="O126" s="213" t="s">
        <v>4</v>
      </c>
      <c r="P126" s="213" t="s">
        <v>3</v>
      </c>
      <c r="Q126" s="213" t="s">
        <v>2</v>
      </c>
      <c r="R126" s="213"/>
      <c r="S126" s="213"/>
      <c r="T126" s="213" t="s">
        <v>4</v>
      </c>
      <c r="U126" s="213" t="s">
        <v>4</v>
      </c>
      <c r="V126" s="213" t="s">
        <v>3</v>
      </c>
      <c r="W126" s="119">
        <v>10</v>
      </c>
      <c r="X126" s="119" t="s">
        <v>10</v>
      </c>
      <c r="Y126" s="119">
        <f>COUNTIF(tblF22021[[#This Row],[CIV]:[BK]],"A")</f>
        <v>4</v>
      </c>
    </row>
    <row r="127" spans="1:25" x14ac:dyDescent="0.3">
      <c r="A127">
        <v>119</v>
      </c>
      <c r="B127" s="173"/>
      <c r="C127" s="171" t="s">
        <v>338</v>
      </c>
      <c r="D127" s="172" t="s">
        <v>8</v>
      </c>
      <c r="E127" s="172" t="s">
        <v>42</v>
      </c>
      <c r="F127" s="117"/>
      <c r="G127" s="173" t="s">
        <v>800</v>
      </c>
      <c r="H127" s="173">
        <v>2021</v>
      </c>
      <c r="I127" s="213" t="s">
        <v>2</v>
      </c>
      <c r="J127" s="213" t="s">
        <v>2</v>
      </c>
      <c r="K127" s="213" t="s">
        <v>2</v>
      </c>
      <c r="L127" s="213"/>
      <c r="M127" s="213" t="s">
        <v>2</v>
      </c>
      <c r="N127" s="213" t="s">
        <v>2</v>
      </c>
      <c r="O127" s="213" t="s">
        <v>2</v>
      </c>
      <c r="P127" s="213" t="s">
        <v>3</v>
      </c>
      <c r="Q127" s="213" t="s">
        <v>2</v>
      </c>
      <c r="R127" s="213"/>
      <c r="S127" s="213" t="s">
        <v>2</v>
      </c>
      <c r="T127" s="213" t="s">
        <v>2</v>
      </c>
      <c r="U127" s="213" t="s">
        <v>4</v>
      </c>
      <c r="V127" s="213" t="s">
        <v>2</v>
      </c>
      <c r="W127" s="119">
        <v>7</v>
      </c>
      <c r="X127" s="119" t="s">
        <v>10</v>
      </c>
      <c r="Y127" s="119">
        <f>COUNTIF(tblF22021[[#This Row],[CIV]:[BK]],"A")</f>
        <v>10</v>
      </c>
    </row>
    <row r="128" spans="1:25" x14ac:dyDescent="0.3">
      <c r="A128" s="170">
        <v>1</v>
      </c>
      <c r="B128" s="173"/>
      <c r="C128" s="171" t="s">
        <v>557</v>
      </c>
      <c r="D128" s="172" t="s">
        <v>84</v>
      </c>
      <c r="E128" s="172" t="s">
        <v>42</v>
      </c>
      <c r="F128" s="117"/>
      <c r="G128" s="173" t="s">
        <v>800</v>
      </c>
      <c r="H128" s="173">
        <v>2022</v>
      </c>
      <c r="I128" s="121" t="s">
        <v>2</v>
      </c>
      <c r="J128" s="121" t="s">
        <v>2</v>
      </c>
      <c r="K128" s="121" t="s">
        <v>2</v>
      </c>
      <c r="L128" s="121" t="s">
        <v>2</v>
      </c>
      <c r="M128" s="121" t="s">
        <v>2</v>
      </c>
      <c r="N128" s="121" t="s">
        <v>2</v>
      </c>
      <c r="O128" s="121" t="s">
        <v>2</v>
      </c>
      <c r="P128" s="121" t="s">
        <v>2</v>
      </c>
      <c r="Q128" s="121" t="s">
        <v>2</v>
      </c>
      <c r="R128" s="121"/>
      <c r="S128" s="121"/>
      <c r="T128" s="121" t="s">
        <v>2</v>
      </c>
      <c r="U128" s="121" t="s">
        <v>2</v>
      </c>
      <c r="V128" s="121" t="s">
        <v>2</v>
      </c>
      <c r="W128" s="119">
        <v>7</v>
      </c>
      <c r="X128" s="119" t="s">
        <v>10</v>
      </c>
      <c r="Y128" s="119">
        <f>COUNTIF(tblF22021[[#This Row],[CIV]:[BK]],"A")</f>
        <v>12</v>
      </c>
    </row>
    <row r="129" spans="1:25" x14ac:dyDescent="0.3">
      <c r="A129" s="170">
        <v>2</v>
      </c>
      <c r="B129" s="173"/>
      <c r="C129" s="171" t="s">
        <v>284</v>
      </c>
      <c r="D129" s="172" t="s">
        <v>84</v>
      </c>
      <c r="E129" s="172" t="s">
        <v>42</v>
      </c>
      <c r="F129" s="117"/>
      <c r="G129" s="173" t="s">
        <v>800</v>
      </c>
      <c r="H129" s="173">
        <v>2023</v>
      </c>
      <c r="I129" s="121" t="s">
        <v>2</v>
      </c>
      <c r="J129" s="121" t="s">
        <v>2</v>
      </c>
      <c r="K129" s="121" t="s">
        <v>2</v>
      </c>
      <c r="L129" s="121" t="s">
        <v>2</v>
      </c>
      <c r="M129" s="121" t="s">
        <v>2</v>
      </c>
      <c r="N129" s="121" t="s">
        <v>2</v>
      </c>
      <c r="O129" s="121" t="s">
        <v>2</v>
      </c>
      <c r="P129" s="121" t="s">
        <v>2</v>
      </c>
      <c r="Q129" s="121" t="s">
        <v>2</v>
      </c>
      <c r="R129" s="121"/>
      <c r="S129" s="121"/>
      <c r="T129" s="121" t="s">
        <v>2</v>
      </c>
      <c r="U129" s="121" t="s">
        <v>2</v>
      </c>
      <c r="V129" s="121" t="s">
        <v>2</v>
      </c>
      <c r="W129" s="119">
        <v>7</v>
      </c>
      <c r="X129" s="119" t="s">
        <v>10</v>
      </c>
      <c r="Y129" s="119">
        <f>COUNTIF(tblF22021[[#This Row],[CIV]:[BK]],"A")</f>
        <v>12</v>
      </c>
    </row>
    <row r="130" spans="1:25" x14ac:dyDescent="0.3">
      <c r="A130" s="170">
        <v>3</v>
      </c>
      <c r="B130" s="173"/>
      <c r="C130" s="171" t="s">
        <v>226</v>
      </c>
      <c r="D130" s="172" t="s">
        <v>84</v>
      </c>
      <c r="E130" s="172" t="s">
        <v>42</v>
      </c>
      <c r="F130" s="117"/>
      <c r="G130" s="173" t="s">
        <v>800</v>
      </c>
      <c r="H130" s="173">
        <v>2024</v>
      </c>
      <c r="I130" s="121" t="s">
        <v>2</v>
      </c>
      <c r="J130" s="121" t="s">
        <v>2</v>
      </c>
      <c r="K130" s="121" t="s">
        <v>2</v>
      </c>
      <c r="L130" s="121"/>
      <c r="M130" s="121" t="s">
        <v>2</v>
      </c>
      <c r="N130" s="121" t="s">
        <v>2</v>
      </c>
      <c r="O130" s="121" t="s">
        <v>2</v>
      </c>
      <c r="P130" s="121" t="s">
        <v>2</v>
      </c>
      <c r="Q130" s="121" t="s">
        <v>2</v>
      </c>
      <c r="R130" s="121"/>
      <c r="S130" s="121" t="s">
        <v>2</v>
      </c>
      <c r="T130" s="121" t="s">
        <v>2</v>
      </c>
      <c r="U130" s="121" t="s">
        <v>2</v>
      </c>
      <c r="V130" s="121" t="s">
        <v>2</v>
      </c>
      <c r="W130" s="119">
        <v>7</v>
      </c>
      <c r="X130" s="119" t="s">
        <v>10</v>
      </c>
      <c r="Y130" s="119">
        <f>COUNTIF(tblF22021[[#This Row],[CIV]:[BK]],"A")</f>
        <v>12</v>
      </c>
    </row>
    <row r="131" spans="1:25" x14ac:dyDescent="0.3">
      <c r="A131" s="170">
        <v>4</v>
      </c>
      <c r="B131" s="173"/>
      <c r="C131" s="171" t="s">
        <v>171</v>
      </c>
      <c r="D131" s="172" t="s">
        <v>84</v>
      </c>
      <c r="E131" s="172" t="s">
        <v>42</v>
      </c>
      <c r="F131" s="117"/>
      <c r="G131" s="173" t="s">
        <v>800</v>
      </c>
      <c r="H131" s="173">
        <v>2025</v>
      </c>
      <c r="I131" s="173" t="s">
        <v>2</v>
      </c>
      <c r="J131" s="173" t="s">
        <v>2</v>
      </c>
      <c r="K131" s="173" t="s">
        <v>2</v>
      </c>
      <c r="L131" s="173" t="s">
        <v>2</v>
      </c>
      <c r="M131" s="173" t="s">
        <v>2</v>
      </c>
      <c r="N131" s="173" t="s">
        <v>2</v>
      </c>
      <c r="O131" s="173" t="s">
        <v>2</v>
      </c>
      <c r="P131" s="173" t="s">
        <v>2</v>
      </c>
      <c r="Q131" s="173" t="s">
        <v>2</v>
      </c>
      <c r="R131" s="173"/>
      <c r="S131" s="173"/>
      <c r="T131" s="173" t="s">
        <v>2</v>
      </c>
      <c r="U131" s="173" t="s">
        <v>4</v>
      </c>
      <c r="V131" s="173" t="s">
        <v>2</v>
      </c>
      <c r="W131" s="119">
        <v>7</v>
      </c>
      <c r="X131" s="119" t="s">
        <v>10</v>
      </c>
      <c r="Y131" s="119">
        <f>COUNTIF(tblF22021[[#This Row],[CIV]:[BK]],"A")</f>
        <v>11</v>
      </c>
    </row>
    <row r="132" spans="1:25" x14ac:dyDescent="0.3">
      <c r="A132" s="170">
        <v>5</v>
      </c>
      <c r="B132" s="173"/>
      <c r="C132" s="171" t="s">
        <v>220</v>
      </c>
      <c r="D132" s="172" t="s">
        <v>84</v>
      </c>
      <c r="E132" s="172" t="s">
        <v>42</v>
      </c>
      <c r="F132" s="117"/>
      <c r="G132" s="173" t="s">
        <v>800</v>
      </c>
      <c r="H132" s="173">
        <v>2026</v>
      </c>
      <c r="I132" s="121" t="s">
        <v>2</v>
      </c>
      <c r="J132" s="121" t="s">
        <v>2</v>
      </c>
      <c r="K132" s="121" t="s">
        <v>2</v>
      </c>
      <c r="L132" s="121"/>
      <c r="M132" s="121" t="s">
        <v>2</v>
      </c>
      <c r="N132" s="121" t="s">
        <v>2</v>
      </c>
      <c r="O132" s="121" t="s">
        <v>2</v>
      </c>
      <c r="P132" s="121" t="s">
        <v>2</v>
      </c>
      <c r="Q132" s="121" t="s">
        <v>2</v>
      </c>
      <c r="R132" s="121"/>
      <c r="S132" s="121" t="s">
        <v>2</v>
      </c>
      <c r="T132" s="121" t="s">
        <v>2</v>
      </c>
      <c r="U132" s="121" t="s">
        <v>3</v>
      </c>
      <c r="V132" s="121" t="s">
        <v>2</v>
      </c>
      <c r="W132" s="119">
        <v>7</v>
      </c>
      <c r="X132" s="119" t="s">
        <v>10</v>
      </c>
      <c r="Y132" s="119">
        <f>COUNTIF(tblF22021[[#This Row],[CIV]:[BK]],"A")</f>
        <v>11</v>
      </c>
    </row>
    <row r="133" spans="1:25" x14ac:dyDescent="0.3">
      <c r="A133" s="170">
        <v>6</v>
      </c>
      <c r="B133" s="173"/>
      <c r="C133" s="171" t="s">
        <v>611</v>
      </c>
      <c r="D133" s="172" t="s">
        <v>84</v>
      </c>
      <c r="E133" s="172" t="s">
        <v>42</v>
      </c>
      <c r="F133" s="117"/>
      <c r="G133" s="173" t="s">
        <v>800</v>
      </c>
      <c r="H133" s="173">
        <v>2027</v>
      </c>
      <c r="I133" s="121" t="s">
        <v>2</v>
      </c>
      <c r="J133" s="121" t="s">
        <v>2</v>
      </c>
      <c r="K133" s="121" t="s">
        <v>2</v>
      </c>
      <c r="L133" s="121" t="s">
        <v>2</v>
      </c>
      <c r="M133" s="121" t="s">
        <v>2</v>
      </c>
      <c r="N133" s="121" t="s">
        <v>2</v>
      </c>
      <c r="O133" s="121" t="s">
        <v>2</v>
      </c>
      <c r="P133" s="121" t="s">
        <v>2</v>
      </c>
      <c r="Q133" s="121" t="s">
        <v>2</v>
      </c>
      <c r="R133" s="121"/>
      <c r="S133" s="121"/>
      <c r="T133" s="121" t="s">
        <v>2</v>
      </c>
      <c r="U133" s="121" t="s">
        <v>3</v>
      </c>
      <c r="V133" s="121" t="s">
        <v>2</v>
      </c>
      <c r="W133" s="119">
        <v>7</v>
      </c>
      <c r="X133" s="119" t="s">
        <v>10</v>
      </c>
      <c r="Y133" s="119">
        <f>COUNTIF(tblF22021[[#This Row],[CIV]:[BK]],"A")</f>
        <v>11</v>
      </c>
    </row>
    <row r="134" spans="1:25" x14ac:dyDescent="0.3">
      <c r="A134" s="170">
        <v>7</v>
      </c>
      <c r="B134" s="173"/>
      <c r="C134" s="171" t="s">
        <v>595</v>
      </c>
      <c r="D134" s="172" t="s">
        <v>84</v>
      </c>
      <c r="E134" s="172" t="s">
        <v>42</v>
      </c>
      <c r="F134" s="117"/>
      <c r="G134" s="173" t="s">
        <v>800</v>
      </c>
      <c r="H134" s="173">
        <v>2028</v>
      </c>
      <c r="I134" s="121" t="s">
        <v>2</v>
      </c>
      <c r="J134" s="121" t="s">
        <v>2</v>
      </c>
      <c r="K134" s="121" t="s">
        <v>2</v>
      </c>
      <c r="L134" s="121" t="s">
        <v>3</v>
      </c>
      <c r="M134" s="121" t="s">
        <v>2</v>
      </c>
      <c r="N134" s="121" t="s">
        <v>2</v>
      </c>
      <c r="O134" s="121" t="s">
        <v>2</v>
      </c>
      <c r="P134" s="121" t="s">
        <v>2</v>
      </c>
      <c r="Q134" s="121" t="s">
        <v>2</v>
      </c>
      <c r="R134" s="121"/>
      <c r="S134" s="121"/>
      <c r="T134" s="121" t="s">
        <v>2</v>
      </c>
      <c r="U134" s="121" t="s">
        <v>2</v>
      </c>
      <c r="V134" s="121" t="s">
        <v>2</v>
      </c>
      <c r="W134" s="119">
        <v>7</v>
      </c>
      <c r="X134" s="119" t="s">
        <v>10</v>
      </c>
      <c r="Y134" s="119">
        <f>COUNTIF(tblF22021[[#This Row],[CIV]:[BK]],"A")</f>
        <v>11</v>
      </c>
    </row>
    <row r="135" spans="1:25" x14ac:dyDescent="0.3">
      <c r="A135" s="170">
        <v>8</v>
      </c>
      <c r="B135" s="173"/>
      <c r="C135" s="171" t="s">
        <v>177</v>
      </c>
      <c r="D135" s="172" t="s">
        <v>84</v>
      </c>
      <c r="E135" s="172" t="s">
        <v>42</v>
      </c>
      <c r="F135" s="117"/>
      <c r="G135" s="173" t="s">
        <v>800</v>
      </c>
      <c r="H135" s="173">
        <v>2029</v>
      </c>
      <c r="I135" s="121" t="s">
        <v>2</v>
      </c>
      <c r="J135" s="121" t="s">
        <v>2</v>
      </c>
      <c r="K135" s="121" t="s">
        <v>2</v>
      </c>
      <c r="L135" s="121"/>
      <c r="M135" s="121" t="s">
        <v>2</v>
      </c>
      <c r="N135" s="121" t="s">
        <v>2</v>
      </c>
      <c r="O135" s="121" t="s">
        <v>2</v>
      </c>
      <c r="P135" s="121" t="s">
        <v>2</v>
      </c>
      <c r="Q135" s="121" t="s">
        <v>2</v>
      </c>
      <c r="R135" s="121"/>
      <c r="S135" s="121" t="s">
        <v>2</v>
      </c>
      <c r="T135" s="121" t="s">
        <v>2</v>
      </c>
      <c r="U135" s="121" t="s">
        <v>3</v>
      </c>
      <c r="V135" s="121" t="s">
        <v>2</v>
      </c>
      <c r="W135" s="119">
        <v>7</v>
      </c>
      <c r="X135" s="119" t="s">
        <v>10</v>
      </c>
      <c r="Y135" s="119">
        <f>COUNTIF(tblF22021[[#This Row],[CIV]:[BK]],"A")</f>
        <v>11</v>
      </c>
    </row>
    <row r="136" spans="1:25" x14ac:dyDescent="0.3">
      <c r="A136" s="170">
        <v>9</v>
      </c>
      <c r="B136" s="173"/>
      <c r="C136" s="171" t="s">
        <v>339</v>
      </c>
      <c r="D136" s="172" t="s">
        <v>84</v>
      </c>
      <c r="E136" s="172" t="s">
        <v>42</v>
      </c>
      <c r="F136" s="117"/>
      <c r="G136" s="173" t="s">
        <v>800</v>
      </c>
      <c r="H136" s="173">
        <v>2030</v>
      </c>
      <c r="I136" s="121" t="s">
        <v>2</v>
      </c>
      <c r="J136" s="121" t="s">
        <v>2</v>
      </c>
      <c r="K136" s="121" t="s">
        <v>2</v>
      </c>
      <c r="L136" s="121"/>
      <c r="M136" s="121" t="s">
        <v>2</v>
      </c>
      <c r="N136" s="121" t="s">
        <v>2</v>
      </c>
      <c r="O136" s="121" t="s">
        <v>2</v>
      </c>
      <c r="P136" s="121" t="s">
        <v>2</v>
      </c>
      <c r="Q136" s="121" t="s">
        <v>2</v>
      </c>
      <c r="R136" s="121"/>
      <c r="S136" s="121" t="s">
        <v>2</v>
      </c>
      <c r="T136" s="121" t="s">
        <v>2</v>
      </c>
      <c r="U136" s="121" t="s">
        <v>4</v>
      </c>
      <c r="V136" s="121" t="s">
        <v>2</v>
      </c>
      <c r="W136" s="119">
        <v>7</v>
      </c>
      <c r="X136" s="119" t="s">
        <v>10</v>
      </c>
      <c r="Y136" s="119">
        <f>COUNTIF(tblF22021[[#This Row],[CIV]:[BK]],"A")</f>
        <v>11</v>
      </c>
    </row>
    <row r="137" spans="1:25" x14ac:dyDescent="0.3">
      <c r="A137" s="170">
        <v>10</v>
      </c>
      <c r="B137" s="173"/>
      <c r="C137" s="171" t="s">
        <v>340</v>
      </c>
      <c r="D137" s="172" t="s">
        <v>84</v>
      </c>
      <c r="E137" s="172" t="s">
        <v>42</v>
      </c>
      <c r="F137" s="117"/>
      <c r="G137" s="173" t="s">
        <v>800</v>
      </c>
      <c r="H137" s="173">
        <v>2031</v>
      </c>
      <c r="I137" s="121" t="s">
        <v>2</v>
      </c>
      <c r="J137" s="121" t="s">
        <v>2</v>
      </c>
      <c r="K137" s="121" t="s">
        <v>2</v>
      </c>
      <c r="L137" s="121"/>
      <c r="M137" s="121" t="s">
        <v>2</v>
      </c>
      <c r="N137" s="121" t="s">
        <v>2</v>
      </c>
      <c r="O137" s="121" t="s">
        <v>2</v>
      </c>
      <c r="P137" s="121" t="s">
        <v>2</v>
      </c>
      <c r="Q137" s="121" t="s">
        <v>2</v>
      </c>
      <c r="R137" s="121"/>
      <c r="S137" s="121" t="s">
        <v>2</v>
      </c>
      <c r="T137" s="121" t="s">
        <v>2</v>
      </c>
      <c r="U137" s="121" t="s">
        <v>3</v>
      </c>
      <c r="V137" s="121" t="s">
        <v>2</v>
      </c>
      <c r="W137" s="119">
        <v>7</v>
      </c>
      <c r="X137" s="119" t="s">
        <v>10</v>
      </c>
      <c r="Y137" s="119">
        <f>COUNTIF(tblF22021[[#This Row],[CIV]:[BK]],"A")</f>
        <v>11</v>
      </c>
    </row>
    <row r="138" spans="1:25" x14ac:dyDescent="0.3">
      <c r="A138" s="170">
        <v>11</v>
      </c>
      <c r="B138" s="173"/>
      <c r="C138" s="171" t="s">
        <v>341</v>
      </c>
      <c r="D138" s="172" t="s">
        <v>84</v>
      </c>
      <c r="E138" s="172" t="s">
        <v>42</v>
      </c>
      <c r="F138" s="117"/>
      <c r="G138" s="173" t="s">
        <v>800</v>
      </c>
      <c r="H138" s="173">
        <v>2032</v>
      </c>
      <c r="I138" s="121" t="s">
        <v>2</v>
      </c>
      <c r="J138" s="121" t="s">
        <v>2</v>
      </c>
      <c r="K138" s="121" t="s">
        <v>2</v>
      </c>
      <c r="L138" s="121"/>
      <c r="M138" s="121" t="s">
        <v>2</v>
      </c>
      <c r="N138" s="121" t="s">
        <v>2</v>
      </c>
      <c r="O138" s="121" t="s">
        <v>2</v>
      </c>
      <c r="P138" s="121" t="s">
        <v>2</v>
      </c>
      <c r="Q138" s="121" t="s">
        <v>2</v>
      </c>
      <c r="R138" s="121"/>
      <c r="S138" s="121" t="s">
        <v>2</v>
      </c>
      <c r="T138" s="121" t="s">
        <v>2</v>
      </c>
      <c r="U138" s="121" t="s">
        <v>4</v>
      </c>
      <c r="V138" s="121" t="s">
        <v>2</v>
      </c>
      <c r="W138" s="119">
        <v>7</v>
      </c>
      <c r="X138" s="119" t="s">
        <v>10</v>
      </c>
      <c r="Y138" s="119">
        <f>COUNTIF(tblF22021[[#This Row],[CIV]:[BK]],"A")</f>
        <v>11</v>
      </c>
    </row>
    <row r="139" spans="1:25" x14ac:dyDescent="0.3">
      <c r="A139" s="170">
        <v>12</v>
      </c>
      <c r="B139" s="173"/>
      <c r="C139" s="171" t="s">
        <v>653</v>
      </c>
      <c r="D139" s="172" t="s">
        <v>84</v>
      </c>
      <c r="E139" s="172" t="s">
        <v>42</v>
      </c>
      <c r="F139" s="117"/>
      <c r="G139" s="173" t="s">
        <v>800</v>
      </c>
      <c r="H139" s="173">
        <v>2033</v>
      </c>
      <c r="I139" s="121" t="s">
        <v>2</v>
      </c>
      <c r="J139" s="121" t="s">
        <v>2</v>
      </c>
      <c r="K139" s="121" t="s">
        <v>2</v>
      </c>
      <c r="L139" s="121" t="s">
        <v>2</v>
      </c>
      <c r="M139" s="121" t="s">
        <v>2</v>
      </c>
      <c r="N139" s="121" t="s">
        <v>2</v>
      </c>
      <c r="O139" s="121" t="s">
        <v>2</v>
      </c>
      <c r="P139" s="121" t="s">
        <v>2</v>
      </c>
      <c r="Q139" s="121" t="s">
        <v>2</v>
      </c>
      <c r="R139" s="121"/>
      <c r="S139" s="121"/>
      <c r="T139" s="121" t="s">
        <v>2</v>
      </c>
      <c r="U139" s="121" t="s">
        <v>4</v>
      </c>
      <c r="V139" s="121" t="s">
        <v>2</v>
      </c>
      <c r="W139" s="119">
        <v>7</v>
      </c>
      <c r="X139" s="119" t="s">
        <v>10</v>
      </c>
      <c r="Y139" s="119">
        <f>COUNTIF(tblF22021[[#This Row],[CIV]:[BK]],"A")</f>
        <v>11</v>
      </c>
    </row>
    <row r="140" spans="1:25" x14ac:dyDescent="0.3">
      <c r="A140" s="170">
        <v>13</v>
      </c>
      <c r="B140" s="173"/>
      <c r="C140" s="171" t="s">
        <v>235</v>
      </c>
      <c r="D140" s="172" t="s">
        <v>84</v>
      </c>
      <c r="E140" s="172" t="s">
        <v>42</v>
      </c>
      <c r="F140" s="117"/>
      <c r="G140" s="173" t="s">
        <v>800</v>
      </c>
      <c r="H140" s="173">
        <v>2034</v>
      </c>
      <c r="I140" s="121" t="s">
        <v>2</v>
      </c>
      <c r="J140" s="121" t="s">
        <v>2</v>
      </c>
      <c r="K140" s="121" t="s">
        <v>2</v>
      </c>
      <c r="L140" s="121"/>
      <c r="M140" s="121" t="s">
        <v>2</v>
      </c>
      <c r="N140" s="121" t="s">
        <v>2</v>
      </c>
      <c r="O140" s="121" t="s">
        <v>2</v>
      </c>
      <c r="P140" s="121" t="s">
        <v>2</v>
      </c>
      <c r="Q140" s="121" t="s">
        <v>2</v>
      </c>
      <c r="R140" s="121"/>
      <c r="S140" s="121" t="s">
        <v>2</v>
      </c>
      <c r="T140" s="121" t="s">
        <v>2</v>
      </c>
      <c r="U140" s="121" t="s">
        <v>3</v>
      </c>
      <c r="V140" s="121" t="s">
        <v>2</v>
      </c>
      <c r="W140" s="119">
        <v>7</v>
      </c>
      <c r="X140" s="119" t="s">
        <v>10</v>
      </c>
      <c r="Y140" s="119">
        <f>COUNTIF(tblF22021[[#This Row],[CIV]:[BK]],"A")</f>
        <v>11</v>
      </c>
    </row>
    <row r="141" spans="1:25" x14ac:dyDescent="0.3">
      <c r="A141" s="170">
        <v>14</v>
      </c>
      <c r="B141" s="173"/>
      <c r="C141" s="171" t="s">
        <v>342</v>
      </c>
      <c r="D141" s="172" t="s">
        <v>84</v>
      </c>
      <c r="E141" s="172" t="s">
        <v>42</v>
      </c>
      <c r="F141" s="117"/>
      <c r="G141" s="173" t="s">
        <v>800</v>
      </c>
      <c r="H141" s="173">
        <v>2035</v>
      </c>
      <c r="I141" s="173" t="s">
        <v>2</v>
      </c>
      <c r="J141" s="173" t="s">
        <v>2</v>
      </c>
      <c r="K141" s="173" t="s">
        <v>2</v>
      </c>
      <c r="L141" s="173"/>
      <c r="M141" s="173" t="s">
        <v>2</v>
      </c>
      <c r="N141" s="173" t="s">
        <v>2</v>
      </c>
      <c r="O141" s="173" t="s">
        <v>2</v>
      </c>
      <c r="P141" s="173" t="s">
        <v>2</v>
      </c>
      <c r="Q141" s="173" t="s">
        <v>2</v>
      </c>
      <c r="R141" s="173"/>
      <c r="S141" s="173" t="s">
        <v>2</v>
      </c>
      <c r="T141" s="173" t="s">
        <v>2</v>
      </c>
      <c r="U141" s="173" t="s">
        <v>4</v>
      </c>
      <c r="V141" s="173" t="s">
        <v>2</v>
      </c>
      <c r="W141" s="119">
        <v>7</v>
      </c>
      <c r="X141" s="119" t="s">
        <v>10</v>
      </c>
      <c r="Y141" s="119">
        <f>COUNTIF(tblF22021[[#This Row],[CIV]:[BK]],"A")</f>
        <v>11</v>
      </c>
    </row>
    <row r="142" spans="1:25" x14ac:dyDescent="0.3">
      <c r="A142" s="170">
        <v>15</v>
      </c>
      <c r="B142" s="173"/>
      <c r="C142" s="171" t="s">
        <v>238</v>
      </c>
      <c r="D142" s="172" t="s">
        <v>84</v>
      </c>
      <c r="E142" s="172" t="s">
        <v>42</v>
      </c>
      <c r="F142" s="117"/>
      <c r="G142" s="173" t="s">
        <v>800</v>
      </c>
      <c r="H142" s="173">
        <v>2036</v>
      </c>
      <c r="I142" s="173" t="s">
        <v>2</v>
      </c>
      <c r="J142" s="173" t="s">
        <v>2</v>
      </c>
      <c r="K142" s="173" t="s">
        <v>2</v>
      </c>
      <c r="L142" s="173"/>
      <c r="M142" s="173" t="s">
        <v>2</v>
      </c>
      <c r="N142" s="173" t="s">
        <v>2</v>
      </c>
      <c r="O142" s="173" t="s">
        <v>2</v>
      </c>
      <c r="P142" s="173" t="s">
        <v>2</v>
      </c>
      <c r="Q142" s="173" t="s">
        <v>2</v>
      </c>
      <c r="R142" s="173"/>
      <c r="S142" s="173" t="s">
        <v>2</v>
      </c>
      <c r="T142" s="173" t="s">
        <v>2</v>
      </c>
      <c r="U142" s="173" t="s">
        <v>4</v>
      </c>
      <c r="V142" s="173" t="s">
        <v>2</v>
      </c>
      <c r="W142" s="119">
        <v>7</v>
      </c>
      <c r="X142" s="119" t="s">
        <v>10</v>
      </c>
      <c r="Y142" s="119">
        <f>COUNTIF(tblF22021[[#This Row],[CIV]:[BK]],"A")</f>
        <v>11</v>
      </c>
    </row>
    <row r="143" spans="1:25" x14ac:dyDescent="0.3">
      <c r="A143" s="170">
        <v>16</v>
      </c>
      <c r="B143" s="173"/>
      <c r="C143" s="171" t="s">
        <v>218</v>
      </c>
      <c r="D143" s="172" t="s">
        <v>84</v>
      </c>
      <c r="E143" s="172" t="s">
        <v>42</v>
      </c>
      <c r="F143" s="117"/>
      <c r="G143" s="173" t="s">
        <v>800</v>
      </c>
      <c r="H143" s="173">
        <v>2037</v>
      </c>
      <c r="I143" s="121" t="s">
        <v>3</v>
      </c>
      <c r="J143" s="121" t="s">
        <v>2</v>
      </c>
      <c r="K143" s="121" t="s">
        <v>2</v>
      </c>
      <c r="L143" s="121" t="s">
        <v>2</v>
      </c>
      <c r="M143" s="121" t="s">
        <v>2</v>
      </c>
      <c r="N143" s="121" t="s">
        <v>2</v>
      </c>
      <c r="O143" s="121" t="s">
        <v>2</v>
      </c>
      <c r="P143" s="121" t="s">
        <v>2</v>
      </c>
      <c r="Q143" s="121" t="s">
        <v>2</v>
      </c>
      <c r="R143" s="121"/>
      <c r="S143" s="121"/>
      <c r="T143" s="121" t="s">
        <v>2</v>
      </c>
      <c r="U143" s="121" t="s">
        <v>3</v>
      </c>
      <c r="V143" s="121" t="s">
        <v>2</v>
      </c>
      <c r="W143" s="119">
        <v>7</v>
      </c>
      <c r="X143" s="119" t="s">
        <v>10</v>
      </c>
      <c r="Y143" s="119">
        <f>COUNTIF(tblF22021[[#This Row],[CIV]:[BK]],"A")</f>
        <v>10</v>
      </c>
    </row>
    <row r="144" spans="1:25" x14ac:dyDescent="0.3">
      <c r="A144" s="170">
        <v>17</v>
      </c>
      <c r="B144" s="173"/>
      <c r="C144" s="171" t="s">
        <v>330</v>
      </c>
      <c r="D144" s="172" t="s">
        <v>84</v>
      </c>
      <c r="E144" s="172" t="s">
        <v>42</v>
      </c>
      <c r="F144" s="117"/>
      <c r="G144" s="173" t="s">
        <v>800</v>
      </c>
      <c r="H144" s="173">
        <v>2038</v>
      </c>
      <c r="I144" s="121" t="s">
        <v>2</v>
      </c>
      <c r="J144" s="121" t="s">
        <v>2</v>
      </c>
      <c r="K144" s="121" t="s">
        <v>2</v>
      </c>
      <c r="L144" s="121"/>
      <c r="M144" s="121" t="s">
        <v>2</v>
      </c>
      <c r="N144" s="121" t="s">
        <v>2</v>
      </c>
      <c r="O144" s="121" t="s">
        <v>2</v>
      </c>
      <c r="P144" s="121" t="s">
        <v>2</v>
      </c>
      <c r="Q144" s="121" t="s">
        <v>2</v>
      </c>
      <c r="R144" s="121" t="s">
        <v>4</v>
      </c>
      <c r="S144" s="121"/>
      <c r="T144" s="121" t="s">
        <v>2</v>
      </c>
      <c r="U144" s="121" t="s">
        <v>3</v>
      </c>
      <c r="V144" s="121" t="s">
        <v>2</v>
      </c>
      <c r="W144" s="119">
        <v>7</v>
      </c>
      <c r="X144" s="119" t="s">
        <v>10</v>
      </c>
      <c r="Y144" s="119">
        <f>COUNTIF(tblF22021[[#This Row],[CIV]:[BK]],"A")</f>
        <v>10</v>
      </c>
    </row>
    <row r="145" spans="1:25" x14ac:dyDescent="0.3">
      <c r="A145" s="170">
        <v>18</v>
      </c>
      <c r="B145" s="173"/>
      <c r="C145" s="171" t="s">
        <v>546</v>
      </c>
      <c r="D145" s="172" t="s">
        <v>84</v>
      </c>
      <c r="E145" s="172" t="s">
        <v>42</v>
      </c>
      <c r="F145" s="117"/>
      <c r="G145" s="173" t="s">
        <v>800</v>
      </c>
      <c r="H145" s="173">
        <v>2039</v>
      </c>
      <c r="I145" s="121" t="s">
        <v>2</v>
      </c>
      <c r="J145" s="121" t="s">
        <v>2</v>
      </c>
      <c r="K145" s="121" t="s">
        <v>2</v>
      </c>
      <c r="L145" s="121"/>
      <c r="M145" s="121" t="s">
        <v>3</v>
      </c>
      <c r="N145" s="121" t="s">
        <v>2</v>
      </c>
      <c r="O145" s="121" t="s">
        <v>2</v>
      </c>
      <c r="P145" s="121" t="s">
        <v>2</v>
      </c>
      <c r="Q145" s="121" t="s">
        <v>2</v>
      </c>
      <c r="R145" s="121" t="s">
        <v>4</v>
      </c>
      <c r="S145" s="121"/>
      <c r="T145" s="121" t="s">
        <v>2</v>
      </c>
      <c r="U145" s="121" t="s">
        <v>2</v>
      </c>
      <c r="V145" s="121" t="s">
        <v>2</v>
      </c>
      <c r="W145" s="119">
        <v>7</v>
      </c>
      <c r="X145" s="119" t="s">
        <v>10</v>
      </c>
      <c r="Y145" s="119">
        <f>COUNTIF(tblF22021[[#This Row],[CIV]:[BK]],"A")</f>
        <v>10</v>
      </c>
    </row>
    <row r="146" spans="1:25" x14ac:dyDescent="0.3">
      <c r="A146" s="170">
        <v>19</v>
      </c>
      <c r="B146" s="173"/>
      <c r="C146" s="171" t="s">
        <v>598</v>
      </c>
      <c r="D146" s="172" t="s">
        <v>84</v>
      </c>
      <c r="E146" s="172" t="s">
        <v>42</v>
      </c>
      <c r="F146" s="117"/>
      <c r="G146" s="173" t="s">
        <v>800</v>
      </c>
      <c r="H146" s="173">
        <v>2040</v>
      </c>
      <c r="I146" s="121" t="s">
        <v>2</v>
      </c>
      <c r="J146" s="121" t="s">
        <v>2</v>
      </c>
      <c r="K146" s="121" t="s">
        <v>2</v>
      </c>
      <c r="L146" s="121"/>
      <c r="M146" s="121" t="s">
        <v>2</v>
      </c>
      <c r="N146" s="121" t="s">
        <v>2</v>
      </c>
      <c r="O146" s="121" t="s">
        <v>2</v>
      </c>
      <c r="P146" s="121" t="s">
        <v>2</v>
      </c>
      <c r="Q146" s="121" t="s">
        <v>2</v>
      </c>
      <c r="R146" s="121" t="s">
        <v>4</v>
      </c>
      <c r="S146" s="121"/>
      <c r="T146" s="121" t="s">
        <v>2</v>
      </c>
      <c r="U146" s="121" t="s">
        <v>4</v>
      </c>
      <c r="V146" s="121" t="s">
        <v>2</v>
      </c>
      <c r="W146" s="119">
        <v>7</v>
      </c>
      <c r="X146" s="119" t="s">
        <v>10</v>
      </c>
      <c r="Y146" s="119">
        <f>COUNTIF(tblF22021[[#This Row],[CIV]:[BK]],"A")</f>
        <v>10</v>
      </c>
    </row>
    <row r="147" spans="1:25" x14ac:dyDescent="0.3">
      <c r="A147" s="170">
        <v>20</v>
      </c>
      <c r="B147" s="173"/>
      <c r="C147" s="171" t="s">
        <v>175</v>
      </c>
      <c r="D147" s="172" t="s">
        <v>84</v>
      </c>
      <c r="E147" s="172" t="s">
        <v>42</v>
      </c>
      <c r="F147" s="117"/>
      <c r="G147" s="173" t="s">
        <v>800</v>
      </c>
      <c r="H147" s="173">
        <v>2041</v>
      </c>
      <c r="I147" s="121" t="s">
        <v>2</v>
      </c>
      <c r="J147" s="121" t="s">
        <v>2</v>
      </c>
      <c r="K147" s="121" t="s">
        <v>2</v>
      </c>
      <c r="L147" s="121"/>
      <c r="M147" s="121" t="s">
        <v>2</v>
      </c>
      <c r="N147" s="121" t="s">
        <v>2</v>
      </c>
      <c r="O147" s="121" t="s">
        <v>2</v>
      </c>
      <c r="P147" s="121" t="s">
        <v>2</v>
      </c>
      <c r="Q147" s="121" t="s">
        <v>2</v>
      </c>
      <c r="R147" s="121" t="s">
        <v>4</v>
      </c>
      <c r="S147" s="121"/>
      <c r="T147" s="121" t="s">
        <v>2</v>
      </c>
      <c r="U147" s="121" t="s">
        <v>3</v>
      </c>
      <c r="V147" s="121" t="s">
        <v>2</v>
      </c>
      <c r="W147" s="119">
        <v>7</v>
      </c>
      <c r="X147" s="119" t="s">
        <v>10</v>
      </c>
      <c r="Y147" s="119">
        <f>COUNTIF(tblF22021[[#This Row],[CIV]:[BK]],"A")</f>
        <v>10</v>
      </c>
    </row>
    <row r="148" spans="1:25" x14ac:dyDescent="0.3">
      <c r="A148" s="170">
        <v>21</v>
      </c>
      <c r="B148" s="173"/>
      <c r="C148" s="171" t="s">
        <v>621</v>
      </c>
      <c r="D148" s="172" t="s">
        <v>84</v>
      </c>
      <c r="E148" s="172" t="s">
        <v>42</v>
      </c>
      <c r="F148" s="117"/>
      <c r="G148" s="173" t="s">
        <v>800</v>
      </c>
      <c r="H148" s="173">
        <v>2042</v>
      </c>
      <c r="I148" s="173" t="s">
        <v>2</v>
      </c>
      <c r="J148" s="173" t="s">
        <v>2</v>
      </c>
      <c r="K148" s="173" t="s">
        <v>2</v>
      </c>
      <c r="L148" s="173"/>
      <c r="M148" s="173" t="s">
        <v>2</v>
      </c>
      <c r="N148" s="173" t="s">
        <v>2</v>
      </c>
      <c r="O148" s="173" t="s">
        <v>2</v>
      </c>
      <c r="P148" s="173" t="s">
        <v>2</v>
      </c>
      <c r="Q148" s="173" t="s">
        <v>2</v>
      </c>
      <c r="R148" s="173"/>
      <c r="S148" s="173" t="s">
        <v>3</v>
      </c>
      <c r="T148" s="173" t="s">
        <v>2</v>
      </c>
      <c r="U148" s="173" t="s">
        <v>4</v>
      </c>
      <c r="V148" s="173" t="s">
        <v>2</v>
      </c>
      <c r="W148" s="119">
        <v>7</v>
      </c>
      <c r="X148" s="119" t="s">
        <v>10</v>
      </c>
      <c r="Y148" s="119">
        <f>COUNTIF(tblF22021[[#This Row],[CIV]:[BK]],"A")</f>
        <v>10</v>
      </c>
    </row>
    <row r="149" spans="1:25" x14ac:dyDescent="0.3">
      <c r="A149" s="170">
        <v>22</v>
      </c>
      <c r="B149" s="173"/>
      <c r="C149" s="171" t="s">
        <v>333</v>
      </c>
      <c r="D149" s="172" t="s">
        <v>84</v>
      </c>
      <c r="E149" s="172" t="s">
        <v>42</v>
      </c>
      <c r="F149" s="117"/>
      <c r="G149" s="173" t="s">
        <v>800</v>
      </c>
      <c r="H149" s="173">
        <v>2043</v>
      </c>
      <c r="I149" s="121" t="s">
        <v>2</v>
      </c>
      <c r="J149" s="121" t="s">
        <v>2</v>
      </c>
      <c r="K149" s="121" t="s">
        <v>2</v>
      </c>
      <c r="L149" s="121"/>
      <c r="M149" s="121" t="s">
        <v>2</v>
      </c>
      <c r="N149" s="121" t="s">
        <v>2</v>
      </c>
      <c r="O149" s="121" t="s">
        <v>2</v>
      </c>
      <c r="P149" s="121" t="s">
        <v>2</v>
      </c>
      <c r="Q149" s="121" t="s">
        <v>2</v>
      </c>
      <c r="R149" s="121" t="s">
        <v>4</v>
      </c>
      <c r="S149" s="121"/>
      <c r="T149" s="121" t="s">
        <v>2</v>
      </c>
      <c r="U149" s="121" t="s">
        <v>4</v>
      </c>
      <c r="V149" s="121" t="s">
        <v>2</v>
      </c>
      <c r="W149" s="119">
        <v>7</v>
      </c>
      <c r="X149" s="119" t="s">
        <v>10</v>
      </c>
      <c r="Y149" s="119">
        <f>COUNTIF(tblF22021[[#This Row],[CIV]:[BK]],"A")</f>
        <v>10</v>
      </c>
    </row>
    <row r="150" spans="1:25" x14ac:dyDescent="0.3">
      <c r="A150" s="170">
        <v>23</v>
      </c>
      <c r="B150" s="173"/>
      <c r="C150" s="171" t="s">
        <v>86</v>
      </c>
      <c r="D150" s="172" t="s">
        <v>84</v>
      </c>
      <c r="E150" s="172" t="s">
        <v>42</v>
      </c>
      <c r="F150" s="117"/>
      <c r="G150" s="173" t="s">
        <v>800</v>
      </c>
      <c r="H150" s="173">
        <v>2044</v>
      </c>
      <c r="I150" s="121" t="s">
        <v>2</v>
      </c>
      <c r="J150" s="121" t="s">
        <v>2</v>
      </c>
      <c r="K150" s="121" t="s">
        <v>2</v>
      </c>
      <c r="L150" s="121"/>
      <c r="M150" s="121" t="s">
        <v>2</v>
      </c>
      <c r="N150" s="121" t="s">
        <v>2</v>
      </c>
      <c r="O150" s="121" t="s">
        <v>2</v>
      </c>
      <c r="P150" s="121" t="s">
        <v>2</v>
      </c>
      <c r="Q150" s="121" t="s">
        <v>2</v>
      </c>
      <c r="R150" s="121" t="s">
        <v>4</v>
      </c>
      <c r="S150" s="121"/>
      <c r="T150" s="121" t="s">
        <v>2</v>
      </c>
      <c r="U150" s="121" t="s">
        <v>4</v>
      </c>
      <c r="V150" s="121" t="s">
        <v>2</v>
      </c>
      <c r="W150" s="119">
        <v>7</v>
      </c>
      <c r="X150" s="119" t="s">
        <v>10</v>
      </c>
      <c r="Y150" s="119">
        <f>COUNTIF(tblF22021[[#This Row],[CIV]:[BK]],"A")</f>
        <v>10</v>
      </c>
    </row>
    <row r="151" spans="1:25" x14ac:dyDescent="0.3">
      <c r="A151" s="170">
        <v>24</v>
      </c>
      <c r="B151" s="173"/>
      <c r="C151" s="171" t="s">
        <v>580</v>
      </c>
      <c r="D151" s="172" t="s">
        <v>84</v>
      </c>
      <c r="E151" s="172" t="s">
        <v>42</v>
      </c>
      <c r="F151" s="117"/>
      <c r="G151" s="173" t="s">
        <v>800</v>
      </c>
      <c r="H151" s="173">
        <v>2045</v>
      </c>
      <c r="I151" s="121" t="s">
        <v>2</v>
      </c>
      <c r="J151" s="121" t="s">
        <v>3</v>
      </c>
      <c r="K151" s="121" t="s">
        <v>2</v>
      </c>
      <c r="L151" s="121"/>
      <c r="M151" s="121" t="s">
        <v>2</v>
      </c>
      <c r="N151" s="121" t="s">
        <v>2</v>
      </c>
      <c r="O151" s="121" t="s">
        <v>2</v>
      </c>
      <c r="P151" s="121" t="s">
        <v>2</v>
      </c>
      <c r="Q151" s="121" t="s">
        <v>2</v>
      </c>
      <c r="R151" s="121"/>
      <c r="S151" s="121" t="s">
        <v>2</v>
      </c>
      <c r="T151" s="121" t="s">
        <v>2</v>
      </c>
      <c r="U151" s="121" t="s">
        <v>4</v>
      </c>
      <c r="V151" s="121" t="s">
        <v>2</v>
      </c>
      <c r="W151" s="119">
        <v>7</v>
      </c>
      <c r="X151" s="119" t="s">
        <v>10</v>
      </c>
      <c r="Y151" s="119">
        <f>COUNTIF(tblF22021[[#This Row],[CIV]:[BK]],"A")</f>
        <v>10</v>
      </c>
    </row>
    <row r="152" spans="1:25" x14ac:dyDescent="0.3">
      <c r="A152" s="170">
        <v>25</v>
      </c>
      <c r="B152" s="173"/>
      <c r="C152" s="171" t="s">
        <v>224</v>
      </c>
      <c r="D152" s="172" t="s">
        <v>84</v>
      </c>
      <c r="E152" s="172" t="s">
        <v>42</v>
      </c>
      <c r="F152" s="117"/>
      <c r="G152" s="173" t="s">
        <v>800</v>
      </c>
      <c r="H152" s="173">
        <v>2046</v>
      </c>
      <c r="I152" s="121" t="s">
        <v>2</v>
      </c>
      <c r="J152" s="121" t="s">
        <v>2</v>
      </c>
      <c r="K152" s="121" t="s">
        <v>2</v>
      </c>
      <c r="L152" s="121"/>
      <c r="M152" s="121" t="s">
        <v>2</v>
      </c>
      <c r="N152" s="121" t="s">
        <v>2</v>
      </c>
      <c r="O152" s="121" t="s">
        <v>2</v>
      </c>
      <c r="P152" s="121" t="s">
        <v>2</v>
      </c>
      <c r="Q152" s="121" t="s">
        <v>2</v>
      </c>
      <c r="R152" s="121"/>
      <c r="S152" s="121" t="s">
        <v>3</v>
      </c>
      <c r="T152" s="121" t="s">
        <v>2</v>
      </c>
      <c r="U152" s="121" t="s">
        <v>4</v>
      </c>
      <c r="V152" s="121" t="s">
        <v>2</v>
      </c>
      <c r="W152" s="119">
        <v>7</v>
      </c>
      <c r="X152" s="119" t="s">
        <v>10</v>
      </c>
      <c r="Y152" s="119">
        <f>COUNTIF(tblF22021[[#This Row],[CIV]:[BK]],"A")</f>
        <v>10</v>
      </c>
    </row>
    <row r="153" spans="1:25" x14ac:dyDescent="0.3">
      <c r="A153" s="170">
        <v>26</v>
      </c>
      <c r="B153" s="173"/>
      <c r="C153" s="171" t="s">
        <v>655</v>
      </c>
      <c r="D153" s="172" t="s">
        <v>84</v>
      </c>
      <c r="E153" s="172" t="s">
        <v>42</v>
      </c>
      <c r="F153" s="117"/>
      <c r="G153" s="173" t="s">
        <v>800</v>
      </c>
      <c r="H153" s="173">
        <v>2047</v>
      </c>
      <c r="I153" s="121" t="s">
        <v>2</v>
      </c>
      <c r="J153" s="121" t="s">
        <v>2</v>
      </c>
      <c r="K153" s="121" t="s">
        <v>2</v>
      </c>
      <c r="L153" s="121"/>
      <c r="M153" s="121" t="s">
        <v>2</v>
      </c>
      <c r="N153" s="121" t="s">
        <v>2</v>
      </c>
      <c r="O153" s="121" t="s">
        <v>2</v>
      </c>
      <c r="P153" s="121" t="s">
        <v>2</v>
      </c>
      <c r="Q153" s="121" t="s">
        <v>2</v>
      </c>
      <c r="R153" s="121" t="s">
        <v>3</v>
      </c>
      <c r="S153" s="121"/>
      <c r="T153" s="121" t="s">
        <v>2</v>
      </c>
      <c r="U153" s="121" t="s">
        <v>3</v>
      </c>
      <c r="V153" s="121" t="s">
        <v>2</v>
      </c>
      <c r="W153" s="119">
        <v>7</v>
      </c>
      <c r="X153" s="119" t="s">
        <v>10</v>
      </c>
      <c r="Y153" s="119">
        <f>COUNTIF(tblF22021[[#This Row],[CIV]:[BK]],"A")</f>
        <v>10</v>
      </c>
    </row>
    <row r="154" spans="1:25" x14ac:dyDescent="0.3">
      <c r="A154" s="170">
        <v>27</v>
      </c>
      <c r="B154" s="173"/>
      <c r="C154" s="171" t="s">
        <v>179</v>
      </c>
      <c r="D154" s="172" t="s">
        <v>84</v>
      </c>
      <c r="E154" s="172" t="s">
        <v>42</v>
      </c>
      <c r="F154" s="117"/>
      <c r="G154" s="173" t="s">
        <v>800</v>
      </c>
      <c r="H154" s="173">
        <v>2048</v>
      </c>
      <c r="I154" s="121" t="s">
        <v>2</v>
      </c>
      <c r="J154" s="121" t="s">
        <v>2</v>
      </c>
      <c r="K154" s="121" t="s">
        <v>2</v>
      </c>
      <c r="L154" s="121"/>
      <c r="M154" s="121" t="s">
        <v>2</v>
      </c>
      <c r="N154" s="121" t="s">
        <v>2</v>
      </c>
      <c r="O154" s="121" t="s">
        <v>2</v>
      </c>
      <c r="P154" s="121" t="s">
        <v>2</v>
      </c>
      <c r="Q154" s="121" t="s">
        <v>2</v>
      </c>
      <c r="R154" s="121" t="s">
        <v>4</v>
      </c>
      <c r="S154" s="121"/>
      <c r="T154" s="121" t="s">
        <v>2</v>
      </c>
      <c r="U154" s="121" t="s">
        <v>4</v>
      </c>
      <c r="V154" s="121" t="s">
        <v>2</v>
      </c>
      <c r="W154" s="119">
        <v>7</v>
      </c>
      <c r="X154" s="119" t="s">
        <v>10</v>
      </c>
      <c r="Y154" s="119">
        <f>COUNTIF(tblF22021[[#This Row],[CIV]:[BK]],"A")</f>
        <v>10</v>
      </c>
    </row>
    <row r="155" spans="1:25" x14ac:dyDescent="0.3">
      <c r="A155" s="170">
        <v>28</v>
      </c>
      <c r="B155" s="173"/>
      <c r="C155" s="171" t="s">
        <v>187</v>
      </c>
      <c r="D155" s="172" t="s">
        <v>84</v>
      </c>
      <c r="E155" s="172" t="s">
        <v>42</v>
      </c>
      <c r="F155" s="117"/>
      <c r="G155" s="173" t="s">
        <v>800</v>
      </c>
      <c r="H155" s="173">
        <v>2049</v>
      </c>
      <c r="I155" s="121" t="s">
        <v>2</v>
      </c>
      <c r="J155" s="121" t="s">
        <v>2</v>
      </c>
      <c r="K155" s="121" t="s">
        <v>2</v>
      </c>
      <c r="L155" s="121"/>
      <c r="M155" s="121" t="s">
        <v>2</v>
      </c>
      <c r="N155" s="121" t="s">
        <v>2</v>
      </c>
      <c r="O155" s="121" t="s">
        <v>2</v>
      </c>
      <c r="P155" s="121" t="s">
        <v>2</v>
      </c>
      <c r="Q155" s="121" t="s">
        <v>2</v>
      </c>
      <c r="R155" s="121" t="s">
        <v>4</v>
      </c>
      <c r="S155" s="121"/>
      <c r="T155" s="121" t="s">
        <v>2</v>
      </c>
      <c r="U155" s="121" t="s">
        <v>3</v>
      </c>
      <c r="V155" s="121" t="s">
        <v>2</v>
      </c>
      <c r="W155" s="119">
        <v>7</v>
      </c>
      <c r="X155" s="119" t="s">
        <v>10</v>
      </c>
      <c r="Y155" s="119">
        <f>COUNTIF(tblF22021[[#This Row],[CIV]:[BK]],"A")</f>
        <v>10</v>
      </c>
    </row>
    <row r="156" spans="1:25" x14ac:dyDescent="0.3">
      <c r="A156" s="170">
        <v>29</v>
      </c>
      <c r="B156" s="173"/>
      <c r="C156" s="171" t="s">
        <v>585</v>
      </c>
      <c r="D156" s="172" t="s">
        <v>84</v>
      </c>
      <c r="E156" s="172" t="s">
        <v>42</v>
      </c>
      <c r="F156" s="117"/>
      <c r="G156" s="173" t="s">
        <v>800</v>
      </c>
      <c r="H156" s="173">
        <v>2050</v>
      </c>
      <c r="I156" s="121" t="s">
        <v>2</v>
      </c>
      <c r="J156" s="121" t="s">
        <v>2</v>
      </c>
      <c r="K156" s="121" t="s">
        <v>2</v>
      </c>
      <c r="L156" s="121"/>
      <c r="M156" s="121" t="s">
        <v>2</v>
      </c>
      <c r="N156" s="121" t="s">
        <v>2</v>
      </c>
      <c r="O156" s="121" t="s">
        <v>2</v>
      </c>
      <c r="P156" s="121" t="s">
        <v>2</v>
      </c>
      <c r="Q156" s="121" t="s">
        <v>2</v>
      </c>
      <c r="R156" s="121" t="s">
        <v>4</v>
      </c>
      <c r="S156" s="121"/>
      <c r="T156" s="121" t="s">
        <v>2</v>
      </c>
      <c r="U156" s="121" t="s">
        <v>4</v>
      </c>
      <c r="V156" s="121" t="s">
        <v>2</v>
      </c>
      <c r="W156" s="119">
        <v>7</v>
      </c>
      <c r="X156" s="119" t="s">
        <v>10</v>
      </c>
      <c r="Y156" s="119">
        <f>COUNTIF(tblF22021[[#This Row],[CIV]:[BK]],"A")</f>
        <v>10</v>
      </c>
    </row>
    <row r="157" spans="1:25" x14ac:dyDescent="0.3">
      <c r="A157" s="170">
        <v>30</v>
      </c>
      <c r="B157" s="173"/>
      <c r="C157" s="171" t="s">
        <v>331</v>
      </c>
      <c r="D157" s="172" t="s">
        <v>84</v>
      </c>
      <c r="E157" s="172" t="s">
        <v>42</v>
      </c>
      <c r="F157" s="117"/>
      <c r="G157" s="173" t="s">
        <v>800</v>
      </c>
      <c r="H157" s="173">
        <v>2051</v>
      </c>
      <c r="I157" s="121" t="s">
        <v>2</v>
      </c>
      <c r="J157" s="121" t="s">
        <v>3</v>
      </c>
      <c r="K157" s="121" t="s">
        <v>2</v>
      </c>
      <c r="L157" s="121"/>
      <c r="M157" s="121" t="s">
        <v>2</v>
      </c>
      <c r="N157" s="121" t="s">
        <v>2</v>
      </c>
      <c r="O157" s="121" t="s">
        <v>2</v>
      </c>
      <c r="P157" s="121" t="s">
        <v>2</v>
      </c>
      <c r="Q157" s="121" t="s">
        <v>2</v>
      </c>
      <c r="R157" s="121" t="s">
        <v>3</v>
      </c>
      <c r="S157" s="121"/>
      <c r="T157" s="121" t="s">
        <v>2</v>
      </c>
      <c r="U157" s="121" t="s">
        <v>3</v>
      </c>
      <c r="V157" s="121" t="s">
        <v>2</v>
      </c>
      <c r="W157" s="119">
        <v>7</v>
      </c>
      <c r="X157" s="119" t="s">
        <v>10</v>
      </c>
      <c r="Y157" s="119">
        <f>COUNTIF(tblF22021[[#This Row],[CIV]:[BK]],"A")</f>
        <v>9</v>
      </c>
    </row>
    <row r="158" spans="1:25" x14ac:dyDescent="0.3">
      <c r="A158" s="170">
        <v>31</v>
      </c>
      <c r="B158" s="173"/>
      <c r="C158" s="171" t="s">
        <v>534</v>
      </c>
      <c r="D158" s="172" t="s">
        <v>84</v>
      </c>
      <c r="E158" s="172" t="s">
        <v>42</v>
      </c>
      <c r="F158" s="117"/>
      <c r="G158" s="173" t="s">
        <v>800</v>
      </c>
      <c r="H158" s="173">
        <v>2052</v>
      </c>
      <c r="I158" s="121" t="s">
        <v>2</v>
      </c>
      <c r="J158" s="121" t="s">
        <v>2</v>
      </c>
      <c r="K158" s="121" t="s">
        <v>2</v>
      </c>
      <c r="L158" s="121" t="s">
        <v>3</v>
      </c>
      <c r="M158" s="121" t="s">
        <v>2</v>
      </c>
      <c r="N158" s="121" t="s">
        <v>2</v>
      </c>
      <c r="O158" s="121" t="s">
        <v>4</v>
      </c>
      <c r="P158" s="121" t="s">
        <v>2</v>
      </c>
      <c r="Q158" s="121" t="s">
        <v>2</v>
      </c>
      <c r="R158" s="121"/>
      <c r="S158" s="121"/>
      <c r="T158" s="121" t="s">
        <v>2</v>
      </c>
      <c r="U158" s="121" t="s">
        <v>4</v>
      </c>
      <c r="V158" s="121" t="s">
        <v>2</v>
      </c>
      <c r="W158" s="119">
        <v>7</v>
      </c>
      <c r="X158" s="119" t="s">
        <v>10</v>
      </c>
      <c r="Y158" s="119">
        <f>COUNTIF(tblF22021[[#This Row],[CIV]:[BK]],"A")</f>
        <v>9</v>
      </c>
    </row>
    <row r="159" spans="1:25" x14ac:dyDescent="0.3">
      <c r="A159" s="170">
        <v>32</v>
      </c>
      <c r="B159" s="173"/>
      <c r="C159" s="171" t="s">
        <v>543</v>
      </c>
      <c r="D159" s="172" t="s">
        <v>84</v>
      </c>
      <c r="E159" s="172" t="s">
        <v>42</v>
      </c>
      <c r="F159" s="117"/>
      <c r="G159" s="173" t="s">
        <v>800</v>
      </c>
      <c r="H159" s="173">
        <v>2053</v>
      </c>
      <c r="I159" s="121" t="s">
        <v>2</v>
      </c>
      <c r="J159" s="121" t="s">
        <v>2</v>
      </c>
      <c r="K159" s="121" t="s">
        <v>2</v>
      </c>
      <c r="L159" s="121"/>
      <c r="M159" s="121" t="s">
        <v>2</v>
      </c>
      <c r="N159" s="121" t="s">
        <v>2</v>
      </c>
      <c r="O159" s="121" t="s">
        <v>2</v>
      </c>
      <c r="P159" s="121" t="s">
        <v>2</v>
      </c>
      <c r="Q159" s="121" t="s">
        <v>2</v>
      </c>
      <c r="R159" s="121"/>
      <c r="S159" s="121" t="s">
        <v>3</v>
      </c>
      <c r="T159" s="121" t="s">
        <v>4</v>
      </c>
      <c r="U159" s="121" t="s">
        <v>4</v>
      </c>
      <c r="V159" s="121" t="s">
        <v>2</v>
      </c>
      <c r="W159" s="119">
        <v>7</v>
      </c>
      <c r="X159" s="119" t="s">
        <v>10</v>
      </c>
      <c r="Y159" s="119">
        <f>COUNTIF(tblF22021[[#This Row],[CIV]:[BK]],"A")</f>
        <v>9</v>
      </c>
    </row>
    <row r="160" spans="1:25" x14ac:dyDescent="0.3">
      <c r="A160" s="170">
        <v>33</v>
      </c>
      <c r="B160" s="173"/>
      <c r="C160" s="171" t="s">
        <v>185</v>
      </c>
      <c r="D160" s="172" t="s">
        <v>84</v>
      </c>
      <c r="E160" s="172" t="s">
        <v>42</v>
      </c>
      <c r="F160" s="117"/>
      <c r="G160" s="173" t="s">
        <v>800</v>
      </c>
      <c r="H160" s="173">
        <v>2054</v>
      </c>
      <c r="I160" s="121" t="s">
        <v>3</v>
      </c>
      <c r="J160" s="121" t="s">
        <v>2</v>
      </c>
      <c r="K160" s="121" t="s">
        <v>2</v>
      </c>
      <c r="L160" s="121"/>
      <c r="M160" s="121" t="s">
        <v>2</v>
      </c>
      <c r="N160" s="121" t="s">
        <v>2</v>
      </c>
      <c r="O160" s="121" t="s">
        <v>2</v>
      </c>
      <c r="P160" s="121" t="s">
        <v>2</v>
      </c>
      <c r="Q160" s="121" t="s">
        <v>2</v>
      </c>
      <c r="R160" s="121" t="s">
        <v>4</v>
      </c>
      <c r="S160" s="121"/>
      <c r="T160" s="121" t="s">
        <v>2</v>
      </c>
      <c r="U160" s="121" t="s">
        <v>4</v>
      </c>
      <c r="V160" s="121" t="s">
        <v>2</v>
      </c>
      <c r="W160" s="119">
        <v>7</v>
      </c>
      <c r="X160" s="119" t="s">
        <v>10</v>
      </c>
      <c r="Y160" s="119">
        <f>COUNTIF(tblF22021[[#This Row],[CIV]:[BK]],"A")</f>
        <v>9</v>
      </c>
    </row>
    <row r="161" spans="1:25" x14ac:dyDescent="0.3">
      <c r="A161" s="170">
        <v>34</v>
      </c>
      <c r="B161" s="173"/>
      <c r="C161" s="171" t="s">
        <v>326</v>
      </c>
      <c r="D161" s="172" t="s">
        <v>84</v>
      </c>
      <c r="E161" s="172" t="s">
        <v>42</v>
      </c>
      <c r="F161" s="117"/>
      <c r="G161" s="173" t="s">
        <v>800</v>
      </c>
      <c r="H161" s="173">
        <v>2055</v>
      </c>
      <c r="I161" s="121" t="s">
        <v>2</v>
      </c>
      <c r="J161" s="121" t="s">
        <v>2</v>
      </c>
      <c r="K161" s="121" t="s">
        <v>2</v>
      </c>
      <c r="L161" s="121"/>
      <c r="M161" s="121" t="s">
        <v>2</v>
      </c>
      <c r="N161" s="121" t="s">
        <v>2</v>
      </c>
      <c r="O161" s="121" t="s">
        <v>3</v>
      </c>
      <c r="P161" s="121" t="s">
        <v>2</v>
      </c>
      <c r="Q161" s="121" t="s">
        <v>2</v>
      </c>
      <c r="R161" s="121" t="s">
        <v>5</v>
      </c>
      <c r="S161" s="121"/>
      <c r="T161" s="121" t="s">
        <v>2</v>
      </c>
      <c r="U161" s="121" t="s">
        <v>4</v>
      </c>
      <c r="V161" s="121" t="s">
        <v>2</v>
      </c>
      <c r="W161" s="119">
        <v>7</v>
      </c>
      <c r="X161" s="119" t="s">
        <v>10</v>
      </c>
      <c r="Y161" s="119">
        <f>COUNTIF(tblF22021[[#This Row],[CIV]:[BK]],"A")</f>
        <v>9</v>
      </c>
    </row>
    <row r="162" spans="1:25" x14ac:dyDescent="0.3">
      <c r="A162" s="170">
        <v>35</v>
      </c>
      <c r="B162" s="173"/>
      <c r="C162" s="171" t="s">
        <v>577</v>
      </c>
      <c r="D162" s="172" t="s">
        <v>84</v>
      </c>
      <c r="E162" s="172" t="s">
        <v>42</v>
      </c>
      <c r="F162" s="117"/>
      <c r="G162" s="173" t="s">
        <v>800</v>
      </c>
      <c r="H162" s="173">
        <v>2056</v>
      </c>
      <c r="I162" s="121" t="s">
        <v>2</v>
      </c>
      <c r="J162" s="121" t="s">
        <v>2</v>
      </c>
      <c r="K162" s="121" t="s">
        <v>2</v>
      </c>
      <c r="L162" s="121"/>
      <c r="M162" s="121" t="s">
        <v>2</v>
      </c>
      <c r="N162" s="121" t="s">
        <v>2</v>
      </c>
      <c r="O162" s="121" t="s">
        <v>2</v>
      </c>
      <c r="P162" s="121" t="s">
        <v>2</v>
      </c>
      <c r="Q162" s="121" t="s">
        <v>2</v>
      </c>
      <c r="R162" s="121"/>
      <c r="S162" s="121" t="s">
        <v>4</v>
      </c>
      <c r="T162" s="121" t="s">
        <v>2</v>
      </c>
      <c r="U162" s="121" t="s">
        <v>4</v>
      </c>
      <c r="V162" s="121" t="s">
        <v>3</v>
      </c>
      <c r="W162" s="119">
        <v>7</v>
      </c>
      <c r="X162" s="119" t="s">
        <v>10</v>
      </c>
      <c r="Y162" s="119">
        <f>COUNTIF(tblF22021[[#This Row],[CIV]:[BK]],"A")</f>
        <v>9</v>
      </c>
    </row>
    <row r="163" spans="1:25" x14ac:dyDescent="0.3">
      <c r="A163" s="170">
        <v>36</v>
      </c>
      <c r="B163" s="173"/>
      <c r="C163" s="171" t="s">
        <v>216</v>
      </c>
      <c r="D163" s="172" t="s">
        <v>84</v>
      </c>
      <c r="E163" s="172" t="s">
        <v>42</v>
      </c>
      <c r="F163" s="117"/>
      <c r="G163" s="173" t="s">
        <v>800</v>
      </c>
      <c r="H163" s="173">
        <v>2057</v>
      </c>
      <c r="I163" s="173" t="s">
        <v>4</v>
      </c>
      <c r="J163" s="173" t="s">
        <v>2</v>
      </c>
      <c r="K163" s="173" t="s">
        <v>2</v>
      </c>
      <c r="L163" s="173"/>
      <c r="M163" s="173" t="s">
        <v>2</v>
      </c>
      <c r="N163" s="173" t="s">
        <v>2</v>
      </c>
      <c r="O163" s="173" t="s">
        <v>2</v>
      </c>
      <c r="P163" s="173" t="s">
        <v>2</v>
      </c>
      <c r="Q163" s="173" t="s">
        <v>3</v>
      </c>
      <c r="R163" s="173" t="s">
        <v>4</v>
      </c>
      <c r="S163" s="173"/>
      <c r="T163" s="173" t="s">
        <v>2</v>
      </c>
      <c r="U163" s="173" t="s">
        <v>4</v>
      </c>
      <c r="V163" s="173" t="s">
        <v>2</v>
      </c>
      <c r="W163" s="119">
        <v>7</v>
      </c>
      <c r="X163" s="119" t="s">
        <v>10</v>
      </c>
      <c r="Y163" s="119">
        <f>COUNTIF(tblF22021[[#This Row],[CIV]:[BK]],"A")</f>
        <v>8</v>
      </c>
    </row>
    <row r="164" spans="1:25" x14ac:dyDescent="0.3">
      <c r="A164" s="170">
        <v>37</v>
      </c>
      <c r="B164" s="173"/>
      <c r="C164" s="171" t="s">
        <v>587</v>
      </c>
      <c r="D164" s="172" t="s">
        <v>84</v>
      </c>
      <c r="E164" s="172" t="s">
        <v>42</v>
      </c>
      <c r="F164" s="117"/>
      <c r="G164" s="173" t="s">
        <v>800</v>
      </c>
      <c r="H164" s="173">
        <v>2058</v>
      </c>
      <c r="I164" s="121" t="s">
        <v>2</v>
      </c>
      <c r="J164" s="121" t="s">
        <v>2</v>
      </c>
      <c r="K164" s="121" t="s">
        <v>3</v>
      </c>
      <c r="L164" s="121"/>
      <c r="M164" s="121" t="s">
        <v>2</v>
      </c>
      <c r="N164" s="121" t="s">
        <v>2</v>
      </c>
      <c r="O164" s="121" t="s">
        <v>3</v>
      </c>
      <c r="P164" s="121" t="s">
        <v>2</v>
      </c>
      <c r="Q164" s="121" t="s">
        <v>2</v>
      </c>
      <c r="R164" s="121" t="s">
        <v>4</v>
      </c>
      <c r="S164" s="121"/>
      <c r="T164" s="121" t="s">
        <v>2</v>
      </c>
      <c r="U164" s="121" t="s">
        <v>4</v>
      </c>
      <c r="V164" s="121" t="s">
        <v>2</v>
      </c>
      <c r="W164" s="119">
        <v>7</v>
      </c>
      <c r="X164" s="119" t="s">
        <v>10</v>
      </c>
      <c r="Y164" s="119">
        <f>COUNTIF(tblF22021[[#This Row],[CIV]:[BK]],"A")</f>
        <v>8</v>
      </c>
    </row>
    <row r="165" spans="1:25" x14ac:dyDescent="0.3">
      <c r="A165" s="170">
        <v>38</v>
      </c>
      <c r="B165" s="173"/>
      <c r="C165" s="171" t="s">
        <v>169</v>
      </c>
      <c r="D165" s="172" t="s">
        <v>84</v>
      </c>
      <c r="E165" s="172" t="s">
        <v>42</v>
      </c>
      <c r="F165" s="117"/>
      <c r="G165" s="173" t="s">
        <v>800</v>
      </c>
      <c r="H165" s="173">
        <v>2059</v>
      </c>
      <c r="I165" s="121" t="s">
        <v>2</v>
      </c>
      <c r="J165" s="121" t="s">
        <v>2</v>
      </c>
      <c r="K165" s="121" t="s">
        <v>2</v>
      </c>
      <c r="L165" s="121"/>
      <c r="M165" s="121" t="s">
        <v>2</v>
      </c>
      <c r="N165" s="121" t="s">
        <v>2</v>
      </c>
      <c r="O165" s="121" t="s">
        <v>2</v>
      </c>
      <c r="P165" s="121" t="s">
        <v>3</v>
      </c>
      <c r="Q165" s="121" t="s">
        <v>3</v>
      </c>
      <c r="R165" s="121" t="s">
        <v>4</v>
      </c>
      <c r="S165" s="121"/>
      <c r="T165" s="121" t="s">
        <v>2</v>
      </c>
      <c r="U165" s="121" t="s">
        <v>4</v>
      </c>
      <c r="V165" s="121" t="s">
        <v>2</v>
      </c>
      <c r="W165" s="119">
        <v>7</v>
      </c>
      <c r="X165" s="119" t="s">
        <v>10</v>
      </c>
      <c r="Y165" s="119">
        <f>COUNTIF(tblF22021[[#This Row],[CIV]:[BK]],"A")</f>
        <v>8</v>
      </c>
    </row>
    <row r="166" spans="1:25" x14ac:dyDescent="0.3">
      <c r="A166" s="170">
        <v>39</v>
      </c>
      <c r="B166" s="173"/>
      <c r="C166" s="171" t="s">
        <v>646</v>
      </c>
      <c r="D166" s="172" t="s">
        <v>84</v>
      </c>
      <c r="E166" s="172" t="s">
        <v>42</v>
      </c>
      <c r="F166" s="117"/>
      <c r="G166" s="173" t="s">
        <v>800</v>
      </c>
      <c r="H166" s="173">
        <v>2060</v>
      </c>
      <c r="I166" s="173" t="s">
        <v>2</v>
      </c>
      <c r="J166" s="173" t="s">
        <v>3</v>
      </c>
      <c r="K166" s="173" t="s">
        <v>2</v>
      </c>
      <c r="L166" s="173" t="s">
        <v>2</v>
      </c>
      <c r="M166" s="173" t="s">
        <v>2</v>
      </c>
      <c r="N166" s="173" t="s">
        <v>2</v>
      </c>
      <c r="O166" s="173" t="s">
        <v>3</v>
      </c>
      <c r="P166" s="173" t="s">
        <v>4</v>
      </c>
      <c r="Q166" s="173" t="s">
        <v>2</v>
      </c>
      <c r="R166" s="173"/>
      <c r="S166" s="173"/>
      <c r="T166" s="173" t="s">
        <v>2</v>
      </c>
      <c r="U166" s="173" t="s">
        <v>4</v>
      </c>
      <c r="V166" s="173" t="s">
        <v>2</v>
      </c>
      <c r="W166" s="119">
        <v>7</v>
      </c>
      <c r="X166" s="119" t="s">
        <v>10</v>
      </c>
      <c r="Y166" s="119">
        <f>COUNTIF(tblF22021[[#This Row],[CIV]:[BK]],"A")</f>
        <v>8</v>
      </c>
    </row>
    <row r="167" spans="1:25" x14ac:dyDescent="0.3">
      <c r="A167" s="170">
        <v>40</v>
      </c>
      <c r="B167" s="173"/>
      <c r="C167" s="171" t="s">
        <v>566</v>
      </c>
      <c r="D167" s="172" t="s">
        <v>84</v>
      </c>
      <c r="E167" s="172" t="s">
        <v>42</v>
      </c>
      <c r="F167" s="117"/>
      <c r="G167" s="173" t="s">
        <v>800</v>
      </c>
      <c r="H167" s="173">
        <v>2061</v>
      </c>
      <c r="I167" s="173" t="s">
        <v>2</v>
      </c>
      <c r="J167" s="173" t="s">
        <v>2</v>
      </c>
      <c r="K167" s="173" t="s">
        <v>2</v>
      </c>
      <c r="L167" s="173"/>
      <c r="M167" s="173" t="s">
        <v>2</v>
      </c>
      <c r="N167" s="173" t="s">
        <v>2</v>
      </c>
      <c r="O167" s="173" t="s">
        <v>4</v>
      </c>
      <c r="P167" s="173" t="s">
        <v>2</v>
      </c>
      <c r="Q167" s="173" t="s">
        <v>2</v>
      </c>
      <c r="R167" s="173" t="s">
        <v>4</v>
      </c>
      <c r="S167" s="173"/>
      <c r="T167" s="173" t="s">
        <v>3</v>
      </c>
      <c r="U167" s="173" t="s">
        <v>4</v>
      </c>
      <c r="V167" s="173" t="s">
        <v>2</v>
      </c>
      <c r="W167" s="119">
        <v>7</v>
      </c>
      <c r="X167" s="119" t="s">
        <v>10</v>
      </c>
      <c r="Y167" s="119">
        <f>COUNTIF(tblF22021[[#This Row],[CIV]:[BK]],"A")</f>
        <v>8</v>
      </c>
    </row>
    <row r="168" spans="1:25" x14ac:dyDescent="0.3">
      <c r="A168" s="170">
        <v>41</v>
      </c>
      <c r="B168" s="173"/>
      <c r="C168" s="171" t="s">
        <v>173</v>
      </c>
      <c r="D168" s="172" t="s">
        <v>84</v>
      </c>
      <c r="E168" s="172" t="s">
        <v>42</v>
      </c>
      <c r="F168" s="117"/>
      <c r="G168" s="173" t="s">
        <v>800</v>
      </c>
      <c r="H168" s="173">
        <v>2062</v>
      </c>
      <c r="I168" s="121" t="s">
        <v>2</v>
      </c>
      <c r="J168" s="121" t="s">
        <v>2</v>
      </c>
      <c r="K168" s="121" t="s">
        <v>2</v>
      </c>
      <c r="L168" s="121" t="s">
        <v>3</v>
      </c>
      <c r="M168" s="121" t="s">
        <v>2</v>
      </c>
      <c r="N168" s="121" t="s">
        <v>3</v>
      </c>
      <c r="O168" s="121" t="s">
        <v>2</v>
      </c>
      <c r="P168" s="121" t="s">
        <v>2</v>
      </c>
      <c r="Q168" s="121" t="s">
        <v>2</v>
      </c>
      <c r="R168" s="121"/>
      <c r="S168" s="121"/>
      <c r="T168" s="121" t="s">
        <v>3</v>
      </c>
      <c r="U168" s="121" t="s">
        <v>4</v>
      </c>
      <c r="V168" s="121" t="s">
        <v>2</v>
      </c>
      <c r="W168" s="119">
        <v>7</v>
      </c>
      <c r="X168" s="119" t="s">
        <v>10</v>
      </c>
      <c r="Y168" s="119">
        <f>COUNTIF(tblF22021[[#This Row],[CIV]:[BK]],"A")</f>
        <v>8</v>
      </c>
    </row>
    <row r="169" spans="1:25" x14ac:dyDescent="0.3">
      <c r="A169" s="170">
        <v>42</v>
      </c>
      <c r="B169" s="173"/>
      <c r="C169" s="171" t="s">
        <v>537</v>
      </c>
      <c r="D169" s="172" t="s">
        <v>84</v>
      </c>
      <c r="E169" s="172" t="s">
        <v>42</v>
      </c>
      <c r="F169" s="117"/>
      <c r="G169" s="173" t="s">
        <v>800</v>
      </c>
      <c r="H169" s="173">
        <v>2063</v>
      </c>
      <c r="I169" s="121" t="s">
        <v>2</v>
      </c>
      <c r="J169" s="121" t="s">
        <v>2</v>
      </c>
      <c r="K169" s="121" t="s">
        <v>3</v>
      </c>
      <c r="L169" s="121"/>
      <c r="M169" s="121" t="s">
        <v>2</v>
      </c>
      <c r="N169" s="121" t="s">
        <v>2</v>
      </c>
      <c r="O169" s="121" t="s">
        <v>3</v>
      </c>
      <c r="P169" s="121" t="s">
        <v>2</v>
      </c>
      <c r="Q169" s="121" t="s">
        <v>2</v>
      </c>
      <c r="R169" s="121" t="s">
        <v>5</v>
      </c>
      <c r="S169" s="121"/>
      <c r="T169" s="121" t="s">
        <v>2</v>
      </c>
      <c r="U169" s="121" t="s">
        <v>4</v>
      </c>
      <c r="V169" s="121" t="s">
        <v>2</v>
      </c>
      <c r="W169" s="119">
        <v>7</v>
      </c>
      <c r="X169" s="119" t="s">
        <v>10</v>
      </c>
      <c r="Y169" s="119">
        <f>COUNTIF(tblF22021[[#This Row],[CIV]:[BK]],"A")</f>
        <v>8</v>
      </c>
    </row>
    <row r="170" spans="1:25" x14ac:dyDescent="0.3">
      <c r="A170" s="170">
        <v>43</v>
      </c>
      <c r="B170" s="173"/>
      <c r="C170" s="171" t="s">
        <v>181</v>
      </c>
      <c r="D170" s="172" t="s">
        <v>84</v>
      </c>
      <c r="E170" s="172" t="s">
        <v>42</v>
      </c>
      <c r="F170" s="117"/>
      <c r="G170" s="173" t="s">
        <v>800</v>
      </c>
      <c r="H170" s="173">
        <v>2064</v>
      </c>
      <c r="I170" s="121" t="s">
        <v>2</v>
      </c>
      <c r="J170" s="121" t="s">
        <v>2</v>
      </c>
      <c r="K170" s="121" t="s">
        <v>2</v>
      </c>
      <c r="L170" s="121"/>
      <c r="M170" s="121" t="s">
        <v>2</v>
      </c>
      <c r="N170" s="121" t="s">
        <v>2</v>
      </c>
      <c r="O170" s="121" t="s">
        <v>2</v>
      </c>
      <c r="P170" s="121" t="s">
        <v>3</v>
      </c>
      <c r="Q170" s="121" t="s">
        <v>2</v>
      </c>
      <c r="R170" s="121" t="s">
        <v>4</v>
      </c>
      <c r="S170" s="121"/>
      <c r="T170" s="121" t="s">
        <v>3</v>
      </c>
      <c r="U170" s="121" t="s">
        <v>4</v>
      </c>
      <c r="V170" s="121" t="s">
        <v>2</v>
      </c>
      <c r="W170" s="119">
        <v>7</v>
      </c>
      <c r="X170" s="119" t="s">
        <v>10</v>
      </c>
      <c r="Y170" s="119">
        <f>COUNTIF(tblF22021[[#This Row],[CIV]:[BK]],"A")</f>
        <v>8</v>
      </c>
    </row>
    <row r="171" spans="1:25" x14ac:dyDescent="0.3">
      <c r="A171" s="170">
        <v>44</v>
      </c>
      <c r="B171" s="173"/>
      <c r="C171" s="171" t="s">
        <v>294</v>
      </c>
      <c r="D171" s="172" t="s">
        <v>84</v>
      </c>
      <c r="E171" s="172" t="s">
        <v>42</v>
      </c>
      <c r="F171" s="117"/>
      <c r="G171" s="173" t="s">
        <v>800</v>
      </c>
      <c r="H171" s="173">
        <v>2065</v>
      </c>
      <c r="I171" s="173" t="s">
        <v>2</v>
      </c>
      <c r="J171" s="173" t="s">
        <v>2</v>
      </c>
      <c r="K171" s="173" t="s">
        <v>2</v>
      </c>
      <c r="L171" s="173"/>
      <c r="M171" s="173" t="s">
        <v>3</v>
      </c>
      <c r="N171" s="173" t="s">
        <v>2</v>
      </c>
      <c r="O171" s="173" t="s">
        <v>2</v>
      </c>
      <c r="P171" s="173" t="s">
        <v>3</v>
      </c>
      <c r="Q171" s="173" t="s">
        <v>2</v>
      </c>
      <c r="R171" s="173" t="s">
        <v>4</v>
      </c>
      <c r="S171" s="173"/>
      <c r="T171" s="173" t="s">
        <v>2</v>
      </c>
      <c r="U171" s="173" t="s">
        <v>3</v>
      </c>
      <c r="V171" s="173" t="s">
        <v>2</v>
      </c>
      <c r="W171" s="119">
        <v>7</v>
      </c>
      <c r="X171" s="119" t="s">
        <v>10</v>
      </c>
      <c r="Y171" s="119">
        <f>COUNTIF(tblF22021[[#This Row],[CIV]:[BK]],"A")</f>
        <v>8</v>
      </c>
    </row>
    <row r="172" spans="1:25" x14ac:dyDescent="0.3">
      <c r="A172" s="170">
        <v>45</v>
      </c>
      <c r="B172" s="173"/>
      <c r="C172" s="171" t="s">
        <v>335</v>
      </c>
      <c r="D172" s="172" t="s">
        <v>84</v>
      </c>
      <c r="E172" s="172" t="s">
        <v>42</v>
      </c>
      <c r="F172" s="117"/>
      <c r="G172" s="173" t="s">
        <v>800</v>
      </c>
      <c r="H172" s="173">
        <v>2066</v>
      </c>
      <c r="I172" s="121" t="s">
        <v>2</v>
      </c>
      <c r="J172" s="121" t="s">
        <v>3</v>
      </c>
      <c r="K172" s="121" t="s">
        <v>2</v>
      </c>
      <c r="L172" s="121"/>
      <c r="M172" s="121" t="s">
        <v>2</v>
      </c>
      <c r="N172" s="121" t="s">
        <v>2</v>
      </c>
      <c r="O172" s="121" t="s">
        <v>2</v>
      </c>
      <c r="P172" s="121" t="s">
        <v>2</v>
      </c>
      <c r="Q172" s="121" t="s">
        <v>2</v>
      </c>
      <c r="R172" s="121" t="s">
        <v>4</v>
      </c>
      <c r="S172" s="121"/>
      <c r="T172" s="121" t="s">
        <v>2</v>
      </c>
      <c r="U172" s="121" t="s">
        <v>4</v>
      </c>
      <c r="V172" s="121" t="s">
        <v>3</v>
      </c>
      <c r="W172" s="119">
        <v>7</v>
      </c>
      <c r="X172" s="119" t="s">
        <v>10</v>
      </c>
      <c r="Y172" s="119">
        <f>COUNTIF(tblF22021[[#This Row],[CIV]:[BK]],"A")</f>
        <v>8</v>
      </c>
    </row>
    <row r="173" spans="1:25" x14ac:dyDescent="0.3">
      <c r="A173" s="170">
        <v>46</v>
      </c>
      <c r="B173" s="173"/>
      <c r="C173" s="171" t="s">
        <v>183</v>
      </c>
      <c r="D173" s="172" t="s">
        <v>84</v>
      </c>
      <c r="E173" s="172" t="s">
        <v>42</v>
      </c>
      <c r="F173" s="117"/>
      <c r="G173" s="173" t="s">
        <v>800</v>
      </c>
      <c r="H173" s="173">
        <v>2067</v>
      </c>
      <c r="I173" s="121" t="s">
        <v>2</v>
      </c>
      <c r="J173" s="121" t="s">
        <v>2</v>
      </c>
      <c r="K173" s="121" t="s">
        <v>2</v>
      </c>
      <c r="L173" s="121"/>
      <c r="M173" s="121" t="s">
        <v>2</v>
      </c>
      <c r="N173" s="121" t="s">
        <v>2</v>
      </c>
      <c r="O173" s="121" t="s">
        <v>3</v>
      </c>
      <c r="P173" s="121" t="s">
        <v>3</v>
      </c>
      <c r="Q173" s="121" t="s">
        <v>2</v>
      </c>
      <c r="R173" s="121" t="s">
        <v>4</v>
      </c>
      <c r="S173" s="121"/>
      <c r="T173" s="121" t="s">
        <v>2</v>
      </c>
      <c r="U173" s="121" t="s">
        <v>4</v>
      </c>
      <c r="V173" s="121" t="s">
        <v>2</v>
      </c>
      <c r="W173" s="119">
        <v>7</v>
      </c>
      <c r="X173" s="119" t="s">
        <v>10</v>
      </c>
      <c r="Y173" s="119">
        <f>COUNTIF(tblF22021[[#This Row],[CIV]:[BK]],"A")</f>
        <v>8</v>
      </c>
    </row>
    <row r="174" spans="1:25" x14ac:dyDescent="0.3">
      <c r="A174" s="170">
        <v>47</v>
      </c>
      <c r="B174" s="173"/>
      <c r="C174" s="171" t="s">
        <v>847</v>
      </c>
      <c r="D174" s="172" t="s">
        <v>84</v>
      </c>
      <c r="E174" s="172" t="s">
        <v>42</v>
      </c>
      <c r="F174" s="117"/>
      <c r="G174" s="173" t="s">
        <v>800</v>
      </c>
      <c r="H174" s="173">
        <v>2068</v>
      </c>
      <c r="I174" s="121" t="s">
        <v>2</v>
      </c>
      <c r="J174" s="121" t="s">
        <v>3</v>
      </c>
      <c r="K174" s="121" t="s">
        <v>3</v>
      </c>
      <c r="L174" s="121" t="s">
        <v>4</v>
      </c>
      <c r="M174" s="121" t="s">
        <v>2</v>
      </c>
      <c r="N174" s="121" t="s">
        <v>2</v>
      </c>
      <c r="O174" s="121" t="s">
        <v>2</v>
      </c>
      <c r="P174" s="121" t="s">
        <v>2</v>
      </c>
      <c r="Q174" s="121" t="s">
        <v>2</v>
      </c>
      <c r="R174" s="121"/>
      <c r="S174" s="121"/>
      <c r="T174" s="121" t="s">
        <v>2</v>
      </c>
      <c r="U174" s="121" t="s">
        <v>4</v>
      </c>
      <c r="V174" s="121" t="s">
        <v>2</v>
      </c>
      <c r="W174" s="119">
        <v>7</v>
      </c>
      <c r="X174" s="119" t="s">
        <v>10</v>
      </c>
      <c r="Y174" s="119">
        <f>COUNTIF(tblF22021[[#This Row],[CIV]:[BK]],"A")</f>
        <v>8</v>
      </c>
    </row>
    <row r="175" spans="1:25" x14ac:dyDescent="0.3">
      <c r="A175" s="170">
        <v>48</v>
      </c>
      <c r="B175" s="173"/>
      <c r="C175" s="171" t="s">
        <v>607</v>
      </c>
      <c r="D175" s="172" t="s">
        <v>84</v>
      </c>
      <c r="E175" s="172" t="s">
        <v>42</v>
      </c>
      <c r="F175" s="117"/>
      <c r="G175" s="173" t="s">
        <v>800</v>
      </c>
      <c r="H175" s="173">
        <v>2069</v>
      </c>
      <c r="I175" s="121" t="s">
        <v>2</v>
      </c>
      <c r="J175" s="121" t="s">
        <v>2</v>
      </c>
      <c r="K175" s="121" t="s">
        <v>2</v>
      </c>
      <c r="L175" s="121"/>
      <c r="M175" s="121" t="s">
        <v>2</v>
      </c>
      <c r="N175" s="121" t="s">
        <v>2</v>
      </c>
      <c r="O175" s="121" t="s">
        <v>3</v>
      </c>
      <c r="P175" s="121" t="s">
        <v>3</v>
      </c>
      <c r="Q175" s="121" t="s">
        <v>2</v>
      </c>
      <c r="R175" s="121"/>
      <c r="S175" s="121" t="s">
        <v>2</v>
      </c>
      <c r="T175" s="121" t="s">
        <v>3</v>
      </c>
      <c r="U175" s="121" t="s">
        <v>4</v>
      </c>
      <c r="V175" s="121" t="s">
        <v>2</v>
      </c>
      <c r="W175" s="119">
        <v>7</v>
      </c>
      <c r="X175" s="119" t="s">
        <v>10</v>
      </c>
      <c r="Y175" s="119">
        <f>COUNTIF(tblF22021[[#This Row],[CIV]:[BK]],"A")</f>
        <v>8</v>
      </c>
    </row>
    <row r="176" spans="1:25" x14ac:dyDescent="0.3">
      <c r="A176" s="170">
        <v>49</v>
      </c>
      <c r="B176" s="173"/>
      <c r="C176" s="171" t="s">
        <v>191</v>
      </c>
      <c r="D176" s="172" t="s">
        <v>84</v>
      </c>
      <c r="E176" s="172" t="s">
        <v>42</v>
      </c>
      <c r="F176" s="117"/>
      <c r="G176" s="173" t="s">
        <v>800</v>
      </c>
      <c r="H176" s="173">
        <v>2070</v>
      </c>
      <c r="I176" s="121" t="s">
        <v>2</v>
      </c>
      <c r="J176" s="121" t="s">
        <v>2</v>
      </c>
      <c r="K176" s="121" t="s">
        <v>2</v>
      </c>
      <c r="L176" s="121"/>
      <c r="M176" s="121" t="s">
        <v>2</v>
      </c>
      <c r="N176" s="121" t="s">
        <v>2</v>
      </c>
      <c r="O176" s="121" t="s">
        <v>2</v>
      </c>
      <c r="P176" s="121" t="s">
        <v>2</v>
      </c>
      <c r="Q176" s="121" t="s">
        <v>2</v>
      </c>
      <c r="R176" s="121" t="s">
        <v>4</v>
      </c>
      <c r="S176" s="121"/>
      <c r="T176" s="121" t="s">
        <v>3</v>
      </c>
      <c r="U176" s="121" t="s">
        <v>3</v>
      </c>
      <c r="V176" s="121" t="s">
        <v>4</v>
      </c>
      <c r="W176" s="119">
        <v>7</v>
      </c>
      <c r="X176" s="119" t="s">
        <v>10</v>
      </c>
      <c r="Y176" s="119">
        <f>COUNTIF(tblF22021[[#This Row],[CIV]:[BK]],"A")</f>
        <v>8</v>
      </c>
    </row>
    <row r="177" spans="1:25" x14ac:dyDescent="0.3">
      <c r="A177" s="170">
        <v>50</v>
      </c>
      <c r="B177" s="173"/>
      <c r="C177" s="171" t="s">
        <v>572</v>
      </c>
      <c r="D177" s="172" t="s">
        <v>84</v>
      </c>
      <c r="E177" s="172" t="s">
        <v>42</v>
      </c>
      <c r="F177" s="117"/>
      <c r="G177" s="173" t="s">
        <v>800</v>
      </c>
      <c r="H177" s="173">
        <v>2071</v>
      </c>
      <c r="I177" s="121" t="s">
        <v>3</v>
      </c>
      <c r="J177" s="121" t="s">
        <v>3</v>
      </c>
      <c r="K177" s="121" t="s">
        <v>3</v>
      </c>
      <c r="L177" s="121"/>
      <c r="M177" s="121" t="s">
        <v>2</v>
      </c>
      <c r="N177" s="121" t="s">
        <v>2</v>
      </c>
      <c r="O177" s="121" t="s">
        <v>2</v>
      </c>
      <c r="P177" s="121" t="s">
        <v>2</v>
      </c>
      <c r="Q177" s="121" t="s">
        <v>2</v>
      </c>
      <c r="R177" s="121"/>
      <c r="S177" s="121" t="s">
        <v>4</v>
      </c>
      <c r="T177" s="121" t="s">
        <v>2</v>
      </c>
      <c r="U177" s="121" t="s">
        <v>4</v>
      </c>
      <c r="V177" s="121" t="s">
        <v>2</v>
      </c>
      <c r="W177" s="119">
        <v>7</v>
      </c>
      <c r="X177" s="119" t="s">
        <v>10</v>
      </c>
      <c r="Y177" s="119">
        <f>COUNTIF(tblF22021[[#This Row],[CIV]:[BK]],"A")</f>
        <v>7</v>
      </c>
    </row>
    <row r="178" spans="1:25" x14ac:dyDescent="0.3">
      <c r="A178" s="170">
        <v>51</v>
      </c>
      <c r="B178" s="173"/>
      <c r="C178" s="171" t="s">
        <v>604</v>
      </c>
      <c r="D178" s="172" t="s">
        <v>84</v>
      </c>
      <c r="E178" s="172" t="s">
        <v>42</v>
      </c>
      <c r="F178" s="117"/>
      <c r="G178" s="173" t="s">
        <v>800</v>
      </c>
      <c r="H178" s="173">
        <v>2072</v>
      </c>
      <c r="I178" s="121" t="s">
        <v>3</v>
      </c>
      <c r="J178" s="121" t="s">
        <v>3</v>
      </c>
      <c r="K178" s="121" t="s">
        <v>2</v>
      </c>
      <c r="L178" s="121"/>
      <c r="M178" s="121" t="s">
        <v>2</v>
      </c>
      <c r="N178" s="121" t="s">
        <v>3</v>
      </c>
      <c r="O178" s="121" t="s">
        <v>2</v>
      </c>
      <c r="P178" s="121" t="s">
        <v>2</v>
      </c>
      <c r="Q178" s="121" t="s">
        <v>2</v>
      </c>
      <c r="R178" s="121" t="s">
        <v>4</v>
      </c>
      <c r="S178" s="121"/>
      <c r="T178" s="121" t="s">
        <v>2</v>
      </c>
      <c r="U178" s="121" t="s">
        <v>3</v>
      </c>
      <c r="V178" s="121" t="s">
        <v>2</v>
      </c>
      <c r="W178" s="119">
        <v>7</v>
      </c>
      <c r="X178" s="119" t="s">
        <v>10</v>
      </c>
      <c r="Y178" s="119">
        <f>COUNTIF(tblF22021[[#This Row],[CIV]:[BK]],"A")</f>
        <v>7</v>
      </c>
    </row>
    <row r="179" spans="1:25" x14ac:dyDescent="0.3">
      <c r="A179" s="170">
        <v>52</v>
      </c>
      <c r="B179" s="173"/>
      <c r="C179" s="171" t="s">
        <v>643</v>
      </c>
      <c r="D179" s="172" t="s">
        <v>84</v>
      </c>
      <c r="E179" s="172" t="s">
        <v>42</v>
      </c>
      <c r="F179" s="117"/>
      <c r="G179" s="173" t="s">
        <v>800</v>
      </c>
      <c r="H179" s="173">
        <v>2073</v>
      </c>
      <c r="I179" s="121" t="s">
        <v>2</v>
      </c>
      <c r="J179" s="121" t="s">
        <v>3</v>
      </c>
      <c r="K179" s="121" t="s">
        <v>2</v>
      </c>
      <c r="L179" s="121"/>
      <c r="M179" s="121" t="s">
        <v>2</v>
      </c>
      <c r="N179" s="121" t="s">
        <v>2</v>
      </c>
      <c r="O179" s="121" t="s">
        <v>3</v>
      </c>
      <c r="P179" s="121" t="s">
        <v>3</v>
      </c>
      <c r="Q179" s="121" t="s">
        <v>2</v>
      </c>
      <c r="R179" s="121" t="s">
        <v>4</v>
      </c>
      <c r="S179" s="121"/>
      <c r="T179" s="121" t="s">
        <v>2</v>
      </c>
      <c r="U179" s="121" t="s">
        <v>4</v>
      </c>
      <c r="V179" s="121" t="s">
        <v>2</v>
      </c>
      <c r="W179" s="119">
        <v>7</v>
      </c>
      <c r="X179" s="119" t="s">
        <v>10</v>
      </c>
      <c r="Y179" s="119">
        <f>COUNTIF(tblF22021[[#This Row],[CIV]:[BK]],"A")</f>
        <v>7</v>
      </c>
    </row>
    <row r="180" spans="1:25" x14ac:dyDescent="0.3">
      <c r="A180" s="170">
        <v>53</v>
      </c>
      <c r="B180" s="173"/>
      <c r="C180" s="171" t="s">
        <v>334</v>
      </c>
      <c r="D180" s="172" t="s">
        <v>84</v>
      </c>
      <c r="E180" s="172" t="s">
        <v>42</v>
      </c>
      <c r="F180" s="117"/>
      <c r="G180" s="173" t="s">
        <v>800</v>
      </c>
      <c r="H180" s="173">
        <v>2074</v>
      </c>
      <c r="I180" s="121" t="s">
        <v>3</v>
      </c>
      <c r="J180" s="121" t="s">
        <v>3</v>
      </c>
      <c r="K180" s="121" t="s">
        <v>2</v>
      </c>
      <c r="L180" s="121"/>
      <c r="M180" s="121" t="s">
        <v>2</v>
      </c>
      <c r="N180" s="121" t="s">
        <v>3</v>
      </c>
      <c r="O180" s="121" t="s">
        <v>2</v>
      </c>
      <c r="P180" s="121" t="s">
        <v>2</v>
      </c>
      <c r="Q180" s="121" t="s">
        <v>2</v>
      </c>
      <c r="R180" s="121" t="s">
        <v>4</v>
      </c>
      <c r="S180" s="121"/>
      <c r="T180" s="121" t="s">
        <v>2</v>
      </c>
      <c r="U180" s="121" t="s">
        <v>4</v>
      </c>
      <c r="V180" s="121" t="s">
        <v>2</v>
      </c>
      <c r="W180" s="119">
        <v>7</v>
      </c>
      <c r="X180" s="119" t="s">
        <v>10</v>
      </c>
      <c r="Y180" s="119">
        <f>COUNTIF(tblF22021[[#This Row],[CIV]:[BK]],"A")</f>
        <v>7</v>
      </c>
    </row>
    <row r="181" spans="1:25" x14ac:dyDescent="0.3">
      <c r="A181" s="170">
        <v>54</v>
      </c>
      <c r="B181" s="173"/>
      <c r="C181" s="171" t="s">
        <v>229</v>
      </c>
      <c r="D181" s="172" t="s">
        <v>84</v>
      </c>
      <c r="E181" s="172" t="s">
        <v>42</v>
      </c>
      <c r="F181" s="117"/>
      <c r="G181" s="173" t="s">
        <v>800</v>
      </c>
      <c r="H181" s="173">
        <v>2075</v>
      </c>
      <c r="I181" s="121" t="s">
        <v>3</v>
      </c>
      <c r="J181" s="121" t="s">
        <v>3</v>
      </c>
      <c r="K181" s="121" t="s">
        <v>2</v>
      </c>
      <c r="L181" s="121"/>
      <c r="M181" s="121" t="s">
        <v>2</v>
      </c>
      <c r="N181" s="121" t="s">
        <v>2</v>
      </c>
      <c r="O181" s="121" t="s">
        <v>2</v>
      </c>
      <c r="P181" s="121" t="s">
        <v>3</v>
      </c>
      <c r="Q181" s="121" t="s">
        <v>2</v>
      </c>
      <c r="R181" s="121" t="s">
        <v>4</v>
      </c>
      <c r="S181" s="121"/>
      <c r="T181" s="121" t="s">
        <v>2</v>
      </c>
      <c r="U181" s="121" t="s">
        <v>4</v>
      </c>
      <c r="V181" s="121" t="s">
        <v>2</v>
      </c>
      <c r="W181" s="119">
        <v>7</v>
      </c>
      <c r="X181" s="119" t="s">
        <v>10</v>
      </c>
      <c r="Y181" s="119">
        <f>COUNTIF(tblF22021[[#This Row],[CIV]:[BK]],"A")</f>
        <v>7</v>
      </c>
    </row>
    <row r="182" spans="1:25" x14ac:dyDescent="0.3">
      <c r="A182" s="170">
        <v>55</v>
      </c>
      <c r="B182" s="173"/>
      <c r="C182" s="171" t="s">
        <v>638</v>
      </c>
      <c r="D182" s="172" t="s">
        <v>84</v>
      </c>
      <c r="E182" s="172" t="s">
        <v>42</v>
      </c>
      <c r="F182" s="117"/>
      <c r="G182" s="173" t="s">
        <v>800</v>
      </c>
      <c r="H182" s="173">
        <v>2076</v>
      </c>
      <c r="I182" s="121" t="s">
        <v>2</v>
      </c>
      <c r="J182" s="121" t="s">
        <v>2</v>
      </c>
      <c r="K182" s="121" t="s">
        <v>2</v>
      </c>
      <c r="L182" s="121"/>
      <c r="M182" s="121" t="s">
        <v>2</v>
      </c>
      <c r="N182" s="121" t="s">
        <v>2</v>
      </c>
      <c r="O182" s="121" t="s">
        <v>3</v>
      </c>
      <c r="P182" s="121" t="s">
        <v>2</v>
      </c>
      <c r="Q182" s="121" t="s">
        <v>2</v>
      </c>
      <c r="R182" s="121" t="s">
        <v>4</v>
      </c>
      <c r="S182" s="121"/>
      <c r="T182" s="121" t="s">
        <v>3</v>
      </c>
      <c r="U182" s="121" t="s">
        <v>4</v>
      </c>
      <c r="V182" s="121" t="s">
        <v>3</v>
      </c>
      <c r="W182" s="119">
        <v>7</v>
      </c>
      <c r="X182" s="119" t="s">
        <v>10</v>
      </c>
      <c r="Y182" s="119">
        <f>COUNTIF(tblF22021[[#This Row],[CIV]:[BK]],"A")</f>
        <v>7</v>
      </c>
    </row>
    <row r="183" spans="1:25" x14ac:dyDescent="0.3">
      <c r="A183" s="170">
        <v>56</v>
      </c>
      <c r="B183" s="173"/>
      <c r="C183" s="171" t="s">
        <v>299</v>
      </c>
      <c r="D183" s="172" t="s">
        <v>84</v>
      </c>
      <c r="E183" s="172" t="s">
        <v>42</v>
      </c>
      <c r="F183" s="117"/>
      <c r="G183" s="173" t="s">
        <v>800</v>
      </c>
      <c r="H183" s="173">
        <v>2077</v>
      </c>
      <c r="I183" s="121" t="s">
        <v>3</v>
      </c>
      <c r="J183" s="121" t="s">
        <v>2</v>
      </c>
      <c r="K183" s="121" t="s">
        <v>2</v>
      </c>
      <c r="L183" s="121" t="s">
        <v>3</v>
      </c>
      <c r="M183" s="121" t="s">
        <v>2</v>
      </c>
      <c r="N183" s="121" t="s">
        <v>2</v>
      </c>
      <c r="O183" s="121" t="s">
        <v>2</v>
      </c>
      <c r="P183" s="121" t="s">
        <v>2</v>
      </c>
      <c r="Q183" s="121" t="s">
        <v>2</v>
      </c>
      <c r="R183" s="121"/>
      <c r="S183" s="121"/>
      <c r="T183" s="121" t="s">
        <v>3</v>
      </c>
      <c r="U183" s="121" t="s">
        <v>4</v>
      </c>
      <c r="V183" s="121" t="s">
        <v>3</v>
      </c>
      <c r="W183" s="119">
        <v>7</v>
      </c>
      <c r="X183" s="119" t="s">
        <v>10</v>
      </c>
      <c r="Y183" s="119">
        <f>COUNTIF(tblF22021[[#This Row],[CIV]:[BK]],"A")</f>
        <v>7</v>
      </c>
    </row>
    <row r="184" spans="1:25" x14ac:dyDescent="0.3">
      <c r="A184" s="170">
        <v>57</v>
      </c>
      <c r="B184" s="173"/>
      <c r="C184" s="171" t="s">
        <v>83</v>
      </c>
      <c r="D184" s="172" t="s">
        <v>84</v>
      </c>
      <c r="E184" s="172" t="s">
        <v>42</v>
      </c>
      <c r="F184" s="117"/>
      <c r="G184" s="173" t="s">
        <v>800</v>
      </c>
      <c r="H184" s="173">
        <v>2078</v>
      </c>
      <c r="I184" s="121" t="s">
        <v>2</v>
      </c>
      <c r="J184" s="121" t="s">
        <v>3</v>
      </c>
      <c r="K184" s="121" t="s">
        <v>2</v>
      </c>
      <c r="L184" s="121"/>
      <c r="M184" s="121" t="s">
        <v>2</v>
      </c>
      <c r="N184" s="121" t="s">
        <v>2</v>
      </c>
      <c r="O184" s="121" t="s">
        <v>4</v>
      </c>
      <c r="P184" s="121" t="s">
        <v>3</v>
      </c>
      <c r="Q184" s="121" t="s">
        <v>3</v>
      </c>
      <c r="R184" s="121"/>
      <c r="S184" s="121" t="s">
        <v>2</v>
      </c>
      <c r="T184" s="121" t="s">
        <v>2</v>
      </c>
      <c r="U184" s="121" t="s">
        <v>4</v>
      </c>
      <c r="V184" s="121" t="s">
        <v>3</v>
      </c>
      <c r="W184" s="119">
        <v>8</v>
      </c>
      <c r="X184" s="119" t="s">
        <v>10</v>
      </c>
      <c r="Y184" s="119">
        <f>COUNTIF(tblF22021[[#This Row],[CIV]:[BK]],"A")</f>
        <v>6</v>
      </c>
    </row>
    <row r="185" spans="1:25" x14ac:dyDescent="0.3">
      <c r="A185" s="170">
        <v>58</v>
      </c>
      <c r="B185" s="173"/>
      <c r="C185" s="171" t="s">
        <v>165</v>
      </c>
      <c r="D185" s="172" t="s">
        <v>84</v>
      </c>
      <c r="E185" s="172" t="s">
        <v>42</v>
      </c>
      <c r="F185" s="117"/>
      <c r="G185" s="173" t="s">
        <v>800</v>
      </c>
      <c r="H185" s="173">
        <v>2079</v>
      </c>
      <c r="I185" s="121" t="s">
        <v>2</v>
      </c>
      <c r="J185" s="121" t="s">
        <v>2</v>
      </c>
      <c r="K185" s="121" t="s">
        <v>2</v>
      </c>
      <c r="L185" s="121"/>
      <c r="M185" s="121" t="s">
        <v>2</v>
      </c>
      <c r="N185" s="121" t="s">
        <v>2</v>
      </c>
      <c r="O185" s="121" t="s">
        <v>4</v>
      </c>
      <c r="P185" s="121" t="s">
        <v>2</v>
      </c>
      <c r="Q185" s="121" t="s">
        <v>3</v>
      </c>
      <c r="R185" s="121" t="s">
        <v>4</v>
      </c>
      <c r="S185" s="121"/>
      <c r="T185" s="121" t="s">
        <v>4</v>
      </c>
      <c r="U185" s="121" t="s">
        <v>4</v>
      </c>
      <c r="V185" s="121" t="s">
        <v>3</v>
      </c>
      <c r="W185" s="119">
        <v>8</v>
      </c>
      <c r="X185" s="119" t="s">
        <v>10</v>
      </c>
      <c r="Y185" s="119">
        <f>COUNTIF(tblF22021[[#This Row],[CIV]:[BK]],"A")</f>
        <v>6</v>
      </c>
    </row>
    <row r="186" spans="1:25" x14ac:dyDescent="0.3">
      <c r="A186" s="170">
        <v>59</v>
      </c>
      <c r="B186" s="173"/>
      <c r="C186" s="171" t="s">
        <v>318</v>
      </c>
      <c r="D186" s="172" t="s">
        <v>84</v>
      </c>
      <c r="E186" s="172" t="s">
        <v>42</v>
      </c>
      <c r="F186" s="117"/>
      <c r="G186" s="173" t="s">
        <v>800</v>
      </c>
      <c r="H186" s="173">
        <v>2080</v>
      </c>
      <c r="I186" s="121" t="s">
        <v>2</v>
      </c>
      <c r="J186" s="121" t="s">
        <v>3</v>
      </c>
      <c r="K186" s="121" t="s">
        <v>2</v>
      </c>
      <c r="L186" s="121"/>
      <c r="M186" s="121" t="s">
        <v>2</v>
      </c>
      <c r="N186" s="121" t="s">
        <v>2</v>
      </c>
      <c r="O186" s="121" t="s">
        <v>4</v>
      </c>
      <c r="P186" s="121" t="s">
        <v>4</v>
      </c>
      <c r="Q186" s="121" t="s">
        <v>2</v>
      </c>
      <c r="R186" s="121" t="s">
        <v>4</v>
      </c>
      <c r="S186" s="121"/>
      <c r="T186" s="121" t="s">
        <v>2</v>
      </c>
      <c r="U186" s="121" t="s">
        <v>4</v>
      </c>
      <c r="V186" s="121" t="s">
        <v>3</v>
      </c>
      <c r="W186" s="119">
        <v>8</v>
      </c>
      <c r="X186" s="119" t="s">
        <v>10</v>
      </c>
      <c r="Y186" s="119">
        <f>COUNTIF(tblF22021[[#This Row],[CIV]:[BK]],"A")</f>
        <v>6</v>
      </c>
    </row>
    <row r="187" spans="1:25" x14ac:dyDescent="0.3">
      <c r="A187" s="170">
        <v>60</v>
      </c>
      <c r="B187" s="173"/>
      <c r="C187" s="171" t="s">
        <v>329</v>
      </c>
      <c r="D187" s="172" t="s">
        <v>84</v>
      </c>
      <c r="E187" s="172" t="s">
        <v>42</v>
      </c>
      <c r="F187" s="117"/>
      <c r="G187" s="173" t="s">
        <v>800</v>
      </c>
      <c r="H187" s="173">
        <v>2081</v>
      </c>
      <c r="I187" s="121" t="s">
        <v>3</v>
      </c>
      <c r="J187" s="121" t="s">
        <v>3</v>
      </c>
      <c r="K187" s="121" t="s">
        <v>2</v>
      </c>
      <c r="L187" s="121"/>
      <c r="M187" s="121" t="s">
        <v>2</v>
      </c>
      <c r="N187" s="121" t="s">
        <v>2</v>
      </c>
      <c r="O187" s="121" t="s">
        <v>2</v>
      </c>
      <c r="P187" s="121" t="s">
        <v>2</v>
      </c>
      <c r="Q187" s="121" t="s">
        <v>3</v>
      </c>
      <c r="R187" s="121" t="s">
        <v>4</v>
      </c>
      <c r="S187" s="121"/>
      <c r="T187" s="121" t="s">
        <v>3</v>
      </c>
      <c r="U187" s="121" t="s">
        <v>4</v>
      </c>
      <c r="V187" s="121" t="s">
        <v>2</v>
      </c>
      <c r="W187" s="119">
        <v>8</v>
      </c>
      <c r="X187" s="119" t="s">
        <v>10</v>
      </c>
      <c r="Y187" s="119">
        <f>COUNTIF(tblF22021[[#This Row],[CIV]:[BK]],"A")</f>
        <v>6</v>
      </c>
    </row>
    <row r="188" spans="1:25" x14ac:dyDescent="0.3">
      <c r="A188" s="170">
        <v>61</v>
      </c>
      <c r="B188" s="173"/>
      <c r="C188" s="171" t="s">
        <v>332</v>
      </c>
      <c r="D188" s="172" t="s">
        <v>84</v>
      </c>
      <c r="E188" s="172" t="s">
        <v>42</v>
      </c>
      <c r="F188" s="117"/>
      <c r="G188" s="173" t="s">
        <v>800</v>
      </c>
      <c r="H188" s="173">
        <v>2082</v>
      </c>
      <c r="I188" s="121" t="s">
        <v>3</v>
      </c>
      <c r="J188" s="121" t="s">
        <v>2</v>
      </c>
      <c r="K188" s="121" t="s">
        <v>2</v>
      </c>
      <c r="L188" s="121"/>
      <c r="M188" s="121" t="s">
        <v>2</v>
      </c>
      <c r="N188" s="121" t="s">
        <v>2</v>
      </c>
      <c r="O188" s="121" t="s">
        <v>3</v>
      </c>
      <c r="P188" s="121" t="s">
        <v>4</v>
      </c>
      <c r="Q188" s="121" t="s">
        <v>2</v>
      </c>
      <c r="R188" s="121" t="s">
        <v>4</v>
      </c>
      <c r="S188" s="121"/>
      <c r="T188" s="121" t="s">
        <v>4</v>
      </c>
      <c r="U188" s="121" t="s">
        <v>4</v>
      </c>
      <c r="V188" s="121" t="s">
        <v>2</v>
      </c>
      <c r="W188" s="119">
        <v>8</v>
      </c>
      <c r="X188" s="119" t="s">
        <v>10</v>
      </c>
      <c r="Y188" s="119">
        <f>COUNTIF(tblF22021[[#This Row],[CIV]:[BK]],"A")</f>
        <v>6</v>
      </c>
    </row>
    <row r="189" spans="1:25" x14ac:dyDescent="0.3">
      <c r="A189" s="170">
        <v>62</v>
      </c>
      <c r="B189" s="173"/>
      <c r="C189" s="171" t="s">
        <v>167</v>
      </c>
      <c r="D189" s="172" t="s">
        <v>84</v>
      </c>
      <c r="E189" s="172" t="s">
        <v>42</v>
      </c>
      <c r="F189" s="117"/>
      <c r="G189" s="173" t="s">
        <v>800</v>
      </c>
      <c r="H189" s="173">
        <v>2083</v>
      </c>
      <c r="I189" s="121" t="s">
        <v>4</v>
      </c>
      <c r="J189" s="121" t="s">
        <v>2</v>
      </c>
      <c r="K189" s="121" t="s">
        <v>2</v>
      </c>
      <c r="L189" s="121"/>
      <c r="M189" s="121" t="s">
        <v>2</v>
      </c>
      <c r="N189" s="121" t="s">
        <v>2</v>
      </c>
      <c r="O189" s="121" t="s">
        <v>3</v>
      </c>
      <c r="P189" s="121" t="s">
        <v>3</v>
      </c>
      <c r="Q189" s="121" t="s">
        <v>2</v>
      </c>
      <c r="R189" s="121" t="s">
        <v>4</v>
      </c>
      <c r="S189" s="121"/>
      <c r="T189" s="121" t="s">
        <v>3</v>
      </c>
      <c r="U189" s="121" t="s">
        <v>4</v>
      </c>
      <c r="V189" s="121" t="s">
        <v>3</v>
      </c>
      <c r="W189" s="119">
        <v>9</v>
      </c>
      <c r="X189" s="119" t="s">
        <v>10</v>
      </c>
      <c r="Y189" s="119">
        <f>COUNTIF(tblF22021[[#This Row],[CIV]:[BK]],"A")</f>
        <v>5</v>
      </c>
    </row>
    <row r="190" spans="1:25" x14ac:dyDescent="0.3">
      <c r="A190" s="170">
        <v>63</v>
      </c>
      <c r="B190" s="173"/>
      <c r="C190" s="171" t="s">
        <v>609</v>
      </c>
      <c r="D190" s="172" t="s">
        <v>84</v>
      </c>
      <c r="E190" s="172" t="s">
        <v>42</v>
      </c>
      <c r="F190" s="117"/>
      <c r="G190" s="173" t="s">
        <v>800</v>
      </c>
      <c r="H190" s="173">
        <v>2084</v>
      </c>
      <c r="I190" s="121" t="s">
        <v>4</v>
      </c>
      <c r="J190" s="121" t="s">
        <v>3</v>
      </c>
      <c r="K190" s="121" t="s">
        <v>2</v>
      </c>
      <c r="L190" s="121" t="s">
        <v>4</v>
      </c>
      <c r="M190" s="121" t="s">
        <v>2</v>
      </c>
      <c r="N190" s="121" t="s">
        <v>2</v>
      </c>
      <c r="O190" s="121" t="s">
        <v>2</v>
      </c>
      <c r="P190" s="121" t="s">
        <v>3</v>
      </c>
      <c r="Q190" s="121" t="s">
        <v>3</v>
      </c>
      <c r="R190" s="121"/>
      <c r="S190" s="121"/>
      <c r="T190" s="121" t="s">
        <v>4</v>
      </c>
      <c r="U190" s="121" t="s">
        <v>4</v>
      </c>
      <c r="V190" s="121" t="s">
        <v>2</v>
      </c>
      <c r="W190" s="119">
        <v>9</v>
      </c>
      <c r="X190" s="119" t="s">
        <v>10</v>
      </c>
      <c r="Y190" s="119">
        <f>COUNTIF(tblF22021[[#This Row],[CIV]:[BK]],"A")</f>
        <v>5</v>
      </c>
    </row>
    <row r="191" spans="1:25" x14ac:dyDescent="0.3">
      <c r="A191" s="170">
        <v>64</v>
      </c>
      <c r="B191" s="173"/>
      <c r="C191" s="171" t="s">
        <v>324</v>
      </c>
      <c r="D191" s="172" t="s">
        <v>84</v>
      </c>
      <c r="E191" s="172" t="s">
        <v>42</v>
      </c>
      <c r="F191" s="117"/>
      <c r="G191" s="173" t="s">
        <v>800</v>
      </c>
      <c r="H191" s="173">
        <v>2085</v>
      </c>
      <c r="I191" s="121" t="s">
        <v>3</v>
      </c>
      <c r="J191" s="121" t="s">
        <v>2</v>
      </c>
      <c r="K191" s="121" t="s">
        <v>3</v>
      </c>
      <c r="L191" s="121"/>
      <c r="M191" s="121" t="s">
        <v>2</v>
      </c>
      <c r="N191" s="121" t="s">
        <v>2</v>
      </c>
      <c r="O191" s="121" t="s">
        <v>3</v>
      </c>
      <c r="P191" s="121" t="s">
        <v>2</v>
      </c>
      <c r="Q191" s="121" t="s">
        <v>3</v>
      </c>
      <c r="R191" s="121"/>
      <c r="S191" s="121" t="s">
        <v>3</v>
      </c>
      <c r="T191" s="121" t="s">
        <v>3</v>
      </c>
      <c r="U191" s="121" t="s">
        <v>4</v>
      </c>
      <c r="V191" s="121" t="s">
        <v>2</v>
      </c>
      <c r="W191" s="119">
        <v>9</v>
      </c>
      <c r="X191" s="119" t="s">
        <v>10</v>
      </c>
      <c r="Y191" s="119">
        <f>COUNTIF(tblF22021[[#This Row],[CIV]:[BK]],"A")</f>
        <v>5</v>
      </c>
    </row>
    <row r="192" spans="1:25" x14ac:dyDescent="0.3">
      <c r="A192" s="170">
        <v>65</v>
      </c>
      <c r="B192" s="173"/>
      <c r="C192" s="171" t="s">
        <v>532</v>
      </c>
      <c r="D192" s="172" t="s">
        <v>84</v>
      </c>
      <c r="E192" s="172" t="s">
        <v>42</v>
      </c>
      <c r="F192" s="117"/>
      <c r="G192" s="173" t="s">
        <v>800</v>
      </c>
      <c r="H192" s="173">
        <v>2086</v>
      </c>
      <c r="I192" s="121" t="s">
        <v>3</v>
      </c>
      <c r="J192" s="121" t="s">
        <v>2</v>
      </c>
      <c r="K192" s="121" t="s">
        <v>3</v>
      </c>
      <c r="L192" s="121"/>
      <c r="M192" s="121" t="s">
        <v>2</v>
      </c>
      <c r="N192" s="121" t="s">
        <v>2</v>
      </c>
      <c r="O192" s="121" t="s">
        <v>4</v>
      </c>
      <c r="P192" s="121" t="s">
        <v>3</v>
      </c>
      <c r="Q192" s="121" t="s">
        <v>2</v>
      </c>
      <c r="R192" s="121"/>
      <c r="S192" s="121" t="s">
        <v>4</v>
      </c>
      <c r="T192" s="121" t="s">
        <v>3</v>
      </c>
      <c r="U192" s="121" t="s">
        <v>4</v>
      </c>
      <c r="V192" s="121" t="s">
        <v>2</v>
      </c>
      <c r="W192" s="119">
        <v>9</v>
      </c>
      <c r="X192" s="119" t="s">
        <v>10</v>
      </c>
      <c r="Y192" s="119">
        <f>COUNTIF(tblF22021[[#This Row],[CIV]:[BK]],"A")</f>
        <v>5</v>
      </c>
    </row>
    <row r="193" spans="1:25" x14ac:dyDescent="0.3">
      <c r="A193" s="170">
        <v>66</v>
      </c>
      <c r="B193" s="173"/>
      <c r="C193" s="171" t="s">
        <v>636</v>
      </c>
      <c r="D193" s="172" t="s">
        <v>84</v>
      </c>
      <c r="E193" s="172" t="s">
        <v>42</v>
      </c>
      <c r="F193" s="117"/>
      <c r="G193" s="173" t="s">
        <v>800</v>
      </c>
      <c r="H193" s="173">
        <v>2087</v>
      </c>
      <c r="I193" s="173" t="s">
        <v>2</v>
      </c>
      <c r="J193" s="173" t="s">
        <v>3</v>
      </c>
      <c r="K193" s="173" t="s">
        <v>2</v>
      </c>
      <c r="L193" s="173"/>
      <c r="M193" s="173" t="s">
        <v>2</v>
      </c>
      <c r="N193" s="173" t="s">
        <v>2</v>
      </c>
      <c r="O193" s="173" t="s">
        <v>4</v>
      </c>
      <c r="P193" s="173" t="s">
        <v>4</v>
      </c>
      <c r="Q193" s="173" t="s">
        <v>2</v>
      </c>
      <c r="R193" s="173" t="s">
        <v>4</v>
      </c>
      <c r="S193" s="173"/>
      <c r="T193" s="173" t="s">
        <v>5</v>
      </c>
      <c r="U193" s="173" t="s">
        <v>4</v>
      </c>
      <c r="V193" s="173" t="s">
        <v>4</v>
      </c>
      <c r="W193" s="119">
        <v>10</v>
      </c>
      <c r="X193" s="119" t="s">
        <v>10</v>
      </c>
      <c r="Y193" s="119">
        <f>COUNTIF(tblF22021[[#This Row],[CIV]:[BK]],"A")</f>
        <v>5</v>
      </c>
    </row>
    <row r="194" spans="1:25" x14ac:dyDescent="0.3">
      <c r="A194" s="170">
        <v>67</v>
      </c>
      <c r="B194" s="173"/>
      <c r="C194" s="171" t="s">
        <v>848</v>
      </c>
      <c r="D194" s="172" t="s">
        <v>84</v>
      </c>
      <c r="E194" s="172" t="s">
        <v>42</v>
      </c>
      <c r="F194" s="117"/>
      <c r="G194" s="173" t="s">
        <v>800</v>
      </c>
      <c r="H194" s="173">
        <v>2088</v>
      </c>
      <c r="I194" s="121" t="s">
        <v>3</v>
      </c>
      <c r="J194" s="121" t="s">
        <v>4</v>
      </c>
      <c r="K194" s="121" t="s">
        <v>2</v>
      </c>
      <c r="L194" s="121"/>
      <c r="M194" s="121" t="s">
        <v>2</v>
      </c>
      <c r="N194" s="121" t="s">
        <v>2</v>
      </c>
      <c r="O194" s="121" t="s">
        <v>4</v>
      </c>
      <c r="P194" s="121" t="s">
        <v>4</v>
      </c>
      <c r="Q194" s="121" t="s">
        <v>2</v>
      </c>
      <c r="R194" s="121" t="s">
        <v>5</v>
      </c>
      <c r="S194" s="121"/>
      <c r="T194" s="121" t="s">
        <v>2</v>
      </c>
      <c r="U194" s="121" t="s">
        <v>4</v>
      </c>
      <c r="V194" s="121" t="s">
        <v>4</v>
      </c>
      <c r="W194" s="119">
        <v>10</v>
      </c>
      <c r="X194" s="119" t="s">
        <v>10</v>
      </c>
      <c r="Y194" s="119">
        <f>COUNTIF(tblF22021[[#This Row],[CIV]:[BK]],"A")</f>
        <v>5</v>
      </c>
    </row>
    <row r="195" spans="1:25" x14ac:dyDescent="0.3">
      <c r="A195" s="170">
        <v>68</v>
      </c>
      <c r="B195" s="173"/>
      <c r="C195" s="171" t="s">
        <v>629</v>
      </c>
      <c r="D195" s="172" t="s">
        <v>84</v>
      </c>
      <c r="E195" s="172" t="s">
        <v>42</v>
      </c>
      <c r="F195" s="117"/>
      <c r="G195" s="173" t="s">
        <v>800</v>
      </c>
      <c r="H195" s="173">
        <v>2089</v>
      </c>
      <c r="I195" s="121" t="s">
        <v>4</v>
      </c>
      <c r="J195" s="121" t="s">
        <v>2</v>
      </c>
      <c r="K195" s="121" t="s">
        <v>2</v>
      </c>
      <c r="L195" s="121" t="s">
        <v>3</v>
      </c>
      <c r="M195" s="121" t="s">
        <v>2</v>
      </c>
      <c r="N195" s="121" t="s">
        <v>2</v>
      </c>
      <c r="O195" s="121" t="s">
        <v>5</v>
      </c>
      <c r="P195" s="121" t="s">
        <v>4</v>
      </c>
      <c r="Q195" s="121" t="s">
        <v>2</v>
      </c>
      <c r="R195" s="121"/>
      <c r="S195" s="121"/>
      <c r="T195" s="121" t="s">
        <v>4</v>
      </c>
      <c r="U195" s="121" t="s">
        <v>4</v>
      </c>
      <c r="V195" s="121" t="s">
        <v>4</v>
      </c>
      <c r="W195" s="119">
        <v>10</v>
      </c>
      <c r="X195" s="119" t="s">
        <v>10</v>
      </c>
      <c r="Y195" s="119">
        <f>COUNTIF(tblF22021[[#This Row],[CIV]:[BK]],"A")</f>
        <v>5</v>
      </c>
    </row>
    <row r="196" spans="1:25" x14ac:dyDescent="0.3">
      <c r="A196" s="170">
        <v>69</v>
      </c>
      <c r="B196" s="173"/>
      <c r="C196" s="171" t="s">
        <v>640</v>
      </c>
      <c r="D196" s="172" t="s">
        <v>84</v>
      </c>
      <c r="E196" s="172" t="s">
        <v>42</v>
      </c>
      <c r="F196" s="117"/>
      <c r="G196" s="173" t="s">
        <v>800</v>
      </c>
      <c r="H196" s="173">
        <v>2090</v>
      </c>
      <c r="I196" s="121" t="s">
        <v>3</v>
      </c>
      <c r="J196" s="121" t="s">
        <v>3</v>
      </c>
      <c r="K196" s="121" t="s">
        <v>2</v>
      </c>
      <c r="L196" s="121" t="s">
        <v>3</v>
      </c>
      <c r="M196" s="121" t="s">
        <v>2</v>
      </c>
      <c r="N196" s="121" t="s">
        <v>2</v>
      </c>
      <c r="O196" s="121" t="s">
        <v>4</v>
      </c>
      <c r="P196" s="121" t="s">
        <v>4</v>
      </c>
      <c r="Q196" s="121" t="s">
        <v>3</v>
      </c>
      <c r="R196" s="121"/>
      <c r="S196" s="121"/>
      <c r="T196" s="121" t="s">
        <v>3</v>
      </c>
      <c r="U196" s="121" t="s">
        <v>4</v>
      </c>
      <c r="V196" s="121" t="s">
        <v>2</v>
      </c>
      <c r="W196" s="119">
        <v>10</v>
      </c>
      <c r="X196" s="119" t="s">
        <v>10</v>
      </c>
      <c r="Y196" s="119">
        <f>COUNTIF(tblF22021[[#This Row],[CIV]:[BK]],"A")</f>
        <v>4</v>
      </c>
    </row>
    <row r="197" spans="1:25" x14ac:dyDescent="0.3">
      <c r="A197" s="170">
        <v>70</v>
      </c>
      <c r="B197" s="173"/>
      <c r="C197" s="171" t="s">
        <v>322</v>
      </c>
      <c r="D197" s="172" t="s">
        <v>84</v>
      </c>
      <c r="E197" s="172" t="s">
        <v>42</v>
      </c>
      <c r="F197" s="117"/>
      <c r="G197" s="173" t="s">
        <v>800</v>
      </c>
      <c r="H197" s="173">
        <v>2091</v>
      </c>
      <c r="I197" s="121" t="s">
        <v>2</v>
      </c>
      <c r="J197" s="121" t="s">
        <v>3</v>
      </c>
      <c r="K197" s="121" t="s">
        <v>3</v>
      </c>
      <c r="L197" s="121" t="s">
        <v>4</v>
      </c>
      <c r="M197" s="121" t="s">
        <v>2</v>
      </c>
      <c r="N197" s="121" t="s">
        <v>2</v>
      </c>
      <c r="O197" s="121" t="s">
        <v>4</v>
      </c>
      <c r="P197" s="121" t="s">
        <v>4</v>
      </c>
      <c r="Q197" s="121" t="s">
        <v>2</v>
      </c>
      <c r="R197" s="121"/>
      <c r="S197" s="121"/>
      <c r="T197" s="121" t="s">
        <v>3</v>
      </c>
      <c r="U197" s="121" t="s">
        <v>4</v>
      </c>
      <c r="V197" s="121" t="s">
        <v>3</v>
      </c>
      <c r="W197" s="119">
        <v>10</v>
      </c>
      <c r="X197" s="119" t="s">
        <v>10</v>
      </c>
      <c r="Y197" s="119">
        <f>COUNTIF(tblF22021[[#This Row],[CIV]:[BK]],"A")</f>
        <v>4</v>
      </c>
    </row>
    <row r="198" spans="1:25" x14ac:dyDescent="0.3">
      <c r="A198" s="170">
        <v>71</v>
      </c>
      <c r="B198" s="173"/>
      <c r="C198" s="171" t="s">
        <v>92</v>
      </c>
      <c r="D198" s="172" t="s">
        <v>84</v>
      </c>
      <c r="E198" s="172" t="s">
        <v>42</v>
      </c>
      <c r="F198" s="117"/>
      <c r="G198" s="173" t="s">
        <v>800</v>
      </c>
      <c r="H198" s="173">
        <v>2092</v>
      </c>
      <c r="I198" s="121" t="s">
        <v>3</v>
      </c>
      <c r="J198" s="121" t="s">
        <v>3</v>
      </c>
      <c r="K198" s="121" t="s">
        <v>2</v>
      </c>
      <c r="L198" s="121"/>
      <c r="M198" s="121" t="s">
        <v>3</v>
      </c>
      <c r="N198" s="121" t="s">
        <v>2</v>
      </c>
      <c r="O198" s="121" t="s">
        <v>4</v>
      </c>
      <c r="P198" s="121" t="s">
        <v>2</v>
      </c>
      <c r="Q198" s="121" t="s">
        <v>2</v>
      </c>
      <c r="R198" s="121"/>
      <c r="S198" s="121" t="s">
        <v>4</v>
      </c>
      <c r="T198" s="121" t="s">
        <v>3</v>
      </c>
      <c r="U198" s="121" t="s">
        <v>4</v>
      </c>
      <c r="V198" s="121" t="s">
        <v>3</v>
      </c>
      <c r="W198" s="119">
        <v>10</v>
      </c>
      <c r="X198" s="119" t="s">
        <v>10</v>
      </c>
      <c r="Y198" s="119">
        <f>COUNTIF(tblF22021[[#This Row],[CIV]:[BK]],"A")</f>
        <v>4</v>
      </c>
    </row>
    <row r="199" spans="1:25" x14ac:dyDescent="0.3">
      <c r="A199" s="170">
        <v>72</v>
      </c>
      <c r="B199" s="173"/>
      <c r="C199" s="171" t="s">
        <v>328</v>
      </c>
      <c r="D199" s="172" t="s">
        <v>84</v>
      </c>
      <c r="E199" s="172" t="s">
        <v>42</v>
      </c>
      <c r="F199" s="117"/>
      <c r="G199" s="173" t="s">
        <v>800</v>
      </c>
      <c r="H199" s="173">
        <v>2093</v>
      </c>
      <c r="I199" s="121" t="s">
        <v>2</v>
      </c>
      <c r="J199" s="121" t="s">
        <v>3</v>
      </c>
      <c r="K199" s="121" t="s">
        <v>3</v>
      </c>
      <c r="L199" s="121"/>
      <c r="M199" s="121" t="s">
        <v>2</v>
      </c>
      <c r="N199" s="121" t="s">
        <v>2</v>
      </c>
      <c r="O199" s="121" t="s">
        <v>5</v>
      </c>
      <c r="P199" s="121" t="s">
        <v>4</v>
      </c>
      <c r="Q199" s="121" t="s">
        <v>3</v>
      </c>
      <c r="R199" s="121" t="s">
        <v>4</v>
      </c>
      <c r="S199" s="121"/>
      <c r="T199" s="121" t="s">
        <v>4</v>
      </c>
      <c r="U199" s="121" t="s">
        <v>4</v>
      </c>
      <c r="V199" s="121" t="s">
        <v>2</v>
      </c>
      <c r="W199" s="119">
        <v>10</v>
      </c>
      <c r="X199" s="119" t="s">
        <v>10</v>
      </c>
      <c r="Y199" s="119">
        <f>COUNTIF(tblF22021[[#This Row],[CIV]:[BK]],"A")</f>
        <v>4</v>
      </c>
    </row>
    <row r="200" spans="1:25" x14ac:dyDescent="0.3">
      <c r="A200" s="170">
        <v>73</v>
      </c>
      <c r="B200" s="173"/>
      <c r="C200" s="171" t="s">
        <v>601</v>
      </c>
      <c r="D200" s="172" t="s">
        <v>84</v>
      </c>
      <c r="E200" s="172" t="s">
        <v>42</v>
      </c>
      <c r="F200" s="117"/>
      <c r="G200" s="173" t="s">
        <v>800</v>
      </c>
      <c r="H200" s="173">
        <v>2094</v>
      </c>
      <c r="I200" s="121" t="s">
        <v>4</v>
      </c>
      <c r="J200" s="121" t="s">
        <v>4</v>
      </c>
      <c r="K200" s="121" t="s">
        <v>3</v>
      </c>
      <c r="L200" s="121"/>
      <c r="M200" s="121" t="s">
        <v>2</v>
      </c>
      <c r="N200" s="121" t="s">
        <v>2</v>
      </c>
      <c r="O200" s="121" t="s">
        <v>4</v>
      </c>
      <c r="P200" s="121" t="s">
        <v>3</v>
      </c>
      <c r="Q200" s="121" t="s">
        <v>2</v>
      </c>
      <c r="R200" s="121"/>
      <c r="S200" s="121" t="s">
        <v>4</v>
      </c>
      <c r="T200" s="121" t="s">
        <v>2</v>
      </c>
      <c r="U200" s="121" t="s">
        <v>4</v>
      </c>
      <c r="V200" s="121" t="s">
        <v>4</v>
      </c>
      <c r="W200" s="119">
        <v>11</v>
      </c>
      <c r="X200" s="119" t="s">
        <v>10</v>
      </c>
      <c r="Y200" s="119">
        <f>COUNTIF(tblF22021[[#This Row],[CIV]:[BK]],"A")</f>
        <v>4</v>
      </c>
    </row>
    <row r="201" spans="1:25" x14ac:dyDescent="0.3">
      <c r="A201" s="170">
        <v>74</v>
      </c>
      <c r="B201" s="173"/>
      <c r="C201" s="171" t="s">
        <v>632</v>
      </c>
      <c r="D201" s="172" t="s">
        <v>84</v>
      </c>
      <c r="E201" s="172" t="s">
        <v>42</v>
      </c>
      <c r="F201" s="117"/>
      <c r="G201" s="173" t="s">
        <v>800</v>
      </c>
      <c r="H201" s="173">
        <v>2095</v>
      </c>
      <c r="I201" s="121" t="s">
        <v>2</v>
      </c>
      <c r="J201" s="121" t="s">
        <v>4</v>
      </c>
      <c r="K201" s="121" t="s">
        <v>3</v>
      </c>
      <c r="L201" s="121"/>
      <c r="M201" s="121" t="s">
        <v>2</v>
      </c>
      <c r="N201" s="121" t="s">
        <v>2</v>
      </c>
      <c r="O201" s="121" t="s">
        <v>4</v>
      </c>
      <c r="P201" s="121" t="s">
        <v>3</v>
      </c>
      <c r="Q201" s="121" t="s">
        <v>2</v>
      </c>
      <c r="R201" s="121" t="s">
        <v>5</v>
      </c>
      <c r="S201" s="121"/>
      <c r="T201" s="121" t="s">
        <v>4</v>
      </c>
      <c r="U201" s="121" t="s">
        <v>5</v>
      </c>
      <c r="V201" s="121" t="s">
        <v>4</v>
      </c>
      <c r="W201" s="119">
        <v>11</v>
      </c>
      <c r="X201" s="119" t="s">
        <v>10</v>
      </c>
      <c r="Y201" s="119">
        <f>COUNTIF(tblF22021[[#This Row],[CIV]:[BK]],"A")</f>
        <v>4</v>
      </c>
    </row>
    <row r="202" spans="1:25" x14ac:dyDescent="0.3">
      <c r="A202" s="170">
        <v>75</v>
      </c>
      <c r="B202" s="173"/>
      <c r="C202" s="171" t="s">
        <v>552</v>
      </c>
      <c r="D202" s="172" t="s">
        <v>84</v>
      </c>
      <c r="E202" s="172" t="s">
        <v>42</v>
      </c>
      <c r="F202" s="117"/>
      <c r="G202" s="173" t="s">
        <v>800</v>
      </c>
      <c r="H202" s="173">
        <v>2096</v>
      </c>
      <c r="I202" s="121" t="s">
        <v>3</v>
      </c>
      <c r="J202" s="121" t="s">
        <v>4</v>
      </c>
      <c r="K202" s="121" t="s">
        <v>3</v>
      </c>
      <c r="L202" s="121" t="s">
        <v>4</v>
      </c>
      <c r="M202" s="121" t="s">
        <v>2</v>
      </c>
      <c r="N202" s="121" t="s">
        <v>2</v>
      </c>
      <c r="O202" s="121" t="s">
        <v>5</v>
      </c>
      <c r="P202" s="121" t="s">
        <v>5</v>
      </c>
      <c r="Q202" s="121" t="s">
        <v>3</v>
      </c>
      <c r="R202" s="121"/>
      <c r="S202" s="121"/>
      <c r="T202" s="121" t="s">
        <v>3</v>
      </c>
      <c r="U202" s="121" t="s">
        <v>5</v>
      </c>
      <c r="V202" s="121" t="s">
        <v>2</v>
      </c>
      <c r="W202" s="119">
        <v>11</v>
      </c>
      <c r="X202" s="119" t="s">
        <v>10</v>
      </c>
      <c r="Y202" s="119">
        <f>COUNTIF(tblF22021[[#This Row],[CIV]:[BK]],"A")</f>
        <v>3</v>
      </c>
    </row>
    <row r="203" spans="1:25" x14ac:dyDescent="0.3">
      <c r="A203" s="170">
        <v>76</v>
      </c>
      <c r="B203" s="173"/>
      <c r="C203" s="171" t="s">
        <v>90</v>
      </c>
      <c r="D203" s="172" t="s">
        <v>84</v>
      </c>
      <c r="E203" s="172" t="s">
        <v>42</v>
      </c>
      <c r="F203" s="117"/>
      <c r="G203" s="173" t="s">
        <v>800</v>
      </c>
      <c r="H203" s="173">
        <v>2097</v>
      </c>
      <c r="I203" s="121" t="s">
        <v>3</v>
      </c>
      <c r="J203" s="121" t="s">
        <v>3</v>
      </c>
      <c r="K203" s="121" t="s">
        <v>2</v>
      </c>
      <c r="L203" s="121" t="s">
        <v>3</v>
      </c>
      <c r="M203" s="121" t="s">
        <v>3</v>
      </c>
      <c r="N203" s="121" t="s">
        <v>2</v>
      </c>
      <c r="O203" s="121" t="s">
        <v>3</v>
      </c>
      <c r="P203" s="121" t="s">
        <v>3</v>
      </c>
      <c r="Q203" s="121" t="s">
        <v>2</v>
      </c>
      <c r="R203" s="121"/>
      <c r="S203" s="121"/>
      <c r="T203" s="121" t="s">
        <v>3</v>
      </c>
      <c r="U203" s="121" t="s">
        <v>5</v>
      </c>
      <c r="V203" s="121" t="s">
        <v>3</v>
      </c>
      <c r="W203" s="119">
        <v>11</v>
      </c>
      <c r="X203" s="119" t="s">
        <v>10</v>
      </c>
      <c r="Y203" s="119">
        <f>COUNTIF(tblF22021[[#This Row],[CIV]:[BK]],"A")</f>
        <v>3</v>
      </c>
    </row>
    <row r="204" spans="1:25" x14ac:dyDescent="0.3">
      <c r="A204" s="170">
        <v>77</v>
      </c>
      <c r="B204" s="173"/>
      <c r="C204" s="171" t="s">
        <v>849</v>
      </c>
      <c r="D204" s="172" t="s">
        <v>84</v>
      </c>
      <c r="E204" s="172" t="s">
        <v>42</v>
      </c>
      <c r="F204" s="117"/>
      <c r="G204" s="173" t="s">
        <v>800</v>
      </c>
      <c r="H204" s="173">
        <v>2098</v>
      </c>
      <c r="I204" s="121" t="s">
        <v>3</v>
      </c>
      <c r="J204" s="121" t="s">
        <v>2</v>
      </c>
      <c r="K204" s="121" t="s">
        <v>3</v>
      </c>
      <c r="L204" s="121"/>
      <c r="M204" s="121" t="s">
        <v>3</v>
      </c>
      <c r="N204" s="121" t="s">
        <v>2</v>
      </c>
      <c r="O204" s="121" t="s">
        <v>4</v>
      </c>
      <c r="P204" s="121" t="s">
        <v>4</v>
      </c>
      <c r="Q204" s="121" t="s">
        <v>2</v>
      </c>
      <c r="R204" s="121"/>
      <c r="S204" s="121" t="s">
        <v>4</v>
      </c>
      <c r="T204" s="121" t="s">
        <v>4</v>
      </c>
      <c r="U204" s="121" t="s">
        <v>4</v>
      </c>
      <c r="V204" s="121" t="s">
        <v>5</v>
      </c>
      <c r="W204" s="119">
        <v>12</v>
      </c>
      <c r="X204" s="119" t="s">
        <v>10</v>
      </c>
      <c r="Y204" s="119">
        <f>COUNTIF(tblF22021[[#This Row],[CIV]:[BK]],"A")</f>
        <v>3</v>
      </c>
    </row>
    <row r="205" spans="1:25" x14ac:dyDescent="0.3">
      <c r="A205" s="170">
        <v>78</v>
      </c>
      <c r="B205" s="173"/>
      <c r="C205" s="171" t="s">
        <v>562</v>
      </c>
      <c r="D205" s="172" t="s">
        <v>84</v>
      </c>
      <c r="E205" s="172" t="s">
        <v>42</v>
      </c>
      <c r="F205" s="117"/>
      <c r="G205" s="173" t="s">
        <v>800</v>
      </c>
      <c r="H205" s="173">
        <v>2099</v>
      </c>
      <c r="I205" s="121" t="s">
        <v>3</v>
      </c>
      <c r="J205" s="121" t="s">
        <v>3</v>
      </c>
      <c r="K205" s="121" t="s">
        <v>3</v>
      </c>
      <c r="L205" s="121"/>
      <c r="M205" s="121" t="s">
        <v>3</v>
      </c>
      <c r="N205" s="121" t="s">
        <v>2</v>
      </c>
      <c r="O205" s="121" t="s">
        <v>4</v>
      </c>
      <c r="P205" s="121" t="s">
        <v>4</v>
      </c>
      <c r="Q205" s="121" t="s">
        <v>2</v>
      </c>
      <c r="R205" s="121" t="s">
        <v>5</v>
      </c>
      <c r="S205" s="121"/>
      <c r="T205" s="121" t="s">
        <v>5</v>
      </c>
      <c r="U205" s="121" t="s">
        <v>5</v>
      </c>
      <c r="V205" s="121" t="s">
        <v>4</v>
      </c>
      <c r="W205" s="119">
        <v>13</v>
      </c>
      <c r="X205" s="119" t="s">
        <v>10</v>
      </c>
      <c r="Y205" s="119">
        <f>COUNTIF(tblF22021[[#This Row],[CIV]:[BK]],"A")</f>
        <v>2</v>
      </c>
    </row>
    <row r="206" spans="1:25" x14ac:dyDescent="0.3">
      <c r="A206" s="170">
        <v>79</v>
      </c>
      <c r="B206" s="173"/>
      <c r="C206" s="171" t="s">
        <v>623</v>
      </c>
      <c r="D206" s="172" t="s">
        <v>84</v>
      </c>
      <c r="E206" s="172" t="s">
        <v>42</v>
      </c>
      <c r="F206" s="117"/>
      <c r="G206" s="173" t="s">
        <v>800</v>
      </c>
      <c r="H206" s="173">
        <v>2100</v>
      </c>
      <c r="I206" s="121" t="s">
        <v>4</v>
      </c>
      <c r="J206" s="121" t="s">
        <v>4</v>
      </c>
      <c r="K206" s="121" t="s">
        <v>3</v>
      </c>
      <c r="L206" s="121"/>
      <c r="M206" s="121" t="s">
        <v>2</v>
      </c>
      <c r="N206" s="121" t="s">
        <v>2</v>
      </c>
      <c r="O206" s="121" t="s">
        <v>4</v>
      </c>
      <c r="P206" s="121" t="s">
        <v>3</v>
      </c>
      <c r="Q206" s="121" t="s">
        <v>3</v>
      </c>
      <c r="R206" s="121" t="s">
        <v>5</v>
      </c>
      <c r="S206" s="121"/>
      <c r="T206" s="121" t="s">
        <v>3</v>
      </c>
      <c r="U206" s="121" t="s">
        <v>5</v>
      </c>
      <c r="V206" s="121" t="s">
        <v>4</v>
      </c>
      <c r="W206" s="119">
        <v>13</v>
      </c>
      <c r="X206" s="119" t="s">
        <v>10</v>
      </c>
      <c r="Y206" s="119">
        <f>COUNTIF(tblF22021[[#This Row],[CIV]:[BK]],"A")</f>
        <v>2</v>
      </c>
    </row>
    <row r="207" spans="1:25" x14ac:dyDescent="0.3">
      <c r="A207" s="170">
        <v>80</v>
      </c>
      <c r="B207" s="173"/>
      <c r="C207" s="171" t="s">
        <v>88</v>
      </c>
      <c r="D207" s="172" t="s">
        <v>84</v>
      </c>
      <c r="E207" s="172" t="s">
        <v>42</v>
      </c>
      <c r="F207" s="117"/>
      <c r="G207" s="173" t="s">
        <v>800</v>
      </c>
      <c r="H207" s="173">
        <v>2101</v>
      </c>
      <c r="I207" s="121" t="s">
        <v>3</v>
      </c>
      <c r="J207" s="121" t="s">
        <v>4</v>
      </c>
      <c r="K207" s="121" t="s">
        <v>3</v>
      </c>
      <c r="L207" s="121" t="s">
        <v>3</v>
      </c>
      <c r="M207" s="121" t="s">
        <v>3</v>
      </c>
      <c r="N207" s="121" t="s">
        <v>2</v>
      </c>
      <c r="O207" s="121" t="s">
        <v>4</v>
      </c>
      <c r="P207" s="121" t="s">
        <v>4</v>
      </c>
      <c r="Q207" s="121" t="s">
        <v>3</v>
      </c>
      <c r="R207" s="121"/>
      <c r="S207" s="121"/>
      <c r="T207" s="121" t="s">
        <v>4</v>
      </c>
      <c r="U207" s="121" t="s">
        <v>5</v>
      </c>
      <c r="V207" s="121" t="s">
        <v>3</v>
      </c>
      <c r="W207" s="119">
        <v>13</v>
      </c>
      <c r="X207" s="119" t="s">
        <v>10</v>
      </c>
      <c r="Y207" s="119">
        <f>COUNTIF(tblF22021[[#This Row],[CIV]:[BK]],"A")</f>
        <v>1</v>
      </c>
    </row>
    <row r="208" spans="1:25" x14ac:dyDescent="0.3">
      <c r="A208" s="170">
        <v>81</v>
      </c>
      <c r="B208" s="173"/>
      <c r="C208" s="171" t="s">
        <v>618</v>
      </c>
      <c r="D208" s="172" t="s">
        <v>84</v>
      </c>
      <c r="E208" s="172" t="s">
        <v>42</v>
      </c>
      <c r="F208" s="117"/>
      <c r="G208" s="173" t="s">
        <v>800</v>
      </c>
      <c r="H208" s="173">
        <v>2102</v>
      </c>
      <c r="I208" s="121" t="s">
        <v>4</v>
      </c>
      <c r="J208" s="121" t="s">
        <v>4</v>
      </c>
      <c r="K208" s="121" t="s">
        <v>2</v>
      </c>
      <c r="L208" s="121"/>
      <c r="M208" s="121" t="s">
        <v>2</v>
      </c>
      <c r="N208" s="121" t="s">
        <v>2</v>
      </c>
      <c r="O208" s="121" t="s">
        <v>4</v>
      </c>
      <c r="P208" s="121" t="s">
        <v>4</v>
      </c>
      <c r="Q208" s="121" t="s">
        <v>3</v>
      </c>
      <c r="R208" s="121" t="s">
        <v>4</v>
      </c>
      <c r="S208" s="121"/>
      <c r="T208" s="121" t="s">
        <v>4</v>
      </c>
      <c r="U208" s="121" t="s">
        <v>4</v>
      </c>
      <c r="V208" s="121" t="s">
        <v>4</v>
      </c>
      <c r="W208" s="119">
        <v>14</v>
      </c>
      <c r="X208" s="119" t="s">
        <v>10</v>
      </c>
      <c r="Y208" s="119">
        <f>COUNTIF(tblF22021[[#This Row],[CIV]:[BK]],"A")</f>
        <v>3</v>
      </c>
    </row>
    <row r="209" spans="1:25" x14ac:dyDescent="0.3">
      <c r="A209" s="170">
        <v>82</v>
      </c>
      <c r="B209" s="173"/>
      <c r="C209" s="171" t="s">
        <v>850</v>
      </c>
      <c r="D209" s="172" t="s">
        <v>84</v>
      </c>
      <c r="E209" s="172" t="s">
        <v>42</v>
      </c>
      <c r="F209" s="117"/>
      <c r="G209" s="173" t="s">
        <v>800</v>
      </c>
      <c r="H209" s="173">
        <v>2103</v>
      </c>
      <c r="I209" s="121" t="s">
        <v>3</v>
      </c>
      <c r="J209" s="121" t="s">
        <v>4</v>
      </c>
      <c r="K209" s="121" t="s">
        <v>3</v>
      </c>
      <c r="L209" s="121"/>
      <c r="M209" s="121" t="s">
        <v>4</v>
      </c>
      <c r="N209" s="121" t="s">
        <v>2</v>
      </c>
      <c r="O209" s="121" t="s">
        <v>4</v>
      </c>
      <c r="P209" s="121" t="s">
        <v>4</v>
      </c>
      <c r="Q209" s="121" t="s">
        <v>2</v>
      </c>
      <c r="R209" s="121" t="s">
        <v>8</v>
      </c>
      <c r="S209" s="121"/>
      <c r="T209" s="121" t="s">
        <v>4</v>
      </c>
      <c r="U209" s="121" t="s">
        <v>5</v>
      </c>
      <c r="V209" s="121" t="s">
        <v>3</v>
      </c>
      <c r="W209" s="119">
        <v>14</v>
      </c>
      <c r="X209" s="119" t="s">
        <v>10</v>
      </c>
      <c r="Y209" s="119">
        <f>COUNTIF(tblF22021[[#This Row],[CIV]:[BK]],"A")</f>
        <v>2</v>
      </c>
    </row>
    <row r="210" spans="1:25" x14ac:dyDescent="0.3">
      <c r="A210" s="170">
        <v>83</v>
      </c>
      <c r="B210" s="173"/>
      <c r="C210" s="171" t="s">
        <v>569</v>
      </c>
      <c r="D210" s="172" t="s">
        <v>84</v>
      </c>
      <c r="E210" s="172" t="s">
        <v>42</v>
      </c>
      <c r="F210" s="117"/>
      <c r="G210" s="173" t="s">
        <v>800</v>
      </c>
      <c r="H210" s="173">
        <v>2104</v>
      </c>
      <c r="I210" s="121" t="s">
        <v>4</v>
      </c>
      <c r="J210" s="121" t="s">
        <v>4</v>
      </c>
      <c r="K210" s="121" t="s">
        <v>4</v>
      </c>
      <c r="L210" s="121"/>
      <c r="M210" s="121" t="s">
        <v>3</v>
      </c>
      <c r="N210" s="121" t="s">
        <v>2</v>
      </c>
      <c r="O210" s="121" t="s">
        <v>4</v>
      </c>
      <c r="P210" s="121" t="s">
        <v>3</v>
      </c>
      <c r="Q210" s="121" t="s">
        <v>4</v>
      </c>
      <c r="R210" s="121" t="s">
        <v>5</v>
      </c>
      <c r="S210" s="121"/>
      <c r="T210" s="121" t="s">
        <v>3</v>
      </c>
      <c r="U210" s="121" t="s">
        <v>4</v>
      </c>
      <c r="V210" s="121" t="s">
        <v>2</v>
      </c>
      <c r="W210" s="119">
        <v>14</v>
      </c>
      <c r="X210" s="119" t="s">
        <v>10</v>
      </c>
      <c r="Y210" s="119">
        <f>COUNTIF(tblF22021[[#This Row],[CIV]:[BK]],"A")</f>
        <v>2</v>
      </c>
    </row>
    <row r="211" spans="1:25" x14ac:dyDescent="0.3">
      <c r="A211" s="170">
        <v>84</v>
      </c>
      <c r="B211" s="173"/>
      <c r="C211" s="171" t="s">
        <v>548</v>
      </c>
      <c r="D211" s="172" t="s">
        <v>84</v>
      </c>
      <c r="E211" s="172" t="s">
        <v>42</v>
      </c>
      <c r="F211" s="117"/>
      <c r="G211" s="173" t="s">
        <v>800</v>
      </c>
      <c r="H211" s="173">
        <v>2105</v>
      </c>
      <c r="I211" s="173" t="s">
        <v>4</v>
      </c>
      <c r="J211" s="173" t="s">
        <v>4</v>
      </c>
      <c r="K211" s="173" t="s">
        <v>3</v>
      </c>
      <c r="L211" s="173" t="s">
        <v>5</v>
      </c>
      <c r="M211" s="173" t="s">
        <v>2</v>
      </c>
      <c r="N211" s="173" t="s">
        <v>3</v>
      </c>
      <c r="O211" s="173" t="s">
        <v>5</v>
      </c>
      <c r="P211" s="173" t="s">
        <v>4</v>
      </c>
      <c r="Q211" s="173" t="s">
        <v>2</v>
      </c>
      <c r="R211" s="173"/>
      <c r="S211" s="173"/>
      <c r="T211" s="173" t="s">
        <v>4</v>
      </c>
      <c r="U211" s="173" t="s">
        <v>4</v>
      </c>
      <c r="V211" s="173" t="s">
        <v>4</v>
      </c>
      <c r="W211" s="119">
        <v>15</v>
      </c>
      <c r="X211" s="119" t="s">
        <v>10</v>
      </c>
      <c r="Y211" s="119">
        <f>COUNTIF(tblF22021[[#This Row],[CIV]:[BK]],"A")</f>
        <v>2</v>
      </c>
    </row>
    <row r="212" spans="1:25" x14ac:dyDescent="0.3">
      <c r="A212" s="170">
        <v>85</v>
      </c>
      <c r="B212" s="173"/>
      <c r="C212" s="171" t="s">
        <v>320</v>
      </c>
      <c r="D212" s="172" t="s">
        <v>84</v>
      </c>
      <c r="E212" s="172" t="s">
        <v>42</v>
      </c>
      <c r="F212" s="117"/>
      <c r="G212" s="173" t="s">
        <v>800</v>
      </c>
      <c r="H212" s="173">
        <v>2106</v>
      </c>
      <c r="I212" s="173" t="s">
        <v>5</v>
      </c>
      <c r="J212" s="173" t="s">
        <v>5</v>
      </c>
      <c r="K212" s="173" t="s">
        <v>4</v>
      </c>
      <c r="L212" s="173"/>
      <c r="M212" s="173" t="s">
        <v>2</v>
      </c>
      <c r="N212" s="173" t="s">
        <v>3</v>
      </c>
      <c r="O212" s="173" t="s">
        <v>4</v>
      </c>
      <c r="P212" s="173" t="s">
        <v>5</v>
      </c>
      <c r="Q212" s="173" t="s">
        <v>4</v>
      </c>
      <c r="R212" s="173" t="s">
        <v>8</v>
      </c>
      <c r="S212" s="173"/>
      <c r="T212" s="173" t="s">
        <v>4</v>
      </c>
      <c r="U212" s="173" t="s">
        <v>5</v>
      </c>
      <c r="V212" s="173" t="s">
        <v>2</v>
      </c>
      <c r="W212" s="119">
        <v>16</v>
      </c>
      <c r="X212" s="119" t="s">
        <v>10</v>
      </c>
      <c r="Y212" s="119">
        <f>COUNTIF(tblF22021[[#This Row],[CIV]:[BK]],"A")</f>
        <v>2</v>
      </c>
    </row>
    <row r="213" spans="1:25" x14ac:dyDescent="0.3">
      <c r="A213" s="170">
        <v>86</v>
      </c>
      <c r="B213" s="173"/>
      <c r="C213" s="171" t="s">
        <v>648</v>
      </c>
      <c r="D213" s="172" t="s">
        <v>84</v>
      </c>
      <c r="E213" s="172" t="s">
        <v>42</v>
      </c>
      <c r="F213" s="117"/>
      <c r="G213" s="173" t="s">
        <v>800</v>
      </c>
      <c r="H213" s="173">
        <v>2107</v>
      </c>
      <c r="I213" s="173" t="s">
        <v>5</v>
      </c>
      <c r="J213" s="173" t="s">
        <v>4</v>
      </c>
      <c r="K213" s="173" t="s">
        <v>4</v>
      </c>
      <c r="L213" s="173" t="s">
        <v>5</v>
      </c>
      <c r="M213" s="173" t="s">
        <v>3</v>
      </c>
      <c r="N213" s="173" t="s">
        <v>4</v>
      </c>
      <c r="O213" s="173" t="s">
        <v>4</v>
      </c>
      <c r="P213" s="173" t="s">
        <v>5</v>
      </c>
      <c r="Q213" s="173" t="s">
        <v>4</v>
      </c>
      <c r="R213" s="173"/>
      <c r="S213" s="173"/>
      <c r="T213" s="173" t="s">
        <v>2</v>
      </c>
      <c r="U213" s="173" t="s">
        <v>5</v>
      </c>
      <c r="V213" s="173" t="s">
        <v>2</v>
      </c>
      <c r="W213" s="119">
        <v>16</v>
      </c>
      <c r="X213" s="119" t="s">
        <v>10</v>
      </c>
      <c r="Y213" s="119">
        <f>COUNTIF(tblF22021[[#This Row],[CIV]:[BK]],"A")</f>
        <v>2</v>
      </c>
    </row>
    <row r="214" spans="1:25" x14ac:dyDescent="0.3">
      <c r="A214" s="170">
        <v>87</v>
      </c>
      <c r="B214" s="173"/>
      <c r="C214" s="171" t="s">
        <v>189</v>
      </c>
      <c r="D214" s="172" t="s">
        <v>84</v>
      </c>
      <c r="E214" s="172" t="s">
        <v>42</v>
      </c>
      <c r="F214" s="117"/>
      <c r="G214" s="173" t="s">
        <v>800</v>
      </c>
      <c r="H214" s="173">
        <v>2108</v>
      </c>
      <c r="I214" s="173" t="s">
        <v>5</v>
      </c>
      <c r="J214" s="173" t="s">
        <v>4</v>
      </c>
      <c r="K214" s="173" t="s">
        <v>3</v>
      </c>
      <c r="L214" s="173" t="s">
        <v>4</v>
      </c>
      <c r="M214" s="173" t="s">
        <v>4</v>
      </c>
      <c r="N214" s="173" t="s">
        <v>3</v>
      </c>
      <c r="O214" s="173" t="s">
        <v>4</v>
      </c>
      <c r="P214" s="173" t="s">
        <v>4</v>
      </c>
      <c r="Q214" s="173" t="s">
        <v>4</v>
      </c>
      <c r="R214" s="173"/>
      <c r="S214" s="173"/>
      <c r="T214" s="173" t="s">
        <v>2</v>
      </c>
      <c r="U214" s="173" t="s">
        <v>8</v>
      </c>
      <c r="V214" s="173" t="s">
        <v>3</v>
      </c>
      <c r="W214" s="119">
        <v>16</v>
      </c>
      <c r="X214" s="119" t="s">
        <v>10</v>
      </c>
      <c r="Y214" s="119">
        <f>COUNTIF(tblF22021[[#This Row],[CIV]:[BK]],"A")</f>
        <v>1</v>
      </c>
    </row>
    <row r="215" spans="1:25" x14ac:dyDescent="0.3">
      <c r="A215" s="170">
        <v>88</v>
      </c>
      <c r="B215" s="173"/>
      <c r="C215" s="171" t="s">
        <v>651</v>
      </c>
      <c r="D215" s="172" t="s">
        <v>84</v>
      </c>
      <c r="E215" s="172" t="s">
        <v>42</v>
      </c>
      <c r="F215" s="117"/>
      <c r="G215" s="173" t="s">
        <v>800</v>
      </c>
      <c r="H215" s="173">
        <v>2109</v>
      </c>
      <c r="I215" s="173" t="s">
        <v>4</v>
      </c>
      <c r="J215" s="173" t="s">
        <v>4</v>
      </c>
      <c r="K215" s="173" t="s">
        <v>3</v>
      </c>
      <c r="L215" s="173"/>
      <c r="M215" s="173" t="s">
        <v>2</v>
      </c>
      <c r="N215" s="173" t="s">
        <v>4</v>
      </c>
      <c r="O215" s="173" t="s">
        <v>4</v>
      </c>
      <c r="P215" s="173" t="s">
        <v>4</v>
      </c>
      <c r="Q215" s="173" t="s">
        <v>3</v>
      </c>
      <c r="R215" s="173" t="s">
        <v>4</v>
      </c>
      <c r="S215" s="173"/>
      <c r="T215" s="173" t="s">
        <v>4</v>
      </c>
      <c r="U215" s="173" t="s">
        <v>5</v>
      </c>
      <c r="V215" s="173" t="s">
        <v>3</v>
      </c>
      <c r="W215" s="119">
        <v>16</v>
      </c>
      <c r="X215" s="119" t="s">
        <v>10</v>
      </c>
      <c r="Y215" s="119">
        <f>COUNTIF(tblF22021[[#This Row],[CIV]:[BK]],"A")</f>
        <v>1</v>
      </c>
    </row>
    <row r="216" spans="1:25" x14ac:dyDescent="0.3">
      <c r="A216" s="170">
        <v>89</v>
      </c>
      <c r="B216" s="173"/>
      <c r="C216" s="171" t="s">
        <v>613</v>
      </c>
      <c r="D216" s="172" t="s">
        <v>84</v>
      </c>
      <c r="E216" s="172" t="s">
        <v>42</v>
      </c>
      <c r="F216" s="117"/>
      <c r="G216" s="173" t="s">
        <v>800</v>
      </c>
      <c r="H216" s="173">
        <v>2110</v>
      </c>
      <c r="I216" s="173" t="s">
        <v>4</v>
      </c>
      <c r="J216" s="173" t="s">
        <v>5</v>
      </c>
      <c r="K216" s="173" t="s">
        <v>4</v>
      </c>
      <c r="L216" s="173" t="s">
        <v>4</v>
      </c>
      <c r="M216" s="173" t="s">
        <v>2</v>
      </c>
      <c r="N216" s="173" t="s">
        <v>2</v>
      </c>
      <c r="O216" s="173" t="s">
        <v>4</v>
      </c>
      <c r="P216" s="173" t="s">
        <v>4</v>
      </c>
      <c r="Q216" s="173" t="s">
        <v>4</v>
      </c>
      <c r="R216" s="173"/>
      <c r="S216" s="173"/>
      <c r="T216" s="173" t="s">
        <v>4</v>
      </c>
      <c r="U216" s="173" t="s">
        <v>8</v>
      </c>
      <c r="V216" s="173" t="s">
        <v>4</v>
      </c>
      <c r="W216" s="119">
        <v>17</v>
      </c>
      <c r="X216" s="119" t="s">
        <v>10</v>
      </c>
      <c r="Y216" s="119">
        <f>COUNTIF(tblF22021[[#This Row],[CIV]:[BK]],"A")</f>
        <v>2</v>
      </c>
    </row>
    <row r="217" spans="1:25" x14ac:dyDescent="0.3">
      <c r="A217" s="170">
        <v>90</v>
      </c>
      <c r="B217" s="173"/>
      <c r="C217" s="171" t="s">
        <v>851</v>
      </c>
      <c r="D217" s="172" t="s">
        <v>84</v>
      </c>
      <c r="E217" s="172" t="s">
        <v>42</v>
      </c>
      <c r="F217" s="117"/>
      <c r="G217" s="173" t="s">
        <v>800</v>
      </c>
      <c r="H217" s="173">
        <v>2111</v>
      </c>
      <c r="I217" s="173" t="s">
        <v>4</v>
      </c>
      <c r="J217" s="173" t="s">
        <v>5</v>
      </c>
      <c r="K217" s="173" t="s">
        <v>4</v>
      </c>
      <c r="L217" s="173"/>
      <c r="M217" s="173" t="s">
        <v>2</v>
      </c>
      <c r="N217" s="173" t="s">
        <v>2</v>
      </c>
      <c r="O217" s="173" t="s">
        <v>5</v>
      </c>
      <c r="P217" s="173" t="s">
        <v>5</v>
      </c>
      <c r="Q217" s="173" t="s">
        <v>4</v>
      </c>
      <c r="R217" s="173" t="s">
        <v>5</v>
      </c>
      <c r="S217" s="173"/>
      <c r="T217" s="173" t="s">
        <v>4</v>
      </c>
      <c r="U217" s="173" t="s">
        <v>5</v>
      </c>
      <c r="V217" s="173" t="s">
        <v>5</v>
      </c>
      <c r="W217" s="119">
        <v>18</v>
      </c>
      <c r="X217" s="119" t="s">
        <v>11</v>
      </c>
      <c r="Y217" s="119">
        <f>COUNTIF(tblF22021[[#This Row],[CIV]:[BK]],"A")</f>
        <v>2</v>
      </c>
    </row>
    <row r="218" spans="1:25" x14ac:dyDescent="0.3">
      <c r="A218" s="170">
        <v>91</v>
      </c>
      <c r="B218" s="173"/>
      <c r="C218" s="171" t="s">
        <v>627</v>
      </c>
      <c r="D218" s="172" t="s">
        <v>84</v>
      </c>
      <c r="E218" s="172" t="s">
        <v>42</v>
      </c>
      <c r="F218" s="117"/>
      <c r="G218" s="173" t="s">
        <v>800</v>
      </c>
      <c r="H218" s="173">
        <v>2112</v>
      </c>
      <c r="I218" s="173" t="s">
        <v>5</v>
      </c>
      <c r="J218" s="173" t="s">
        <v>5</v>
      </c>
      <c r="K218" s="173" t="s">
        <v>4</v>
      </c>
      <c r="L218" s="173" t="s">
        <v>5</v>
      </c>
      <c r="M218" s="173" t="s">
        <v>3</v>
      </c>
      <c r="N218" s="173" t="s">
        <v>4</v>
      </c>
      <c r="O218" s="173" t="s">
        <v>4</v>
      </c>
      <c r="P218" s="173" t="s">
        <v>4</v>
      </c>
      <c r="Q218" s="173" t="s">
        <v>4</v>
      </c>
      <c r="R218" s="173"/>
      <c r="S218" s="173"/>
      <c r="T218" s="173" t="s">
        <v>4</v>
      </c>
      <c r="U218" s="173" t="s">
        <v>5</v>
      </c>
      <c r="V218" s="173" t="s">
        <v>2</v>
      </c>
      <c r="W218" s="119">
        <v>18</v>
      </c>
      <c r="X218" s="119" t="s">
        <v>11</v>
      </c>
      <c r="Y218" s="119">
        <f>COUNTIF(tblF22021[[#This Row],[CIV]:[BK]],"A")</f>
        <v>1</v>
      </c>
    </row>
  </sheetData>
  <mergeCells count="2">
    <mergeCell ref="I3:V3"/>
    <mergeCell ref="A1:V1"/>
  </mergeCells>
  <conditionalFormatting sqref="A1:B1048576">
    <cfRule type="duplicateValues" dxfId="8" priority="1"/>
  </conditionalFormatting>
  <dataValidations count="1">
    <dataValidation type="list" allowBlank="1" showInputMessage="1" showErrorMessage="1" sqref="G10:G218" xr:uid="{00000000-0002-0000-1400-000000000000}">
      <formula1>Exams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C2FF-26AD-4316-8597-803D5245A087}">
  <dimension ref="A1:M10"/>
  <sheetViews>
    <sheetView workbookViewId="0">
      <selection activeCell="B13" sqref="B13"/>
    </sheetView>
  </sheetViews>
  <sheetFormatPr defaultRowHeight="14.4" x14ac:dyDescent="0.3"/>
  <sheetData>
    <row r="1" spans="1:13" ht="26.4" x14ac:dyDescent="0.3">
      <c r="A1" s="126" t="str">
        <f>RESULTS!D3</f>
        <v>DIVISION</v>
      </c>
      <c r="B1" s="125" t="str">
        <f>RESULTS!E3</f>
        <v>I</v>
      </c>
      <c r="C1" s="125" t="str">
        <f>RESULTS!F3</f>
        <v>II</v>
      </c>
      <c r="D1" s="125" t="str">
        <f>RESULTS!G3</f>
        <v>III</v>
      </c>
      <c r="E1" s="125" t="str">
        <f>RESULTS!H3</f>
        <v>IV</v>
      </c>
      <c r="F1" s="125" t="str">
        <f>RESULTS!I3</f>
        <v>O</v>
      </c>
      <c r="G1" s="125" t="str">
        <f>RESULTS!J3</f>
        <v>ABS</v>
      </c>
      <c r="H1" s="125" t="str">
        <f>RESULTS!K3</f>
        <v>INC</v>
      </c>
      <c r="I1" s="125" t="str">
        <f>RESULTS!L3</f>
        <v>TOT</v>
      </c>
      <c r="J1" s="125" t="str">
        <f>RESULTS!M3</f>
        <v>KPI%</v>
      </c>
      <c r="K1" s="126" t="str">
        <f>RESULTS!N3</f>
        <v>GPA</v>
      </c>
      <c r="L1" s="126" t="str">
        <f>RESULTS!O3</f>
        <v>GPA GRADE</v>
      </c>
      <c r="M1" s="127" t="str">
        <f>RESULTS!P3</f>
        <v>SPA</v>
      </c>
    </row>
    <row r="2" spans="1:13" x14ac:dyDescent="0.3">
      <c r="A2" s="132" t="str">
        <f>RESULTS!D4</f>
        <v>MALE</v>
      </c>
      <c r="B2" s="128">
        <f>RESULTS!E4</f>
        <v>12</v>
      </c>
      <c r="C2" s="128">
        <f>RESULTS!F4</f>
        <v>29</v>
      </c>
      <c r="D2" s="128">
        <f>RESULTS!G4</f>
        <v>37</v>
      </c>
      <c r="E2" s="128">
        <f>RESULTS!H4</f>
        <v>3</v>
      </c>
      <c r="F2" s="128">
        <f>RESULTS!I4</f>
        <v>6</v>
      </c>
      <c r="G2" s="128">
        <f>RESULTS!J4</f>
        <v>0</v>
      </c>
      <c r="H2" s="128">
        <f>RESULTS!K4</f>
        <v>0</v>
      </c>
      <c r="I2" s="129">
        <f>RESULTS!L4</f>
        <v>87</v>
      </c>
      <c r="J2" s="219">
        <f>RESULTS!M4</f>
        <v>47.126436781609186</v>
      </c>
      <c r="K2" s="219">
        <f>RESULTS!N4</f>
        <v>2.2183908045977012</v>
      </c>
      <c r="L2" s="134">
        <f>RESULTS!O4</f>
        <v>0</v>
      </c>
      <c r="M2" s="134">
        <f>RESULTS!P4</f>
        <v>13</v>
      </c>
    </row>
    <row r="3" spans="1:13" x14ac:dyDescent="0.3">
      <c r="A3" s="132" t="str">
        <f>RESULTS!D5</f>
        <v>FEMALE</v>
      </c>
      <c r="B3" s="128">
        <f>RESULTS!E5</f>
        <v>26</v>
      </c>
      <c r="C3" s="128">
        <f>RESULTS!F5</f>
        <v>36</v>
      </c>
      <c r="D3" s="128">
        <f>RESULTS!G5</f>
        <v>34</v>
      </c>
      <c r="E3" s="128">
        <f>RESULTS!H5</f>
        <v>3</v>
      </c>
      <c r="F3" s="128">
        <f>RESULTS!I5</f>
        <v>3</v>
      </c>
      <c r="G3" s="128">
        <f>RESULTS!J5</f>
        <v>0</v>
      </c>
      <c r="H3" s="128">
        <f>RESULTS!K5</f>
        <v>0</v>
      </c>
      <c r="I3" s="129">
        <f>RESULTS!L5</f>
        <v>102</v>
      </c>
      <c r="J3" s="219">
        <f>RESULTS!M5</f>
        <v>60.784313725490193</v>
      </c>
      <c r="K3" s="219">
        <f>RESULTS!N5</f>
        <v>2.0784313725490198</v>
      </c>
      <c r="L3" s="134">
        <f>RESULTS!O5</f>
        <v>0</v>
      </c>
      <c r="M3" s="134">
        <f>RESULTS!P5</f>
        <v>11.774509803921569</v>
      </c>
    </row>
    <row r="4" spans="1:13" x14ac:dyDescent="0.3">
      <c r="A4" s="126" t="str">
        <f>RESULTS!D6</f>
        <v xml:space="preserve">SCHOOL </v>
      </c>
      <c r="B4" s="130">
        <f>RESULTS!E6</f>
        <v>38</v>
      </c>
      <c r="C4" s="130">
        <f>RESULTS!F6</f>
        <v>65</v>
      </c>
      <c r="D4" s="130">
        <f>RESULTS!G6</f>
        <v>71</v>
      </c>
      <c r="E4" s="130">
        <f>RESULTS!H6</f>
        <v>6</v>
      </c>
      <c r="F4" s="130">
        <f>RESULTS!I6</f>
        <v>9</v>
      </c>
      <c r="G4" s="130">
        <f>RESULTS!J6</f>
        <v>0</v>
      </c>
      <c r="H4" s="130">
        <f>RESULTS!K6</f>
        <v>0</v>
      </c>
      <c r="I4" s="131">
        <f>RESULTS!L6</f>
        <v>189</v>
      </c>
      <c r="J4" s="220">
        <f>RESULTS!M6</f>
        <v>54.497354497354493</v>
      </c>
      <c r="K4" s="219">
        <f>RESULTS!N6</f>
        <v>3.2632275132275135</v>
      </c>
      <c r="L4" s="134">
        <f>RESULTS!O6</f>
        <v>0</v>
      </c>
      <c r="M4" s="133">
        <f>RESULTS!P6</f>
        <v>12.338624338624339</v>
      </c>
    </row>
    <row r="7" spans="1:13" x14ac:dyDescent="0.3">
      <c r="A7" s="318" t="str">
        <f t="shared" ref="A7:F7" si="0">A1</f>
        <v>DIVISION</v>
      </c>
      <c r="B7" s="125" t="str">
        <f t="shared" si="0"/>
        <v>I</v>
      </c>
      <c r="C7" s="125" t="str">
        <f t="shared" si="0"/>
        <v>II</v>
      </c>
      <c r="D7" s="125" t="str">
        <f t="shared" si="0"/>
        <v>III</v>
      </c>
      <c r="E7" s="125" t="str">
        <f t="shared" si="0"/>
        <v>IV</v>
      </c>
      <c r="F7" s="125" t="str">
        <f t="shared" si="0"/>
        <v>O</v>
      </c>
    </row>
    <row r="8" spans="1:13" x14ac:dyDescent="0.3">
      <c r="A8" s="319" t="str">
        <f>A2</f>
        <v>MALE</v>
      </c>
      <c r="B8" s="320">
        <f>B2/$I$2</f>
        <v>0.13793103448275862</v>
      </c>
      <c r="C8" s="320">
        <f t="shared" ref="C8:F8" si="1">C2/$I$2</f>
        <v>0.33333333333333331</v>
      </c>
      <c r="D8" s="320">
        <f t="shared" si="1"/>
        <v>0.42528735632183906</v>
      </c>
      <c r="E8" s="320">
        <f t="shared" si="1"/>
        <v>3.4482758620689655E-2</v>
      </c>
      <c r="F8" s="320">
        <f t="shared" si="1"/>
        <v>6.8965517241379309E-2</v>
      </c>
    </row>
    <row r="9" spans="1:13" x14ac:dyDescent="0.3">
      <c r="A9" s="319" t="str">
        <f>A3</f>
        <v>FEMALE</v>
      </c>
      <c r="B9" s="320">
        <f>B3/$I$3</f>
        <v>0.25490196078431371</v>
      </c>
      <c r="C9" s="320">
        <f>C3/$I$3</f>
        <v>0.35294117647058826</v>
      </c>
      <c r="D9" s="320">
        <f t="shared" ref="D9:F9" si="2">D3/$I$3</f>
        <v>0.33333333333333331</v>
      </c>
      <c r="E9" s="320">
        <f t="shared" si="2"/>
        <v>2.9411764705882353E-2</v>
      </c>
      <c r="F9" s="320">
        <f t="shared" si="2"/>
        <v>2.9411764705882353E-2</v>
      </c>
    </row>
    <row r="10" spans="1:13" x14ac:dyDescent="0.3">
      <c r="A10" s="318" t="str">
        <f>A4</f>
        <v xml:space="preserve">SCHOOL </v>
      </c>
      <c r="B10" s="320">
        <f>B4/$I$4</f>
        <v>0.20105820105820105</v>
      </c>
      <c r="C10" s="320">
        <f t="shared" ref="C10:F10" si="3">C4/$I$4</f>
        <v>0.3439153439153439</v>
      </c>
      <c r="D10" s="320">
        <f t="shared" si="3"/>
        <v>0.37566137566137564</v>
      </c>
      <c r="E10" s="320">
        <f t="shared" si="3"/>
        <v>3.1746031746031744E-2</v>
      </c>
      <c r="F10" s="320">
        <f t="shared" si="3"/>
        <v>4.7619047619047616E-2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485CCA-857A-4280-9A80-8F5505091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RESULTS</vt:lpstr>
      <vt:lpstr>DIV</vt:lpstr>
      <vt:lpstr>Fact_Student_Result</vt:lpstr>
      <vt:lpstr>Dim_Student</vt:lpstr>
      <vt:lpstr>Fact_Subject_Grade</vt:lpstr>
      <vt:lpstr>📊 COMB GRADE SUMMARY</vt:lpstr>
      <vt:lpstr>SUBJ BY SCHOOL</vt:lpstr>
      <vt:lpstr>LEGEND &amp; NOTES</vt:lpstr>
      <vt:lpstr>TOP 10 BY GROUP</vt:lpstr>
      <vt:lpstr>📊 Raw Data</vt:lpstr>
      <vt:lpstr>Departments</vt:lpstr>
      <vt:lpstr>CSEE</vt:lpstr>
      <vt:lpstr>FTNA</vt:lpstr>
      <vt:lpstr>Slides</vt:lpstr>
      <vt:lpstr>AlevelPts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Andrew</cp:lastModifiedBy>
  <cp:revision>0</cp:revision>
  <dcterms:created xsi:type="dcterms:W3CDTF">2026-05-26T07:53:53Z</dcterms:created>
  <dcterms:modified xsi:type="dcterms:W3CDTF">2026-06-23T12:49:26Z</dcterms:modified>
  <dc:language>en-US</dc:language>
</cp:coreProperties>
</file>